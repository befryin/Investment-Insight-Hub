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TD\Downloads\"/>
    </mc:Choice>
  </mc:AlternateContent>
  <xr:revisionPtr revIDLastSave="0" documentId="13_ncr:1_{759502B9-F552-40EA-A9F5-4E60E94B851B}" xr6:coauthVersionLast="47" xr6:coauthVersionMax="47" xr10:uidLastSave="{00000000-0000-0000-0000-000000000000}"/>
  <bookViews>
    <workbookView xWindow="-120" yWindow="-120" windowWidth="38640" windowHeight="21120" xr2:uid="{66B2805F-F79E-4437-94E0-05CF2C222854}"/>
  </bookViews>
  <sheets>
    <sheet name="Tx" sheetId="1" r:id="rId1"/>
  </sheets>
  <externalReferences>
    <externalReference r:id="rId2"/>
  </externalReferences>
  <definedNames>
    <definedName name="_xlnm._FilterDatabase" localSheetId="0" hidden="1">Tx!$A$3:$X$1089</definedName>
    <definedName name="_TDB908">OFFSET([1]Spark!$H$4,0,0,COUNTA([1]Spark!$H$4:$H$2601),1)</definedName>
    <definedName name="_xleta.N" hidden="1" xlm="1">#NAME?</definedName>
    <definedName name="_xleta.TODAY" hidden="1" xlm="1">#NAME?</definedName>
    <definedName name="_xlpm.day_1" hidden="1" xlm="1">#NAME?</definedName>
    <definedName name="_xlpm.day_2" hidden="1" xlm="1">#NAME?</definedName>
    <definedName name="_xlpm.s" hidden="1" xlm="1">#NAME?</definedName>
    <definedName name="_xlpm.stock" hidden="1" xlm="1">#NAME?</definedName>
    <definedName name="ARCX_RPG">OFFSET([1]Spark!#REF!,0,0,COUNTA([1]Spark!$AD$5:$AD$2601),1)</definedName>
    <definedName name="ARCX_VIG">OFFSET([1]Spark!$AN$3,0,0,COUNTA([1]Spark!$AT$3:$AT$2601),1)</definedName>
    <definedName name="BAM.A">OFFSET([1]Spark!#REF!,0,0,COUNTA([1]Spark!#REF!),1)</definedName>
    <definedName name="BMO_MktValue">[1]Dashboard!#REF!</definedName>
    <definedName name="BPY.PR.A">OFFSET([1]Spark!#REF!,0,0,COUNTA([1]Spark!#REF!),1)</definedName>
    <definedName name="BPYP.PR.A">OFFSET([1]Spark!#REF!,0,0,COUNTA([1]Spark!#REF!),1)</definedName>
    <definedName name="CAD_MktVal">[1]Dashboard!$J$4</definedName>
    <definedName name="CAD_MktValue">-[1]CAD!$P$528</definedName>
    <definedName name="CESG_Bal">'[1]RESP Withdrawal'!$D$23</definedName>
    <definedName name="ChartDays">[1]Dashboard!$C$1</definedName>
    <definedName name="Contrib">'[1]RESP Withdrawal'!$D$25</definedName>
    <definedName name="DynSpark">INDIRECT("Spark!"&amp;[1]Dashboard!$AD1&amp;"3:"&amp;[1]Dashboard!$AD1&amp;[1]Dashboard!$AE1)</definedName>
    <definedName name="ek_AssetClass">[1]Dashboard!#REF!,[1]Dashboard!#REF!,[1]Dashboard!#REF!,[1]Dashboard!#REF!,[1]Dashboard!#REF!</definedName>
    <definedName name="ek_AssetValue">[1]Dashboard!#REF!,[1]Dashboard!#REF!,[1]Dashboard!#REF!,[1]Dashboard!#REF!,[1]Dashboard!#REF!</definedName>
    <definedName name="eLIRA_MktVal">[1]Dashboard!$E$4</definedName>
    <definedName name="eLIRA_MktValue">-[1]eLIRA!#REF!</definedName>
    <definedName name="eRRSP_CashBal">Tx!$A$1</definedName>
    <definedName name="eRRSP_MktVal">[1]Dashboard!$D$4</definedName>
    <definedName name="eRRSP_MktValue">-Tx!$P$1089</definedName>
    <definedName name="eRRSP_Return">Tx!$B$1</definedName>
    <definedName name="eTFSA_MktVal">[1]Dashboard!$F$4</definedName>
    <definedName name="eTFSA_MktValue">-[1]eTFSA!$P$240</definedName>
    <definedName name="FMV">'[1]RESP Withdrawal'!$D$26</definedName>
    <definedName name="HELOC_MktVal">[1]Dashboard!$M$4</definedName>
    <definedName name="HTTW_MktVal">[1]Dashboard!$L$4</definedName>
    <definedName name="HTTW_MktValue">-[1]httw!$P$870</definedName>
    <definedName name="InvYears">Tx!$Z$4:$Z$54</definedName>
    <definedName name="kLIRA_MktVal">[1]Dashboard!$H$4</definedName>
    <definedName name="kLIRA_MktValue">-[1]kLIRA!$P$266</definedName>
    <definedName name="kRRSP_CashBal">[1]kRRSP!$A$1</definedName>
    <definedName name="kRRSP_MktVal">[1]Dashboard!$G$4</definedName>
    <definedName name="kRRSP_MktValue">-[1]kRRSP!$P$759</definedName>
    <definedName name="kTFSA_MktVal">[1]Dashboard!$I$4</definedName>
    <definedName name="kTFSA_MktValue">-[1]kTFSA!$P$171</definedName>
    <definedName name="MyStock">_xlfn.LAMBDA(_xlpm.stock,_xlpm.day_1,_xlpm.day_2,_xlfn.LET(_xlpm.s,_xlfn.STOCKHISTORY(_xlpm.stock,_xlpm.day_1,_xlpm.day_2,0,0),_xlfn._xlws.FILTER(_xlpm.s,ISNUMBER(INDEX(_xlpm.s,,2)))))</definedName>
    <definedName name="RESP_MktVal">[1]Dashboard!$N$4</definedName>
    <definedName name="RESP_MktValue">-[1]RESP!$P$786</definedName>
    <definedName name="Spark">[1]Dashboard!$K$16</definedName>
    <definedName name="SparkDates">INDIRECT("Spark!A3:"&amp;"A"&amp;[1]Dashboard!$AE$19)</definedName>
    <definedName name="StockSpark">OFFSET([1]Spark!XES1048535,0,0,COUNTA([1]Spark!$B$4:$B$2601),1),OFFSET([1]Spark!XEU1048535,0,0,COUNTA([1]Spark!$D$4:$D$2601),1),OFFSET([1]Spark!XEW1048535,0,0,COUNTA([1]Spark!$F$4:$F$2601),1),OFFSET([1]Spark!XEY1048535,0,0,COUNTA([1]Spark!$H$4:$H$2601),1),OFFSET([1]Spark!XFA1048535,0,0,COUNTA([1]Spark!#REF!),1),OFFSET([1]Spark!XFC1048535,0,0,COUNTA([1]Spark!$J$4:$J$2601),1),OFFSET([1]Spark!A1048535,0,0,COUNTA([1]Spark!$L$4:$L$2601),1),OFFSET([1]Spark!C1048535,0,0,COUNTA([1]Spark!$N$4:$N$2601),1),OFFSET([1]Spark!E1048535,0,0,COUNTA([1]Spark!$P$4:$P$2601),1),OFFSET([1]Spark!G1048535,0,0,COUNTA([1]Spark!$R$4:$R$2601),1),OFFSET([1]Spark!I1048535,0,0,COUNTA([1]Spark!$T$4:$T$2601),1),OFFSET([1]Spark!K1048535,0,0,COUNTA([1]Spark!$V$4:$V$2601),1),OFFSET([1]Spark!M1048535,0,0,COUNTA([1]Spark!$X$4:$X$2601),1),OFFSET([1]Spark!O1048535,0,0,COUNTA([1]Spark!$Z$4:$Z$2601),1),OFFSET([1]Spark!Q1048535,0,0,COUNTA([1]Spark!$AF$5:$AF$2601),1),OFFSET([1]Spark!S1048535,0,0,COUNTA([1]Spark!$AH$4:$AH$2601),1),OFFSET([1]Spark!U1048535,0,0,COUNTA([1]Spark!#REF!),1),OFFSET([1]Spark!W1048535,0,0,COUNTA([1]Spark!$AJ$4:$AJ$2601),1),OFFSET([1]Spark!Y1048535,0,0,COUNTA([1]Spark!$AL$4:$AL$2601),1),OFFSET([1]Spark!AA1048535,0,0,COUNTA([1]Spark!$AN$4:$AN$2601),1),OFFSET([1]Spark!AC1048535,0,0,COUNTA([1]Spark!#REF!),1),OFFSET([1]Spark!AE1048535,0,0,COUNTA([1]Spark!$AP$4:$AP$2601),1),OFFSET([1]Spark!AG1048535,0,0,COUNTA([1]Spark!#REF!),1),OFFSET([1]Spark!AI1048535,0,0,COUNTA([1]Spark!$AR$4:$AR$2601),1)</definedName>
    <definedName name="USD_MktVal">[1]Dashboard!$K$4</definedName>
    <definedName name="USD_MktValue">-[1]USD!$P$359</definedName>
    <definedName name="USD_Rate">[1]Dashboard!$H$13</definedName>
    <definedName name="XBAL">'[1]Asset Alloc'!$J$19</definedName>
    <definedName name="XTSE_AQN">OFFSET([1]Spark!#REF!,0,0,COUNTA([1]Spark!#REF!),1)</definedName>
    <definedName name="XTSE_BPY.UN">OFFSET([1]Spark!$AL$3,0,0,COUNTA([1]Spark!$AR$3:$AR$2601),1)</definedName>
    <definedName name="XTSE_CEF">OFFSET([1]Spark!$V$3,0,0,COUNTA([1]Spark!$V$3:$V$2601),1)</definedName>
    <definedName name="XTSE_CGR">OFFSET([1]Spark!#REF!,0,0,COUNTA([1]Spark!$AF$5:$AF$2601),1)</definedName>
    <definedName name="XTSE_HBB">OFFSET([1]Spark!$N$3,0,0,COUNTA([1]Spark!$N$3:$N$2601),1)</definedName>
    <definedName name="XTSE_HXQ">OFFSET([1]Spark!$AJ$3,0,0,COUNTA([1]Spark!$AP$3:$AP$2601),1)</definedName>
    <definedName name="XTSE_RQP">OFFSET([1]Spark!$V$3,0,0,COUNTA([1]Spark!$V$3:$V$2601),1)</definedName>
    <definedName name="XTSE_VCN">OFFSET([1]Spark!$P$3,0,0,COUNTA([1]Spark!$P$3:$P$2601),1)</definedName>
    <definedName name="XTSE_VEQT">OFFSET([1]Spark!$D$3,0,0,COUNTA([1]Spark!$D$3:$D$2601),1)</definedName>
    <definedName name="XTSE_VFV">OFFSET([1]Spark!$AB$3,0,0,COUNTA([1]Spark!$AH$3:$AH$2601),1)</definedName>
    <definedName name="XTSE_XAW">OFFSET([1]Spark!$F$3,0,0,COUNTA([1]Spark!$F$3:$F$2601),1)</definedName>
    <definedName name="XTSE_XEC">OFFSET([1]Spark!$X$3,0,0,COUNTA([1]Spark!$X$3:$X$2601),1)</definedName>
    <definedName name="XTSE_XEF">OFFSET([1]Spark!$R$3,0,0,COUNTA([1]Spark!$R$3:$R$2601),1)</definedName>
    <definedName name="XTSE_XRE">OFFSET([1]Spark!$T$3,0,0,COUNTA([1]Spark!$T$3:$T$2601),1)</definedName>
    <definedName name="XTSE_XSTH">OFFSET([1]Spark!#REF!,0,0,COUNTA([1]Spark!$AB$5:$AB$2601),1)</definedName>
    <definedName name="XTSE_XUU">OFFSET([1]Spark!$B$3,0,0,COUNTA([1]Spark!$B$3:$B$2601),1)</definedName>
    <definedName name="XTSE_ZAG">OFFSET([1]Spark!$Z$3,0,0,COUNTA([1]Spark!$Z$3:$Z$2601),1)</definedName>
    <definedName name="XTSE_ZDB">OFFSET([1]Spark!$L$3,0,0,COUNTA([1]Spark!$L$3:$L$2601),1)</definedName>
    <definedName name="XTSE_ZPR">OFFSET([1]Spark!#REF!,0,0,COUNTA([1]Spark!#REF!),1)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C1089" i="1" l="1"/>
  <c r="W1089" i="1"/>
  <c r="V1089" i="1"/>
  <c r="N1089" i="1"/>
  <c r="A1089" i="1"/>
  <c r="S1089" i="1" s="1"/>
  <c r="Q1089" i="1" s="1"/>
  <c r="AC1088" i="1"/>
  <c r="W1088" i="1"/>
  <c r="U1088" i="1"/>
  <c r="S1088" i="1"/>
  <c r="P1088" i="1"/>
  <c r="M1088" i="1"/>
  <c r="N1088" i="1" s="1"/>
  <c r="AC1087" i="1"/>
  <c r="Z1087" i="1"/>
  <c r="Y1087" i="1"/>
  <c r="W1087" i="1"/>
  <c r="U1087" i="1"/>
  <c r="S1087" i="1"/>
  <c r="Q1087" i="1" s="1"/>
  <c r="P1087" i="1"/>
  <c r="M1087" i="1"/>
  <c r="N1087" i="1" s="1"/>
  <c r="AC1086" i="1"/>
  <c r="Z1086" i="1"/>
  <c r="Y1086" i="1"/>
  <c r="W1086" i="1"/>
  <c r="U1086" i="1"/>
  <c r="S1086" i="1"/>
  <c r="Q1086" i="1" s="1"/>
  <c r="P1086" i="1"/>
  <c r="M1086" i="1"/>
  <c r="N1086" i="1" s="1"/>
  <c r="AC1085" i="1"/>
  <c r="Y1085" i="1"/>
  <c r="W1085" i="1"/>
  <c r="U1085" i="1"/>
  <c r="S1085" i="1"/>
  <c r="Q1085" i="1" s="1"/>
  <c r="P1085" i="1"/>
  <c r="M1085" i="1"/>
  <c r="N1085" i="1" s="1"/>
  <c r="AC1084" i="1"/>
  <c r="W1084" i="1"/>
  <c r="U1084" i="1"/>
  <c r="S1084" i="1"/>
  <c r="Z1084" i="1" s="1"/>
  <c r="P1084" i="1"/>
  <c r="M1084" i="1"/>
  <c r="N1084" i="1" s="1"/>
  <c r="AC1083" i="1"/>
  <c r="W1083" i="1"/>
  <c r="U1083" i="1"/>
  <c r="S1083" i="1"/>
  <c r="Q1083" i="1" s="1"/>
  <c r="P1083" i="1"/>
  <c r="M1083" i="1"/>
  <c r="N1083" i="1" s="1"/>
  <c r="AC1082" i="1"/>
  <c r="W1082" i="1"/>
  <c r="U1082" i="1"/>
  <c r="S1082" i="1"/>
  <c r="Q1082" i="1" s="1"/>
  <c r="P1082" i="1"/>
  <c r="N1082" i="1"/>
  <c r="M1082" i="1"/>
  <c r="AC1081" i="1"/>
  <c r="W1081" i="1"/>
  <c r="U1081" i="1"/>
  <c r="S1081" i="1"/>
  <c r="Z1079" i="1" s="1"/>
  <c r="Q1081" i="1"/>
  <c r="P1081" i="1"/>
  <c r="M1081" i="1"/>
  <c r="N1081" i="1" s="1"/>
  <c r="AC1080" i="1"/>
  <c r="W1080" i="1"/>
  <c r="U1080" i="1"/>
  <c r="S1080" i="1"/>
  <c r="P1080" i="1"/>
  <c r="M1080" i="1"/>
  <c r="N1080" i="1" s="1"/>
  <c r="U1079" i="1"/>
  <c r="S1079" i="1"/>
  <c r="Y1079" i="1" s="1"/>
  <c r="Q1079" i="1"/>
  <c r="P1079" i="1"/>
  <c r="M1079" i="1"/>
  <c r="N1079" i="1" s="1"/>
  <c r="AC1078" i="1"/>
  <c r="W1078" i="1"/>
  <c r="U1078" i="1"/>
  <c r="S1078" i="1"/>
  <c r="Q1078" i="1" s="1"/>
  <c r="P1078" i="1"/>
  <c r="N1078" i="1"/>
  <c r="M1078" i="1"/>
  <c r="AC1077" i="1"/>
  <c r="W1077" i="1"/>
  <c r="U1077" i="1"/>
  <c r="S1077" i="1"/>
  <c r="Z1077" i="1" s="1"/>
  <c r="P1077" i="1"/>
  <c r="M1077" i="1"/>
  <c r="N1077" i="1" s="1"/>
  <c r="AC1076" i="1"/>
  <c r="W1076" i="1"/>
  <c r="U1076" i="1"/>
  <c r="S1076" i="1"/>
  <c r="Y1074" i="1" s="1"/>
  <c r="Q1076" i="1"/>
  <c r="P1076" i="1"/>
  <c r="N1076" i="1"/>
  <c r="M1076" i="1"/>
  <c r="AC1075" i="1"/>
  <c r="W1075" i="1"/>
  <c r="U1075" i="1"/>
  <c r="S1075" i="1"/>
  <c r="Q1075" i="1" s="1"/>
  <c r="P1075" i="1"/>
  <c r="M1075" i="1"/>
  <c r="N1075" i="1" s="1"/>
  <c r="AC1074" i="1"/>
  <c r="W1074" i="1"/>
  <c r="U1074" i="1"/>
  <c r="S1074" i="1"/>
  <c r="Q1074" i="1" s="1"/>
  <c r="P1074" i="1"/>
  <c r="M1074" i="1"/>
  <c r="N1074" i="1" s="1"/>
  <c r="AC1073" i="1"/>
  <c r="W1073" i="1"/>
  <c r="U1073" i="1"/>
  <c r="S1073" i="1"/>
  <c r="Z1071" i="1" s="1"/>
  <c r="Q1073" i="1"/>
  <c r="P1073" i="1"/>
  <c r="N1073" i="1"/>
  <c r="M1073" i="1"/>
  <c r="AC1072" i="1"/>
  <c r="W1072" i="1"/>
  <c r="U1072" i="1"/>
  <c r="S1072" i="1"/>
  <c r="P1072" i="1"/>
  <c r="M1072" i="1"/>
  <c r="N1072" i="1" s="1"/>
  <c r="AC1071" i="1"/>
  <c r="W1071" i="1"/>
  <c r="U1071" i="1"/>
  <c r="S1071" i="1"/>
  <c r="Y1069" i="1" s="1"/>
  <c r="Q1071" i="1"/>
  <c r="P1071" i="1"/>
  <c r="N1071" i="1"/>
  <c r="M1071" i="1"/>
  <c r="AC1070" i="1"/>
  <c r="W1070" i="1"/>
  <c r="U1070" i="1"/>
  <c r="S1070" i="1"/>
  <c r="Q1070" i="1" s="1"/>
  <c r="P1070" i="1"/>
  <c r="M1070" i="1"/>
  <c r="N1070" i="1" s="1"/>
  <c r="AC1069" i="1"/>
  <c r="W1069" i="1"/>
  <c r="U1069" i="1"/>
  <c r="S1069" i="1"/>
  <c r="Z1069" i="1" s="1"/>
  <c r="P1069" i="1"/>
  <c r="M1069" i="1"/>
  <c r="N1069" i="1" s="1"/>
  <c r="AC1068" i="1"/>
  <c r="W1068" i="1"/>
  <c r="U1068" i="1"/>
  <c r="S1068" i="1"/>
  <c r="Q1068" i="1"/>
  <c r="P1068" i="1"/>
  <c r="M1068" i="1"/>
  <c r="N1068" i="1" s="1"/>
  <c r="AC1067" i="1"/>
  <c r="W1067" i="1"/>
  <c r="U1067" i="1"/>
  <c r="S1067" i="1"/>
  <c r="Q1067" i="1" s="1"/>
  <c r="P1067" i="1"/>
  <c r="M1067" i="1"/>
  <c r="N1067" i="1" s="1"/>
  <c r="AC1066" i="1"/>
  <c r="Y1066" i="1"/>
  <c r="W1066" i="1"/>
  <c r="U1066" i="1"/>
  <c r="S1066" i="1"/>
  <c r="Q1066" i="1" s="1"/>
  <c r="P1066" i="1"/>
  <c r="N1066" i="1"/>
  <c r="M1066" i="1"/>
  <c r="AC1065" i="1"/>
  <c r="W1065" i="1"/>
  <c r="U1065" i="1"/>
  <c r="S1065" i="1"/>
  <c r="Q1065" i="1"/>
  <c r="P1065" i="1"/>
  <c r="M1065" i="1"/>
  <c r="N1065" i="1" s="1"/>
  <c r="AC1064" i="1"/>
  <c r="W1064" i="1"/>
  <c r="U1064" i="1"/>
  <c r="S1064" i="1"/>
  <c r="Z1062" i="1" s="1"/>
  <c r="P1064" i="1"/>
  <c r="M1064" i="1"/>
  <c r="N1064" i="1" s="1"/>
  <c r="AC1063" i="1"/>
  <c r="Z1063" i="1"/>
  <c r="Y1063" i="1"/>
  <c r="W1063" i="1"/>
  <c r="U1063" i="1"/>
  <c r="S1063" i="1"/>
  <c r="Y1061" i="1" s="1"/>
  <c r="Q1063" i="1"/>
  <c r="P1063" i="1"/>
  <c r="M1063" i="1"/>
  <c r="N1063" i="1" s="1"/>
  <c r="AC1062" i="1"/>
  <c r="W1062" i="1"/>
  <c r="U1062" i="1"/>
  <c r="S1062" i="1"/>
  <c r="Q1062" i="1" s="1"/>
  <c r="P1062" i="1"/>
  <c r="M1062" i="1"/>
  <c r="N1062" i="1" s="1"/>
  <c r="AC1061" i="1"/>
  <c r="W1061" i="1"/>
  <c r="U1061" i="1"/>
  <c r="S1061" i="1"/>
  <c r="Z1061" i="1" s="1"/>
  <c r="P1061" i="1"/>
  <c r="M1061" i="1"/>
  <c r="N1061" i="1" s="1"/>
  <c r="AC1060" i="1"/>
  <c r="W1060" i="1"/>
  <c r="U1060" i="1"/>
  <c r="S1060" i="1"/>
  <c r="Q1060" i="1"/>
  <c r="P1060" i="1"/>
  <c r="M1060" i="1"/>
  <c r="N1060" i="1" s="1"/>
  <c r="AC1059" i="1"/>
  <c r="W1059" i="1"/>
  <c r="U1059" i="1"/>
  <c r="S1059" i="1"/>
  <c r="Q1059" i="1" s="1"/>
  <c r="P1059" i="1"/>
  <c r="M1059" i="1"/>
  <c r="N1059" i="1" s="1"/>
  <c r="AC1058" i="1"/>
  <c r="Y1058" i="1"/>
  <c r="W1058" i="1"/>
  <c r="U1058" i="1"/>
  <c r="S1058" i="1"/>
  <c r="Q1058" i="1" s="1"/>
  <c r="P1058" i="1"/>
  <c r="N1058" i="1"/>
  <c r="M1058" i="1"/>
  <c r="AC1057" i="1"/>
  <c r="W1057" i="1"/>
  <c r="U1057" i="1"/>
  <c r="S1057" i="1"/>
  <c r="Q1057" i="1"/>
  <c r="P1057" i="1"/>
  <c r="M1057" i="1"/>
  <c r="N1057" i="1" s="1"/>
  <c r="AC1056" i="1"/>
  <c r="W1056" i="1"/>
  <c r="U1056" i="1"/>
  <c r="S1056" i="1"/>
  <c r="Z1054" i="1" s="1"/>
  <c r="P1056" i="1"/>
  <c r="M1056" i="1"/>
  <c r="N1056" i="1" s="1"/>
  <c r="AC1055" i="1"/>
  <c r="Z1055" i="1"/>
  <c r="Y1055" i="1"/>
  <c r="W1055" i="1"/>
  <c r="U1055" i="1"/>
  <c r="S1055" i="1"/>
  <c r="Y1053" i="1" s="1"/>
  <c r="Q1055" i="1"/>
  <c r="P1055" i="1"/>
  <c r="M1055" i="1"/>
  <c r="N1055" i="1" s="1"/>
  <c r="AC1054" i="1"/>
  <c r="W1054" i="1"/>
  <c r="U1054" i="1"/>
  <c r="S1054" i="1"/>
  <c r="Q1054" i="1" s="1"/>
  <c r="P1054" i="1"/>
  <c r="M1054" i="1"/>
  <c r="N1054" i="1" s="1"/>
  <c r="AC1053" i="1"/>
  <c r="W1053" i="1"/>
  <c r="U1053" i="1"/>
  <c r="S1053" i="1"/>
  <c r="Z1053" i="1" s="1"/>
  <c r="P1053" i="1"/>
  <c r="M1053" i="1"/>
  <c r="N1053" i="1" s="1"/>
  <c r="AC1052" i="1"/>
  <c r="W1052" i="1"/>
  <c r="U1052" i="1"/>
  <c r="S1052" i="1"/>
  <c r="Q1052" i="1"/>
  <c r="P1052" i="1"/>
  <c r="M1052" i="1"/>
  <c r="N1052" i="1" s="1"/>
  <c r="AC1051" i="1"/>
  <c r="W1051" i="1"/>
  <c r="U1051" i="1"/>
  <c r="S1051" i="1"/>
  <c r="Q1051" i="1" s="1"/>
  <c r="P1051" i="1"/>
  <c r="M1051" i="1"/>
  <c r="N1051" i="1" s="1"/>
  <c r="AC1050" i="1"/>
  <c r="Y1050" i="1"/>
  <c r="W1050" i="1"/>
  <c r="U1050" i="1"/>
  <c r="S1050" i="1"/>
  <c r="Q1050" i="1" s="1"/>
  <c r="P1050" i="1"/>
  <c r="N1050" i="1"/>
  <c r="M1050" i="1"/>
  <c r="AC1049" i="1"/>
  <c r="W1049" i="1"/>
  <c r="U1049" i="1"/>
  <c r="S1049" i="1"/>
  <c r="Q1049" i="1"/>
  <c r="P1049" i="1"/>
  <c r="M1049" i="1"/>
  <c r="N1049" i="1" s="1"/>
  <c r="AC1048" i="1"/>
  <c r="W1048" i="1"/>
  <c r="U1048" i="1"/>
  <c r="S1048" i="1"/>
  <c r="Z1046" i="1" s="1"/>
  <c r="P1048" i="1"/>
  <c r="M1048" i="1"/>
  <c r="N1048" i="1" s="1"/>
  <c r="AC1047" i="1"/>
  <c r="Z1047" i="1"/>
  <c r="Y1047" i="1"/>
  <c r="W1047" i="1"/>
  <c r="U1047" i="1"/>
  <c r="S1047" i="1"/>
  <c r="Y1045" i="1" s="1"/>
  <c r="Q1047" i="1"/>
  <c r="P1047" i="1"/>
  <c r="M1047" i="1"/>
  <c r="N1047" i="1" s="1"/>
  <c r="AC1046" i="1"/>
  <c r="W1046" i="1"/>
  <c r="U1046" i="1"/>
  <c r="S1046" i="1"/>
  <c r="Q1046" i="1" s="1"/>
  <c r="P1046" i="1"/>
  <c r="M1046" i="1"/>
  <c r="N1046" i="1" s="1"/>
  <c r="AC1045" i="1"/>
  <c r="W1045" i="1"/>
  <c r="U1045" i="1"/>
  <c r="S1045" i="1"/>
  <c r="Z1043" i="1" s="1"/>
  <c r="P1045" i="1"/>
  <c r="M1045" i="1"/>
  <c r="N1045" i="1" s="1"/>
  <c r="AC1044" i="1"/>
  <c r="W1044" i="1"/>
  <c r="U1044" i="1"/>
  <c r="S1044" i="1"/>
  <c r="Q1044" i="1"/>
  <c r="P1044" i="1"/>
  <c r="M1044" i="1"/>
  <c r="N1044" i="1" s="1"/>
  <c r="AC1043" i="1"/>
  <c r="W1043" i="1"/>
  <c r="U1043" i="1"/>
  <c r="S1043" i="1"/>
  <c r="Q1043" i="1" s="1"/>
  <c r="P1043" i="1"/>
  <c r="M1043" i="1"/>
  <c r="N1043" i="1" s="1"/>
  <c r="AC1042" i="1"/>
  <c r="W1042" i="1"/>
  <c r="U1042" i="1"/>
  <c r="S1042" i="1"/>
  <c r="Z1042" i="1" s="1"/>
  <c r="Q1042" i="1"/>
  <c r="P1042" i="1"/>
  <c r="M1042" i="1"/>
  <c r="N1042" i="1" s="1"/>
  <c r="AC1041" i="1"/>
  <c r="W1041" i="1"/>
  <c r="U1041" i="1"/>
  <c r="S1041" i="1"/>
  <c r="Q1041" i="1"/>
  <c r="P1041" i="1"/>
  <c r="N1041" i="1"/>
  <c r="M1041" i="1"/>
  <c r="AC1040" i="1"/>
  <c r="W1040" i="1"/>
  <c r="U1040" i="1"/>
  <c r="S1040" i="1"/>
  <c r="P1040" i="1"/>
  <c r="M1040" i="1"/>
  <c r="N1040" i="1" s="1"/>
  <c r="AC1039" i="1"/>
  <c r="W1039" i="1"/>
  <c r="U1039" i="1"/>
  <c r="S1039" i="1"/>
  <c r="P1039" i="1"/>
  <c r="N1039" i="1"/>
  <c r="M1039" i="1"/>
  <c r="AC1038" i="1"/>
  <c r="W1038" i="1"/>
  <c r="U1038" i="1"/>
  <c r="S1038" i="1"/>
  <c r="Q1038" i="1" s="1"/>
  <c r="P1038" i="1"/>
  <c r="M1038" i="1"/>
  <c r="N1038" i="1" s="1"/>
  <c r="AC1037" i="1"/>
  <c r="W1037" i="1"/>
  <c r="U1037" i="1"/>
  <c r="S1037" i="1"/>
  <c r="P1037" i="1"/>
  <c r="M1037" i="1"/>
  <c r="N1037" i="1" s="1"/>
  <c r="AC1036" i="1"/>
  <c r="W1036" i="1"/>
  <c r="U1036" i="1"/>
  <c r="S1036" i="1"/>
  <c r="P1036" i="1"/>
  <c r="N1036" i="1"/>
  <c r="M1036" i="1"/>
  <c r="AC1035" i="1"/>
  <c r="W1035" i="1"/>
  <c r="U1035" i="1"/>
  <c r="S1035" i="1"/>
  <c r="P1035" i="1"/>
  <c r="M1035" i="1"/>
  <c r="N1035" i="1" s="1"/>
  <c r="AC1034" i="1"/>
  <c r="W1034" i="1"/>
  <c r="U1034" i="1"/>
  <c r="S1034" i="1"/>
  <c r="P1034" i="1"/>
  <c r="N1034" i="1"/>
  <c r="M1034" i="1"/>
  <c r="AC1033" i="1"/>
  <c r="W1033" i="1"/>
  <c r="U1033" i="1"/>
  <c r="S1033" i="1"/>
  <c r="Z1033" i="1" s="1"/>
  <c r="Q1033" i="1"/>
  <c r="P1033" i="1"/>
  <c r="M1033" i="1"/>
  <c r="N1033" i="1" s="1"/>
  <c r="AC1032" i="1"/>
  <c r="W1032" i="1"/>
  <c r="U1032" i="1"/>
  <c r="S1032" i="1"/>
  <c r="P1032" i="1"/>
  <c r="M1032" i="1"/>
  <c r="N1032" i="1" s="1"/>
  <c r="AC1031" i="1"/>
  <c r="W1031" i="1"/>
  <c r="U1031" i="1"/>
  <c r="S1031" i="1"/>
  <c r="Q1031" i="1" s="1"/>
  <c r="P1031" i="1"/>
  <c r="N1031" i="1"/>
  <c r="M1031" i="1"/>
  <c r="AC1030" i="1"/>
  <c r="W1030" i="1"/>
  <c r="U1030" i="1"/>
  <c r="S1030" i="1"/>
  <c r="Q1030" i="1" s="1"/>
  <c r="P1030" i="1"/>
  <c r="M1030" i="1"/>
  <c r="N1030" i="1" s="1"/>
  <c r="AC1029" i="1"/>
  <c r="W1029" i="1"/>
  <c r="U1029" i="1"/>
  <c r="S1029" i="1"/>
  <c r="Y1029" i="1" s="1"/>
  <c r="P1029" i="1"/>
  <c r="M1029" i="1"/>
  <c r="N1029" i="1" s="1"/>
  <c r="AC1028" i="1"/>
  <c r="W1028" i="1"/>
  <c r="U1028" i="1"/>
  <c r="P1028" i="1"/>
  <c r="N1028" i="1"/>
  <c r="M1028" i="1"/>
  <c r="A1028" i="1"/>
  <c r="S1028" i="1" s="1"/>
  <c r="Q1028" i="1" s="1"/>
  <c r="AC1027" i="1"/>
  <c r="W1027" i="1"/>
  <c r="U1027" i="1"/>
  <c r="S1027" i="1"/>
  <c r="Q1027" i="1"/>
  <c r="P1027" i="1"/>
  <c r="M1027" i="1"/>
  <c r="N1027" i="1" s="1"/>
  <c r="AC1026" i="1"/>
  <c r="W1026" i="1"/>
  <c r="U1026" i="1"/>
  <c r="S1026" i="1"/>
  <c r="Z1026" i="1" s="1"/>
  <c r="P1026" i="1"/>
  <c r="M1026" i="1"/>
  <c r="N1026" i="1" s="1"/>
  <c r="AC1025" i="1"/>
  <c r="W1025" i="1"/>
  <c r="U1025" i="1"/>
  <c r="S1025" i="1"/>
  <c r="Q1025" i="1"/>
  <c r="M1025" i="1"/>
  <c r="N1025" i="1" s="1"/>
  <c r="P1025" i="1" s="1"/>
  <c r="AC1024" i="1"/>
  <c r="W1024" i="1"/>
  <c r="U1024" i="1"/>
  <c r="S1024" i="1"/>
  <c r="Q1024" i="1" s="1"/>
  <c r="P1024" i="1"/>
  <c r="N1024" i="1"/>
  <c r="M1024" i="1"/>
  <c r="AC1023" i="1"/>
  <c r="W1023" i="1"/>
  <c r="U1023" i="1"/>
  <c r="S1023" i="1"/>
  <c r="P1023" i="1"/>
  <c r="M1023" i="1"/>
  <c r="N1023" i="1" s="1"/>
  <c r="AC1022" i="1"/>
  <c r="W1022" i="1"/>
  <c r="U1022" i="1"/>
  <c r="S1022" i="1"/>
  <c r="P1022" i="1"/>
  <c r="N1022" i="1"/>
  <c r="M1022" i="1"/>
  <c r="AC1021" i="1"/>
  <c r="W1021" i="1"/>
  <c r="U1021" i="1"/>
  <c r="S1021" i="1"/>
  <c r="P1021" i="1"/>
  <c r="M1021" i="1"/>
  <c r="N1021" i="1" s="1"/>
  <c r="AC1020" i="1"/>
  <c r="W1020" i="1"/>
  <c r="U1020" i="1"/>
  <c r="S1020" i="1"/>
  <c r="Q1020" i="1"/>
  <c r="P1020" i="1"/>
  <c r="M1020" i="1"/>
  <c r="N1020" i="1" s="1"/>
  <c r="AC1019" i="1"/>
  <c r="Z1019" i="1"/>
  <c r="W1019" i="1"/>
  <c r="U1019" i="1"/>
  <c r="S1019" i="1"/>
  <c r="Q1019" i="1" s="1"/>
  <c r="P1019" i="1"/>
  <c r="M1019" i="1"/>
  <c r="N1019" i="1" s="1"/>
  <c r="AC1018" i="1"/>
  <c r="W1018" i="1"/>
  <c r="U1018" i="1"/>
  <c r="S1018" i="1"/>
  <c r="P1018" i="1"/>
  <c r="M1018" i="1"/>
  <c r="N1018" i="1" s="1"/>
  <c r="AC1017" i="1"/>
  <c r="W1017" i="1"/>
  <c r="U1017" i="1"/>
  <c r="S1017" i="1"/>
  <c r="Q1017" i="1"/>
  <c r="P1017" i="1"/>
  <c r="N1017" i="1"/>
  <c r="M1017" i="1"/>
  <c r="AC1016" i="1"/>
  <c r="W1016" i="1"/>
  <c r="U1016" i="1"/>
  <c r="S1016" i="1"/>
  <c r="P1016" i="1"/>
  <c r="M1016" i="1"/>
  <c r="N1016" i="1" s="1"/>
  <c r="AC1015" i="1"/>
  <c r="W1015" i="1"/>
  <c r="U1015" i="1"/>
  <c r="S1015" i="1"/>
  <c r="Q1015" i="1" s="1"/>
  <c r="P1015" i="1"/>
  <c r="M1015" i="1"/>
  <c r="N1015" i="1" s="1"/>
  <c r="AC1014" i="1"/>
  <c r="Z1014" i="1"/>
  <c r="Y1014" i="1"/>
  <c r="W1014" i="1"/>
  <c r="U1014" i="1"/>
  <c r="S1014" i="1"/>
  <c r="Q1014" i="1"/>
  <c r="P1014" i="1"/>
  <c r="M1014" i="1"/>
  <c r="N1014" i="1" s="1"/>
  <c r="AC1013" i="1"/>
  <c r="W1013" i="1"/>
  <c r="U1013" i="1"/>
  <c r="S1013" i="1"/>
  <c r="P1013" i="1"/>
  <c r="N1013" i="1"/>
  <c r="M1013" i="1"/>
  <c r="AC1012" i="1"/>
  <c r="Y1012" i="1"/>
  <c r="W1012" i="1"/>
  <c r="U1012" i="1"/>
  <c r="S1012" i="1"/>
  <c r="P1012" i="1"/>
  <c r="N1012" i="1"/>
  <c r="M1012" i="1"/>
  <c r="AC1011" i="1"/>
  <c r="Z1011" i="1"/>
  <c r="W1011" i="1"/>
  <c r="U1011" i="1"/>
  <c r="S1011" i="1"/>
  <c r="Z1010" i="1" s="1"/>
  <c r="Q1011" i="1"/>
  <c r="P1011" i="1"/>
  <c r="M1011" i="1"/>
  <c r="N1011" i="1" s="1"/>
  <c r="AC1010" i="1"/>
  <c r="W1010" i="1"/>
  <c r="U1010" i="1"/>
  <c r="S1010" i="1"/>
  <c r="P1010" i="1"/>
  <c r="M1010" i="1"/>
  <c r="N1010" i="1" s="1"/>
  <c r="E1010" i="1"/>
  <c r="AC1009" i="1"/>
  <c r="W1009" i="1"/>
  <c r="U1009" i="1"/>
  <c r="S1009" i="1"/>
  <c r="P1009" i="1"/>
  <c r="M1009" i="1"/>
  <c r="N1009" i="1" s="1"/>
  <c r="AC1008" i="1"/>
  <c r="W1008" i="1"/>
  <c r="U1008" i="1"/>
  <c r="S1008" i="1"/>
  <c r="Q1008" i="1" s="1"/>
  <c r="P1008" i="1"/>
  <c r="M1008" i="1"/>
  <c r="N1008" i="1" s="1"/>
  <c r="AC1007" i="1"/>
  <c r="W1007" i="1"/>
  <c r="U1007" i="1"/>
  <c r="S1007" i="1"/>
  <c r="Q1007" i="1" s="1"/>
  <c r="P1007" i="1"/>
  <c r="N1007" i="1"/>
  <c r="M1007" i="1"/>
  <c r="AC1006" i="1"/>
  <c r="W1006" i="1"/>
  <c r="U1006" i="1"/>
  <c r="S1006" i="1"/>
  <c r="Q1006" i="1" s="1"/>
  <c r="P1006" i="1"/>
  <c r="M1006" i="1"/>
  <c r="N1006" i="1" s="1"/>
  <c r="AC1005" i="1"/>
  <c r="W1005" i="1"/>
  <c r="U1005" i="1"/>
  <c r="S1005" i="1"/>
  <c r="Y1004" i="1" s="1"/>
  <c r="P1005" i="1"/>
  <c r="N1005" i="1"/>
  <c r="M1005" i="1"/>
  <c r="AC1004" i="1"/>
  <c r="W1004" i="1"/>
  <c r="U1004" i="1"/>
  <c r="S1004" i="1"/>
  <c r="P1004" i="1"/>
  <c r="N1004" i="1"/>
  <c r="M1004" i="1"/>
  <c r="AC1003" i="1"/>
  <c r="Y1003" i="1"/>
  <c r="W1003" i="1"/>
  <c r="U1003" i="1"/>
  <c r="S1003" i="1"/>
  <c r="Q1003" i="1"/>
  <c r="P1003" i="1"/>
  <c r="M1003" i="1"/>
  <c r="N1003" i="1" s="1"/>
  <c r="AC1002" i="1"/>
  <c r="W1002" i="1"/>
  <c r="U1002" i="1"/>
  <c r="S1002" i="1"/>
  <c r="P1002" i="1"/>
  <c r="N1002" i="1"/>
  <c r="M1002" i="1"/>
  <c r="AC1001" i="1"/>
  <c r="W1001" i="1"/>
  <c r="U1001" i="1"/>
  <c r="S1001" i="1"/>
  <c r="Q1001" i="1" s="1"/>
  <c r="P1001" i="1"/>
  <c r="M1001" i="1"/>
  <c r="N1001" i="1" s="1"/>
  <c r="AC1000" i="1"/>
  <c r="W1000" i="1"/>
  <c r="U1000" i="1"/>
  <c r="S1000" i="1"/>
  <c r="Q1000" i="1" s="1"/>
  <c r="P1000" i="1"/>
  <c r="M1000" i="1"/>
  <c r="N1000" i="1" s="1"/>
  <c r="AC999" i="1"/>
  <c r="W999" i="1"/>
  <c r="U999" i="1"/>
  <c r="S999" i="1"/>
  <c r="Q999" i="1" s="1"/>
  <c r="P999" i="1"/>
  <c r="N999" i="1"/>
  <c r="M999" i="1"/>
  <c r="AC998" i="1"/>
  <c r="W998" i="1"/>
  <c r="U998" i="1"/>
  <c r="S998" i="1"/>
  <c r="Z997" i="1" s="1"/>
  <c r="P998" i="1"/>
  <c r="M998" i="1"/>
  <c r="N998" i="1" s="1"/>
  <c r="AC997" i="1"/>
  <c r="W997" i="1"/>
  <c r="U997" i="1"/>
  <c r="S997" i="1"/>
  <c r="Q997" i="1" s="1"/>
  <c r="P997" i="1"/>
  <c r="M997" i="1"/>
  <c r="N997" i="1" s="1"/>
  <c r="AC996" i="1"/>
  <c r="W996" i="1"/>
  <c r="U996" i="1"/>
  <c r="S996" i="1"/>
  <c r="P996" i="1"/>
  <c r="N996" i="1"/>
  <c r="M996" i="1"/>
  <c r="E996" i="1"/>
  <c r="AC995" i="1"/>
  <c r="W995" i="1"/>
  <c r="U995" i="1"/>
  <c r="S995" i="1"/>
  <c r="Q995" i="1" s="1"/>
  <c r="P995" i="1"/>
  <c r="N995" i="1"/>
  <c r="M995" i="1"/>
  <c r="AC994" i="1"/>
  <c r="W994" i="1"/>
  <c r="U994" i="1"/>
  <c r="S994" i="1"/>
  <c r="P994" i="1"/>
  <c r="N994" i="1"/>
  <c r="M994" i="1"/>
  <c r="AC993" i="1"/>
  <c r="W993" i="1"/>
  <c r="U993" i="1"/>
  <c r="S993" i="1"/>
  <c r="Q993" i="1" s="1"/>
  <c r="P993" i="1"/>
  <c r="M993" i="1"/>
  <c r="N993" i="1" s="1"/>
  <c r="AC992" i="1"/>
  <c r="W992" i="1"/>
  <c r="U992" i="1"/>
  <c r="S992" i="1"/>
  <c r="P992" i="1"/>
  <c r="M992" i="1"/>
  <c r="N992" i="1" s="1"/>
  <c r="AC991" i="1"/>
  <c r="W991" i="1"/>
  <c r="U991" i="1"/>
  <c r="S991" i="1"/>
  <c r="Q991" i="1" s="1"/>
  <c r="P991" i="1"/>
  <c r="N991" i="1"/>
  <c r="M991" i="1"/>
  <c r="AC990" i="1"/>
  <c r="W990" i="1"/>
  <c r="U990" i="1"/>
  <c r="S990" i="1"/>
  <c r="P990" i="1"/>
  <c r="M990" i="1"/>
  <c r="N990" i="1" s="1"/>
  <c r="AC989" i="1"/>
  <c r="W989" i="1"/>
  <c r="U989" i="1"/>
  <c r="S989" i="1"/>
  <c r="P989" i="1"/>
  <c r="N989" i="1"/>
  <c r="M989" i="1"/>
  <c r="AC988" i="1"/>
  <c r="Y988" i="1"/>
  <c r="W988" i="1"/>
  <c r="U988" i="1"/>
  <c r="S988" i="1"/>
  <c r="P988" i="1"/>
  <c r="M988" i="1"/>
  <c r="N988" i="1" s="1"/>
  <c r="AC987" i="1"/>
  <c r="W987" i="1"/>
  <c r="U987" i="1"/>
  <c r="S987" i="1"/>
  <c r="Q987" i="1" s="1"/>
  <c r="P987" i="1"/>
  <c r="N987" i="1"/>
  <c r="M987" i="1"/>
  <c r="AC986" i="1"/>
  <c r="W986" i="1"/>
  <c r="U986" i="1"/>
  <c r="S986" i="1"/>
  <c r="Z985" i="1" s="1"/>
  <c r="P986" i="1"/>
  <c r="N986" i="1"/>
  <c r="M986" i="1"/>
  <c r="AC985" i="1"/>
  <c r="W985" i="1"/>
  <c r="U985" i="1"/>
  <c r="S985" i="1"/>
  <c r="Q985" i="1" s="1"/>
  <c r="P985" i="1"/>
  <c r="M985" i="1"/>
  <c r="N985" i="1" s="1"/>
  <c r="AC984" i="1"/>
  <c r="W984" i="1"/>
  <c r="U984" i="1"/>
  <c r="S984" i="1"/>
  <c r="Q984" i="1" s="1"/>
  <c r="P984" i="1"/>
  <c r="N984" i="1"/>
  <c r="M984" i="1"/>
  <c r="E984" i="1"/>
  <c r="AC983" i="1"/>
  <c r="Z983" i="1"/>
  <c r="W983" i="1"/>
  <c r="U983" i="1"/>
  <c r="S983" i="1"/>
  <c r="P983" i="1"/>
  <c r="M983" i="1"/>
  <c r="N983" i="1" s="1"/>
  <c r="AC982" i="1"/>
  <c r="W982" i="1"/>
  <c r="U982" i="1"/>
  <c r="S982" i="1"/>
  <c r="Q982" i="1" s="1"/>
  <c r="P982" i="1"/>
  <c r="N982" i="1"/>
  <c r="M982" i="1"/>
  <c r="AC981" i="1"/>
  <c r="W981" i="1"/>
  <c r="U981" i="1"/>
  <c r="S981" i="1"/>
  <c r="Y980" i="1" s="1"/>
  <c r="P981" i="1"/>
  <c r="M981" i="1"/>
  <c r="N981" i="1" s="1"/>
  <c r="AC980" i="1"/>
  <c r="W980" i="1"/>
  <c r="U980" i="1"/>
  <c r="S980" i="1"/>
  <c r="Y979" i="1" s="1"/>
  <c r="P980" i="1"/>
  <c r="N980" i="1"/>
  <c r="M980" i="1"/>
  <c r="U979" i="1"/>
  <c r="S979" i="1"/>
  <c r="Q979" i="1" s="1"/>
  <c r="P979" i="1"/>
  <c r="M979" i="1"/>
  <c r="N979" i="1" s="1"/>
  <c r="AC978" i="1"/>
  <c r="W978" i="1"/>
  <c r="U978" i="1"/>
  <c r="S978" i="1"/>
  <c r="P978" i="1"/>
  <c r="N978" i="1"/>
  <c r="M978" i="1"/>
  <c r="AC977" i="1"/>
  <c r="W977" i="1"/>
  <c r="U977" i="1"/>
  <c r="S977" i="1"/>
  <c r="Q977" i="1" s="1"/>
  <c r="P977" i="1"/>
  <c r="M977" i="1"/>
  <c r="N977" i="1" s="1"/>
  <c r="AC976" i="1"/>
  <c r="Z976" i="1"/>
  <c r="W976" i="1"/>
  <c r="U976" i="1"/>
  <c r="S976" i="1"/>
  <c r="Q976" i="1" s="1"/>
  <c r="P976" i="1"/>
  <c r="M976" i="1"/>
  <c r="N976" i="1" s="1"/>
  <c r="AC975" i="1"/>
  <c r="W975" i="1"/>
  <c r="U975" i="1"/>
  <c r="S975" i="1"/>
  <c r="Q975" i="1" s="1"/>
  <c r="P975" i="1"/>
  <c r="N975" i="1"/>
  <c r="M975" i="1"/>
  <c r="AC974" i="1"/>
  <c r="W974" i="1"/>
  <c r="U974" i="1"/>
  <c r="S974" i="1"/>
  <c r="P974" i="1"/>
  <c r="M974" i="1"/>
  <c r="N974" i="1" s="1"/>
  <c r="AC973" i="1"/>
  <c r="W973" i="1"/>
  <c r="U973" i="1"/>
  <c r="S973" i="1"/>
  <c r="Z972" i="1" s="1"/>
  <c r="P973" i="1"/>
  <c r="M973" i="1"/>
  <c r="N973" i="1" s="1"/>
  <c r="AC972" i="1"/>
  <c r="W972" i="1"/>
  <c r="U972" i="1"/>
  <c r="S972" i="1"/>
  <c r="P972" i="1"/>
  <c r="N972" i="1"/>
  <c r="M972" i="1"/>
  <c r="AC971" i="1"/>
  <c r="W971" i="1"/>
  <c r="U971" i="1"/>
  <c r="S971" i="1"/>
  <c r="Q971" i="1" s="1"/>
  <c r="P971" i="1"/>
  <c r="M971" i="1"/>
  <c r="N971" i="1" s="1"/>
  <c r="AC970" i="1"/>
  <c r="W970" i="1"/>
  <c r="U970" i="1"/>
  <c r="S970" i="1"/>
  <c r="Y970" i="1" s="1"/>
  <c r="P970" i="1"/>
  <c r="N970" i="1"/>
  <c r="M970" i="1"/>
  <c r="AC969" i="1"/>
  <c r="W969" i="1"/>
  <c r="U969" i="1"/>
  <c r="S969" i="1"/>
  <c r="Q969" i="1" s="1"/>
  <c r="P969" i="1"/>
  <c r="M969" i="1"/>
  <c r="N969" i="1" s="1"/>
  <c r="AC968" i="1"/>
  <c r="W968" i="1"/>
  <c r="U968" i="1"/>
  <c r="S968" i="1"/>
  <c r="P968" i="1"/>
  <c r="M968" i="1"/>
  <c r="N968" i="1" s="1"/>
  <c r="AC967" i="1"/>
  <c r="W967" i="1"/>
  <c r="U967" i="1"/>
  <c r="S967" i="1"/>
  <c r="Z966" i="1" s="1"/>
  <c r="P967" i="1"/>
  <c r="N967" i="1"/>
  <c r="M967" i="1"/>
  <c r="AC966" i="1"/>
  <c r="W966" i="1"/>
  <c r="U966" i="1"/>
  <c r="S966" i="1"/>
  <c r="P966" i="1"/>
  <c r="N966" i="1"/>
  <c r="M966" i="1"/>
  <c r="AC965" i="1"/>
  <c r="W965" i="1"/>
  <c r="U965" i="1"/>
  <c r="P965" i="1"/>
  <c r="M965" i="1"/>
  <c r="N965" i="1" s="1"/>
  <c r="AC964" i="1"/>
  <c r="W964" i="1"/>
  <c r="U964" i="1"/>
  <c r="P964" i="1"/>
  <c r="M964" i="1"/>
  <c r="N964" i="1" s="1"/>
  <c r="AC963" i="1"/>
  <c r="W963" i="1"/>
  <c r="U963" i="1"/>
  <c r="S963" i="1"/>
  <c r="Y962" i="1" s="1"/>
  <c r="P963" i="1"/>
  <c r="M963" i="1"/>
  <c r="N963" i="1" s="1"/>
  <c r="AC962" i="1"/>
  <c r="W962" i="1"/>
  <c r="U962" i="1"/>
  <c r="S962" i="1"/>
  <c r="Q962" i="1" s="1"/>
  <c r="P962" i="1"/>
  <c r="N962" i="1"/>
  <c r="M962" i="1"/>
  <c r="AC961" i="1"/>
  <c r="W961" i="1"/>
  <c r="U961" i="1"/>
  <c r="S961" i="1"/>
  <c r="Q961" i="1" s="1"/>
  <c r="P961" i="1"/>
  <c r="M961" i="1"/>
  <c r="N961" i="1" s="1"/>
  <c r="E961" i="1"/>
  <c r="AC960" i="1"/>
  <c r="W960" i="1"/>
  <c r="U960" i="1"/>
  <c r="S960" i="1"/>
  <c r="P960" i="1"/>
  <c r="M960" i="1"/>
  <c r="N960" i="1" s="1"/>
  <c r="AC959" i="1"/>
  <c r="W959" i="1"/>
  <c r="U959" i="1"/>
  <c r="S959" i="1"/>
  <c r="P959" i="1"/>
  <c r="N959" i="1"/>
  <c r="M959" i="1"/>
  <c r="AC958" i="1"/>
  <c r="Z958" i="1"/>
  <c r="W958" i="1"/>
  <c r="U958" i="1"/>
  <c r="S958" i="1"/>
  <c r="Q958" i="1"/>
  <c r="P958" i="1"/>
  <c r="M958" i="1"/>
  <c r="N958" i="1" s="1"/>
  <c r="AC957" i="1"/>
  <c r="W957" i="1"/>
  <c r="U957" i="1"/>
  <c r="S957" i="1"/>
  <c r="Q957" i="1" s="1"/>
  <c r="P957" i="1"/>
  <c r="M957" i="1"/>
  <c r="N957" i="1" s="1"/>
  <c r="AC956" i="1"/>
  <c r="Y956" i="1"/>
  <c r="W956" i="1"/>
  <c r="U956" i="1"/>
  <c r="S956" i="1"/>
  <c r="Q956" i="1"/>
  <c r="P956" i="1"/>
  <c r="N956" i="1"/>
  <c r="M956" i="1"/>
  <c r="AC955" i="1"/>
  <c r="Z955" i="1"/>
  <c r="W955" i="1"/>
  <c r="U955" i="1"/>
  <c r="S955" i="1"/>
  <c r="Y955" i="1" s="1"/>
  <c r="P955" i="1"/>
  <c r="N955" i="1"/>
  <c r="M955" i="1"/>
  <c r="AC954" i="1"/>
  <c r="Y954" i="1"/>
  <c r="W954" i="1"/>
  <c r="U954" i="1"/>
  <c r="S954" i="1"/>
  <c r="Q954" i="1"/>
  <c r="P954" i="1"/>
  <c r="M954" i="1"/>
  <c r="N954" i="1" s="1"/>
  <c r="AC953" i="1"/>
  <c r="Z953" i="1"/>
  <c r="W953" i="1"/>
  <c r="U953" i="1"/>
  <c r="S953" i="1"/>
  <c r="Q953" i="1" s="1"/>
  <c r="P953" i="1"/>
  <c r="N953" i="1"/>
  <c r="M953" i="1"/>
  <c r="AC952" i="1"/>
  <c r="Z952" i="1"/>
  <c r="W952" i="1"/>
  <c r="U952" i="1"/>
  <c r="S952" i="1"/>
  <c r="Q952" i="1" s="1"/>
  <c r="P952" i="1"/>
  <c r="M952" i="1"/>
  <c r="N952" i="1" s="1"/>
  <c r="AC951" i="1"/>
  <c r="W951" i="1"/>
  <c r="U951" i="1"/>
  <c r="S951" i="1"/>
  <c r="Q951" i="1" s="1"/>
  <c r="P951" i="1"/>
  <c r="M951" i="1"/>
  <c r="N951" i="1" s="1"/>
  <c r="AC950" i="1"/>
  <c r="W950" i="1"/>
  <c r="U950" i="1"/>
  <c r="S950" i="1"/>
  <c r="Y949" i="1" s="1"/>
  <c r="Q950" i="1"/>
  <c r="P950" i="1"/>
  <c r="M950" i="1"/>
  <c r="N950" i="1" s="1"/>
  <c r="AC949" i="1"/>
  <c r="W949" i="1"/>
  <c r="U949" i="1"/>
  <c r="S949" i="1"/>
  <c r="P949" i="1"/>
  <c r="M949" i="1"/>
  <c r="N949" i="1" s="1"/>
  <c r="AC948" i="1"/>
  <c r="W948" i="1"/>
  <c r="U948" i="1"/>
  <c r="S948" i="1"/>
  <c r="Q948" i="1" s="1"/>
  <c r="P948" i="1"/>
  <c r="M948" i="1"/>
  <c r="N948" i="1" s="1"/>
  <c r="E948" i="1"/>
  <c r="AC947" i="1"/>
  <c r="W947" i="1"/>
  <c r="U947" i="1"/>
  <c r="S947" i="1"/>
  <c r="Q947" i="1"/>
  <c r="P947" i="1"/>
  <c r="M947" i="1"/>
  <c r="N947" i="1" s="1"/>
  <c r="AC946" i="1"/>
  <c r="W946" i="1"/>
  <c r="U946" i="1"/>
  <c r="S946" i="1"/>
  <c r="Q946" i="1" s="1"/>
  <c r="P946" i="1"/>
  <c r="N946" i="1"/>
  <c r="M946" i="1"/>
  <c r="AC945" i="1"/>
  <c r="W945" i="1"/>
  <c r="U945" i="1"/>
  <c r="S945" i="1"/>
  <c r="P945" i="1"/>
  <c r="M945" i="1"/>
  <c r="N945" i="1" s="1"/>
  <c r="AC944" i="1"/>
  <c r="W944" i="1"/>
  <c r="U944" i="1"/>
  <c r="S944" i="1"/>
  <c r="Q944" i="1" s="1"/>
  <c r="P944" i="1"/>
  <c r="M944" i="1"/>
  <c r="N944" i="1" s="1"/>
  <c r="AC943" i="1"/>
  <c r="W943" i="1"/>
  <c r="U943" i="1"/>
  <c r="S943" i="1"/>
  <c r="Q943" i="1" s="1"/>
  <c r="P943" i="1"/>
  <c r="N943" i="1"/>
  <c r="M943" i="1"/>
  <c r="AC942" i="1"/>
  <c r="W942" i="1"/>
  <c r="U942" i="1"/>
  <c r="S942" i="1"/>
  <c r="Q942" i="1" s="1"/>
  <c r="P942" i="1"/>
  <c r="N942" i="1"/>
  <c r="M942" i="1"/>
  <c r="AC941" i="1"/>
  <c r="W941" i="1"/>
  <c r="U941" i="1"/>
  <c r="S941" i="1"/>
  <c r="Q941" i="1" s="1"/>
  <c r="P941" i="1"/>
  <c r="M941" i="1"/>
  <c r="N941" i="1" s="1"/>
  <c r="AC940" i="1"/>
  <c r="W940" i="1"/>
  <c r="U940" i="1"/>
  <c r="S940" i="1"/>
  <c r="Y939" i="1" s="1"/>
  <c r="Q940" i="1"/>
  <c r="P940" i="1"/>
  <c r="M940" i="1"/>
  <c r="N940" i="1" s="1"/>
  <c r="Z939" i="1"/>
  <c r="U939" i="1"/>
  <c r="S939" i="1"/>
  <c r="Q939" i="1" s="1"/>
  <c r="P939" i="1"/>
  <c r="M939" i="1"/>
  <c r="N939" i="1" s="1"/>
  <c r="AC938" i="1"/>
  <c r="W938" i="1"/>
  <c r="U938" i="1"/>
  <c r="S938" i="1"/>
  <c r="Q938" i="1" s="1"/>
  <c r="P938" i="1"/>
  <c r="M938" i="1"/>
  <c r="N938" i="1" s="1"/>
  <c r="AC937" i="1"/>
  <c r="W937" i="1"/>
  <c r="U937" i="1"/>
  <c r="S937" i="1"/>
  <c r="P937" i="1"/>
  <c r="M937" i="1"/>
  <c r="N937" i="1" s="1"/>
  <c r="AC936" i="1"/>
  <c r="W936" i="1"/>
  <c r="U936" i="1"/>
  <c r="S936" i="1"/>
  <c r="Q936" i="1"/>
  <c r="P936" i="1"/>
  <c r="M936" i="1"/>
  <c r="N936" i="1" s="1"/>
  <c r="AC935" i="1"/>
  <c r="W935" i="1"/>
  <c r="U935" i="1"/>
  <c r="S935" i="1"/>
  <c r="P935" i="1"/>
  <c r="M935" i="1"/>
  <c r="N935" i="1" s="1"/>
  <c r="AC934" i="1"/>
  <c r="W934" i="1"/>
  <c r="U934" i="1"/>
  <c r="S934" i="1"/>
  <c r="Q934" i="1" s="1"/>
  <c r="P934" i="1"/>
  <c r="N934" i="1"/>
  <c r="M934" i="1"/>
  <c r="AC933" i="1"/>
  <c r="W933" i="1"/>
  <c r="U933" i="1"/>
  <c r="S933" i="1"/>
  <c r="Q933" i="1" s="1"/>
  <c r="P933" i="1"/>
  <c r="M933" i="1"/>
  <c r="N933" i="1" s="1"/>
  <c r="E933" i="1"/>
  <c r="AC932" i="1"/>
  <c r="W932" i="1"/>
  <c r="U932" i="1"/>
  <c r="S932" i="1"/>
  <c r="Q932" i="1" s="1"/>
  <c r="P932" i="1"/>
  <c r="M932" i="1"/>
  <c r="N932" i="1" s="1"/>
  <c r="AC931" i="1"/>
  <c r="W931" i="1"/>
  <c r="U931" i="1"/>
  <c r="S931" i="1"/>
  <c r="Q931" i="1"/>
  <c r="P931" i="1"/>
  <c r="M931" i="1"/>
  <c r="N931" i="1" s="1"/>
  <c r="AC930" i="1"/>
  <c r="Z930" i="1"/>
  <c r="Y930" i="1"/>
  <c r="W930" i="1"/>
  <c r="U930" i="1"/>
  <c r="S930" i="1"/>
  <c r="Q930" i="1" s="1"/>
  <c r="P930" i="1"/>
  <c r="M930" i="1"/>
  <c r="N930" i="1" s="1"/>
  <c r="AC929" i="1"/>
  <c r="W929" i="1"/>
  <c r="U929" i="1"/>
  <c r="S929" i="1"/>
  <c r="Q929" i="1" s="1"/>
  <c r="P929" i="1"/>
  <c r="N929" i="1"/>
  <c r="M929" i="1"/>
  <c r="AC928" i="1"/>
  <c r="W928" i="1"/>
  <c r="U928" i="1"/>
  <c r="S928" i="1"/>
  <c r="P928" i="1"/>
  <c r="M928" i="1"/>
  <c r="N928" i="1" s="1"/>
  <c r="AC927" i="1"/>
  <c r="W927" i="1"/>
  <c r="U927" i="1"/>
  <c r="S927" i="1"/>
  <c r="Q927" i="1"/>
  <c r="P927" i="1"/>
  <c r="M927" i="1"/>
  <c r="N927" i="1" s="1"/>
  <c r="AC926" i="1"/>
  <c r="W926" i="1"/>
  <c r="U926" i="1"/>
  <c r="S926" i="1"/>
  <c r="Q926" i="1" s="1"/>
  <c r="P926" i="1"/>
  <c r="N926" i="1"/>
  <c r="M926" i="1"/>
  <c r="AC925" i="1"/>
  <c r="Y925" i="1"/>
  <c r="W925" i="1"/>
  <c r="U925" i="1"/>
  <c r="S925" i="1"/>
  <c r="Q925" i="1" s="1"/>
  <c r="P925" i="1"/>
  <c r="N925" i="1"/>
  <c r="M925" i="1"/>
  <c r="AC924" i="1"/>
  <c r="W924" i="1"/>
  <c r="U924" i="1"/>
  <c r="S924" i="1"/>
  <c r="Q924" i="1" s="1"/>
  <c r="P924" i="1"/>
  <c r="M924" i="1"/>
  <c r="N924" i="1" s="1"/>
  <c r="AC923" i="1"/>
  <c r="W923" i="1"/>
  <c r="U923" i="1"/>
  <c r="S923" i="1"/>
  <c r="Q923" i="1" s="1"/>
  <c r="P923" i="1"/>
  <c r="M923" i="1"/>
  <c r="N923" i="1" s="1"/>
  <c r="AC922" i="1"/>
  <c r="W922" i="1"/>
  <c r="U922" i="1"/>
  <c r="S922" i="1"/>
  <c r="Q922" i="1" s="1"/>
  <c r="P922" i="1"/>
  <c r="M922" i="1"/>
  <c r="N922" i="1" s="1"/>
  <c r="AC921" i="1"/>
  <c r="W921" i="1"/>
  <c r="U921" i="1"/>
  <c r="S921" i="1"/>
  <c r="Q921" i="1" s="1"/>
  <c r="P921" i="1"/>
  <c r="N921" i="1"/>
  <c r="M921" i="1"/>
  <c r="AC920" i="1"/>
  <c r="W920" i="1"/>
  <c r="U920" i="1"/>
  <c r="S920" i="1"/>
  <c r="P920" i="1"/>
  <c r="N920" i="1"/>
  <c r="M920" i="1"/>
  <c r="E920" i="1"/>
  <c r="AC919" i="1"/>
  <c r="W919" i="1"/>
  <c r="U919" i="1"/>
  <c r="S919" i="1"/>
  <c r="P919" i="1"/>
  <c r="N919" i="1"/>
  <c r="M919" i="1"/>
  <c r="AC918" i="1"/>
  <c r="W918" i="1"/>
  <c r="U918" i="1"/>
  <c r="S918" i="1"/>
  <c r="Y917" i="1" s="1"/>
  <c r="P918" i="1"/>
  <c r="M918" i="1"/>
  <c r="N918" i="1" s="1"/>
  <c r="AC917" i="1"/>
  <c r="W917" i="1"/>
  <c r="U917" i="1"/>
  <c r="S917" i="1"/>
  <c r="Q917" i="1"/>
  <c r="P917" i="1"/>
  <c r="N917" i="1"/>
  <c r="M917" i="1"/>
  <c r="AC916" i="1"/>
  <c r="W916" i="1"/>
  <c r="U916" i="1"/>
  <c r="S916" i="1"/>
  <c r="Q916" i="1" s="1"/>
  <c r="P916" i="1"/>
  <c r="N916" i="1"/>
  <c r="M916" i="1"/>
  <c r="AC915" i="1"/>
  <c r="W915" i="1"/>
  <c r="U915" i="1"/>
  <c r="S915" i="1"/>
  <c r="Q915" i="1" s="1"/>
  <c r="N915" i="1"/>
  <c r="P915" i="1" s="1"/>
  <c r="M915" i="1"/>
  <c r="AC914" i="1"/>
  <c r="W914" i="1"/>
  <c r="U914" i="1"/>
  <c r="S914" i="1"/>
  <c r="Z913" i="1" s="1"/>
  <c r="P914" i="1"/>
  <c r="M914" i="1"/>
  <c r="N914" i="1" s="1"/>
  <c r="AC913" i="1"/>
  <c r="W913" i="1"/>
  <c r="U913" i="1"/>
  <c r="S913" i="1"/>
  <c r="Q913" i="1" s="1"/>
  <c r="P913" i="1"/>
  <c r="M913" i="1"/>
  <c r="N913" i="1" s="1"/>
  <c r="AC912" i="1"/>
  <c r="W912" i="1"/>
  <c r="U912" i="1"/>
  <c r="S912" i="1"/>
  <c r="Q912" i="1" s="1"/>
  <c r="P912" i="1"/>
  <c r="N912" i="1"/>
  <c r="M912" i="1"/>
  <c r="AC911" i="1"/>
  <c r="W911" i="1"/>
  <c r="U911" i="1"/>
  <c r="S911" i="1"/>
  <c r="P911" i="1"/>
  <c r="N911" i="1"/>
  <c r="M911" i="1"/>
  <c r="AC910" i="1"/>
  <c r="W910" i="1"/>
  <c r="U910" i="1"/>
  <c r="S910" i="1"/>
  <c r="P910" i="1"/>
  <c r="M910" i="1"/>
  <c r="N910" i="1" s="1"/>
  <c r="AC909" i="1"/>
  <c r="Y909" i="1"/>
  <c r="W909" i="1"/>
  <c r="U909" i="1"/>
  <c r="S909" i="1"/>
  <c r="Q909" i="1"/>
  <c r="P909" i="1"/>
  <c r="N909" i="1"/>
  <c r="M909" i="1"/>
  <c r="AC908" i="1"/>
  <c r="Y908" i="1"/>
  <c r="W908" i="1"/>
  <c r="U908" i="1"/>
  <c r="S908" i="1"/>
  <c r="Q908" i="1" s="1"/>
  <c r="P908" i="1"/>
  <c r="N908" i="1"/>
  <c r="M908" i="1"/>
  <c r="U907" i="1"/>
  <c r="S907" i="1"/>
  <c r="Q907" i="1" s="1"/>
  <c r="P907" i="1"/>
  <c r="M907" i="1"/>
  <c r="N907" i="1" s="1"/>
  <c r="U906" i="1"/>
  <c r="S906" i="1"/>
  <c r="Q906" i="1" s="1"/>
  <c r="P906" i="1"/>
  <c r="M906" i="1"/>
  <c r="N906" i="1" s="1"/>
  <c r="AC905" i="1"/>
  <c r="W905" i="1"/>
  <c r="U905" i="1"/>
  <c r="S905" i="1"/>
  <c r="Q905" i="1" s="1"/>
  <c r="P905" i="1"/>
  <c r="M905" i="1"/>
  <c r="N905" i="1" s="1"/>
  <c r="AC904" i="1"/>
  <c r="W904" i="1"/>
  <c r="U904" i="1"/>
  <c r="S904" i="1"/>
  <c r="P904" i="1"/>
  <c r="N904" i="1"/>
  <c r="M904" i="1"/>
  <c r="AC903" i="1"/>
  <c r="W903" i="1"/>
  <c r="U903" i="1"/>
  <c r="S903" i="1"/>
  <c r="P903" i="1"/>
  <c r="M903" i="1"/>
  <c r="N903" i="1" s="1"/>
  <c r="AC902" i="1"/>
  <c r="W902" i="1"/>
  <c r="U902" i="1"/>
  <c r="S902" i="1"/>
  <c r="P902" i="1"/>
  <c r="N902" i="1"/>
  <c r="M902" i="1"/>
  <c r="U901" i="1"/>
  <c r="S901" i="1"/>
  <c r="Z900" i="1" s="1"/>
  <c r="P901" i="1"/>
  <c r="M901" i="1"/>
  <c r="N901" i="1" s="1"/>
  <c r="AC900" i="1"/>
  <c r="W900" i="1"/>
  <c r="U900" i="1"/>
  <c r="S900" i="1"/>
  <c r="Q900" i="1" s="1"/>
  <c r="P900" i="1"/>
  <c r="M900" i="1"/>
  <c r="N900" i="1" s="1"/>
  <c r="AC899" i="1"/>
  <c r="W899" i="1"/>
  <c r="U899" i="1"/>
  <c r="S899" i="1"/>
  <c r="P899" i="1"/>
  <c r="M899" i="1"/>
  <c r="N899" i="1" s="1"/>
  <c r="AC898" i="1"/>
  <c r="W898" i="1"/>
  <c r="P898" i="1"/>
  <c r="N898" i="1"/>
  <c r="AC897" i="1"/>
  <c r="W897" i="1"/>
  <c r="N897" i="1"/>
  <c r="AC896" i="1"/>
  <c r="W896" i="1"/>
  <c r="U896" i="1"/>
  <c r="S896" i="1"/>
  <c r="Q896" i="1"/>
  <c r="P896" i="1"/>
  <c r="M896" i="1"/>
  <c r="N896" i="1" s="1"/>
  <c r="AC895" i="1"/>
  <c r="W895" i="1"/>
  <c r="U895" i="1"/>
  <c r="S895" i="1"/>
  <c r="Q895" i="1" s="1"/>
  <c r="P895" i="1"/>
  <c r="N895" i="1"/>
  <c r="M895" i="1"/>
  <c r="AC894" i="1"/>
  <c r="W894" i="1"/>
  <c r="U894" i="1"/>
  <c r="S894" i="1"/>
  <c r="P894" i="1"/>
  <c r="M894" i="1"/>
  <c r="N894" i="1" s="1"/>
  <c r="U893" i="1"/>
  <c r="S893" i="1"/>
  <c r="Q893" i="1"/>
  <c r="P893" i="1"/>
  <c r="N893" i="1"/>
  <c r="M893" i="1"/>
  <c r="Z892" i="1"/>
  <c r="U892" i="1"/>
  <c r="S892" i="1"/>
  <c r="Q892" i="1" s="1"/>
  <c r="P892" i="1"/>
  <c r="M892" i="1"/>
  <c r="N892" i="1" s="1"/>
  <c r="U891" i="1"/>
  <c r="S891" i="1"/>
  <c r="P891" i="1"/>
  <c r="M891" i="1"/>
  <c r="N891" i="1" s="1"/>
  <c r="U890" i="1"/>
  <c r="S890" i="1"/>
  <c r="Q890" i="1" s="1"/>
  <c r="P890" i="1"/>
  <c r="N890" i="1"/>
  <c r="M890" i="1"/>
  <c r="AC889" i="1"/>
  <c r="W889" i="1"/>
  <c r="U889" i="1"/>
  <c r="S889" i="1"/>
  <c r="Z889" i="1" s="1"/>
  <c r="P889" i="1"/>
  <c r="M889" i="1"/>
  <c r="N889" i="1" s="1"/>
  <c r="U888" i="1"/>
  <c r="S888" i="1"/>
  <c r="Q888" i="1" s="1"/>
  <c r="P888" i="1"/>
  <c r="M888" i="1"/>
  <c r="N888" i="1" s="1"/>
  <c r="AC887" i="1"/>
  <c r="W887" i="1"/>
  <c r="U887" i="1"/>
  <c r="S887" i="1"/>
  <c r="Z887" i="1" s="1"/>
  <c r="P887" i="1"/>
  <c r="M887" i="1"/>
  <c r="N887" i="1" s="1"/>
  <c r="E887" i="1"/>
  <c r="AC886" i="1"/>
  <c r="W886" i="1"/>
  <c r="U886" i="1"/>
  <c r="S886" i="1"/>
  <c r="P886" i="1"/>
  <c r="M886" i="1"/>
  <c r="N886" i="1" s="1"/>
  <c r="AC885" i="1"/>
  <c r="W885" i="1"/>
  <c r="U885" i="1"/>
  <c r="S885" i="1"/>
  <c r="Q885" i="1" s="1"/>
  <c r="P885" i="1"/>
  <c r="M885" i="1"/>
  <c r="N885" i="1" s="1"/>
  <c r="U884" i="1"/>
  <c r="S884" i="1"/>
  <c r="Q884" i="1" s="1"/>
  <c r="P884" i="1"/>
  <c r="M884" i="1"/>
  <c r="N884" i="1" s="1"/>
  <c r="AC883" i="1"/>
  <c r="W883" i="1"/>
  <c r="U883" i="1"/>
  <c r="S883" i="1"/>
  <c r="Q883" i="1" s="1"/>
  <c r="P883" i="1"/>
  <c r="M883" i="1"/>
  <c r="N883" i="1" s="1"/>
  <c r="AC882" i="1"/>
  <c r="W882" i="1"/>
  <c r="U882" i="1"/>
  <c r="S882" i="1"/>
  <c r="Q882" i="1" s="1"/>
  <c r="P882" i="1"/>
  <c r="N882" i="1"/>
  <c r="M882" i="1"/>
  <c r="AC881" i="1"/>
  <c r="W881" i="1"/>
  <c r="U881" i="1"/>
  <c r="S881" i="1"/>
  <c r="Q881" i="1" s="1"/>
  <c r="N881" i="1"/>
  <c r="P881" i="1" s="1"/>
  <c r="M881" i="1"/>
  <c r="AC880" i="1"/>
  <c r="W880" i="1"/>
  <c r="U880" i="1"/>
  <c r="S880" i="1"/>
  <c r="Q880" i="1"/>
  <c r="P880" i="1"/>
  <c r="M880" i="1"/>
  <c r="N880" i="1" s="1"/>
  <c r="AC879" i="1"/>
  <c r="Z879" i="1"/>
  <c r="Y879" i="1"/>
  <c r="W879" i="1"/>
  <c r="U879" i="1"/>
  <c r="S879" i="1"/>
  <c r="Q879" i="1"/>
  <c r="P879" i="1"/>
  <c r="M879" i="1"/>
  <c r="N879" i="1" s="1"/>
  <c r="AC878" i="1"/>
  <c r="W878" i="1"/>
  <c r="U878" i="1"/>
  <c r="S878" i="1"/>
  <c r="Q878" i="1" s="1"/>
  <c r="P878" i="1"/>
  <c r="M878" i="1"/>
  <c r="N878" i="1" s="1"/>
  <c r="AC877" i="1"/>
  <c r="W877" i="1"/>
  <c r="U877" i="1"/>
  <c r="S877" i="1"/>
  <c r="Q877" i="1" s="1"/>
  <c r="P877" i="1"/>
  <c r="M877" i="1"/>
  <c r="N877" i="1" s="1"/>
  <c r="AC876" i="1"/>
  <c r="W876" i="1"/>
  <c r="U876" i="1"/>
  <c r="S876" i="1"/>
  <c r="P876" i="1"/>
  <c r="M876" i="1"/>
  <c r="N876" i="1" s="1"/>
  <c r="AC875" i="1"/>
  <c r="W875" i="1"/>
  <c r="U875" i="1"/>
  <c r="S875" i="1"/>
  <c r="Q875" i="1" s="1"/>
  <c r="P875" i="1"/>
  <c r="N875" i="1"/>
  <c r="M875" i="1"/>
  <c r="AC874" i="1"/>
  <c r="W874" i="1"/>
  <c r="U874" i="1"/>
  <c r="S874" i="1"/>
  <c r="Q874" i="1"/>
  <c r="P874" i="1"/>
  <c r="M874" i="1"/>
  <c r="N874" i="1" s="1"/>
  <c r="AC873" i="1"/>
  <c r="W873" i="1"/>
  <c r="U873" i="1"/>
  <c r="S873" i="1"/>
  <c r="Z873" i="1" s="1"/>
  <c r="M873" i="1"/>
  <c r="N873" i="1" s="1"/>
  <c r="P873" i="1" s="1"/>
  <c r="AC872" i="1"/>
  <c r="W872" i="1"/>
  <c r="U872" i="1"/>
  <c r="S872" i="1"/>
  <c r="Z871" i="1" s="1"/>
  <c r="P872" i="1"/>
  <c r="M872" i="1"/>
  <c r="N872" i="1" s="1"/>
  <c r="AC871" i="1"/>
  <c r="W871" i="1"/>
  <c r="U871" i="1"/>
  <c r="S871" i="1"/>
  <c r="P871" i="1"/>
  <c r="M871" i="1"/>
  <c r="N871" i="1" s="1"/>
  <c r="AC870" i="1"/>
  <c r="W870" i="1"/>
  <c r="U870" i="1"/>
  <c r="S870" i="1"/>
  <c r="Q870" i="1"/>
  <c r="P870" i="1"/>
  <c r="M870" i="1"/>
  <c r="N870" i="1" s="1"/>
  <c r="AC869" i="1"/>
  <c r="W869" i="1"/>
  <c r="U869" i="1"/>
  <c r="S869" i="1"/>
  <c r="P869" i="1"/>
  <c r="M869" i="1"/>
  <c r="N869" i="1" s="1"/>
  <c r="E869" i="1"/>
  <c r="AC868" i="1"/>
  <c r="W868" i="1"/>
  <c r="U868" i="1"/>
  <c r="S868" i="1"/>
  <c r="P868" i="1"/>
  <c r="M868" i="1"/>
  <c r="N868" i="1" s="1"/>
  <c r="AC867" i="1"/>
  <c r="W867" i="1"/>
  <c r="U867" i="1"/>
  <c r="S867" i="1"/>
  <c r="P867" i="1"/>
  <c r="M867" i="1"/>
  <c r="N867" i="1" s="1"/>
  <c r="AC866" i="1"/>
  <c r="W866" i="1"/>
  <c r="U866" i="1"/>
  <c r="S866" i="1"/>
  <c r="Q866" i="1" s="1"/>
  <c r="P866" i="1"/>
  <c r="M866" i="1"/>
  <c r="N866" i="1" s="1"/>
  <c r="AC865" i="1"/>
  <c r="W865" i="1"/>
  <c r="U865" i="1"/>
  <c r="S865" i="1"/>
  <c r="Y864" i="1" s="1"/>
  <c r="Q865" i="1"/>
  <c r="P865" i="1"/>
  <c r="M865" i="1"/>
  <c r="N865" i="1" s="1"/>
  <c r="AC864" i="1"/>
  <c r="W864" i="1"/>
  <c r="U864" i="1"/>
  <c r="S864" i="1"/>
  <c r="P864" i="1"/>
  <c r="M864" i="1"/>
  <c r="N864" i="1" s="1"/>
  <c r="AC863" i="1"/>
  <c r="W863" i="1"/>
  <c r="U863" i="1"/>
  <c r="S863" i="1"/>
  <c r="Q863" i="1" s="1"/>
  <c r="P863" i="1"/>
  <c r="M863" i="1"/>
  <c r="N863" i="1" s="1"/>
  <c r="AC862" i="1"/>
  <c r="W862" i="1"/>
  <c r="U862" i="1"/>
  <c r="S862" i="1"/>
  <c r="Q862" i="1" s="1"/>
  <c r="P862" i="1"/>
  <c r="M862" i="1"/>
  <c r="N862" i="1" s="1"/>
  <c r="AC861" i="1"/>
  <c r="W861" i="1"/>
  <c r="U861" i="1"/>
  <c r="S861" i="1"/>
  <c r="Q861" i="1" s="1"/>
  <c r="P861" i="1"/>
  <c r="M861" i="1"/>
  <c r="N861" i="1" s="1"/>
  <c r="AC860" i="1"/>
  <c r="W860" i="1"/>
  <c r="U860" i="1"/>
  <c r="S860" i="1"/>
  <c r="Q860" i="1" s="1"/>
  <c r="P860" i="1"/>
  <c r="N860" i="1"/>
  <c r="M860" i="1"/>
  <c r="AC859" i="1"/>
  <c r="W859" i="1"/>
  <c r="U859" i="1"/>
  <c r="S859" i="1"/>
  <c r="Q859" i="1" s="1"/>
  <c r="P859" i="1"/>
  <c r="M859" i="1"/>
  <c r="N859" i="1" s="1"/>
  <c r="AC858" i="1"/>
  <c r="W858" i="1"/>
  <c r="U858" i="1"/>
  <c r="S858" i="1"/>
  <c r="Q858" i="1" s="1"/>
  <c r="P858" i="1"/>
  <c r="M858" i="1"/>
  <c r="N858" i="1" s="1"/>
  <c r="AC857" i="1"/>
  <c r="W857" i="1"/>
  <c r="U857" i="1"/>
  <c r="S857" i="1"/>
  <c r="Y856" i="1" s="1"/>
  <c r="Q857" i="1"/>
  <c r="P857" i="1"/>
  <c r="M857" i="1"/>
  <c r="N857" i="1" s="1"/>
  <c r="AC856" i="1"/>
  <c r="W856" i="1"/>
  <c r="U856" i="1"/>
  <c r="S856" i="1"/>
  <c r="P856" i="1"/>
  <c r="N856" i="1"/>
  <c r="M856" i="1"/>
  <c r="AC855" i="1"/>
  <c r="W855" i="1"/>
  <c r="U855" i="1"/>
  <c r="S855" i="1"/>
  <c r="P855" i="1"/>
  <c r="M855" i="1"/>
  <c r="N855" i="1" s="1"/>
  <c r="AC854" i="1"/>
  <c r="W854" i="1"/>
  <c r="U854" i="1"/>
  <c r="S854" i="1"/>
  <c r="P854" i="1"/>
  <c r="M854" i="1"/>
  <c r="N854" i="1" s="1"/>
  <c r="AC853" i="1"/>
  <c r="W853" i="1"/>
  <c r="U853" i="1"/>
  <c r="S853" i="1"/>
  <c r="P853" i="1"/>
  <c r="M853" i="1"/>
  <c r="N853" i="1" s="1"/>
  <c r="AC852" i="1"/>
  <c r="W852" i="1"/>
  <c r="U852" i="1"/>
  <c r="S852" i="1"/>
  <c r="P852" i="1"/>
  <c r="M852" i="1"/>
  <c r="N852" i="1" s="1"/>
  <c r="AC851" i="1"/>
  <c r="W851" i="1"/>
  <c r="U851" i="1"/>
  <c r="S851" i="1"/>
  <c r="P851" i="1"/>
  <c r="M851" i="1"/>
  <c r="N851" i="1" s="1"/>
  <c r="E851" i="1"/>
  <c r="AC850" i="1"/>
  <c r="W850" i="1"/>
  <c r="U850" i="1"/>
  <c r="S850" i="1"/>
  <c r="Q850" i="1"/>
  <c r="P850" i="1"/>
  <c r="M850" i="1"/>
  <c r="N850" i="1" s="1"/>
  <c r="AC849" i="1"/>
  <c r="W849" i="1"/>
  <c r="U849" i="1"/>
  <c r="S849" i="1"/>
  <c r="Q849" i="1" s="1"/>
  <c r="P849" i="1"/>
  <c r="M849" i="1"/>
  <c r="N849" i="1" s="1"/>
  <c r="AC848" i="1"/>
  <c r="W848" i="1"/>
  <c r="U848" i="1"/>
  <c r="S848" i="1"/>
  <c r="Y847" i="1" s="1"/>
  <c r="P848" i="1"/>
  <c r="M848" i="1"/>
  <c r="N848" i="1" s="1"/>
  <c r="AC847" i="1"/>
  <c r="W847" i="1"/>
  <c r="U847" i="1"/>
  <c r="S847" i="1"/>
  <c r="P847" i="1"/>
  <c r="N847" i="1"/>
  <c r="M847" i="1"/>
  <c r="AC846" i="1"/>
  <c r="W846" i="1"/>
  <c r="U846" i="1"/>
  <c r="S846" i="1"/>
  <c r="Q846" i="1"/>
  <c r="P846" i="1"/>
  <c r="M846" i="1"/>
  <c r="N846" i="1" s="1"/>
  <c r="AC845" i="1"/>
  <c r="Z845" i="1"/>
  <c r="W845" i="1"/>
  <c r="U845" i="1"/>
  <c r="S845" i="1"/>
  <c r="Q845" i="1" s="1"/>
  <c r="P845" i="1"/>
  <c r="N845" i="1"/>
  <c r="M845" i="1"/>
  <c r="AC844" i="1"/>
  <c r="Y844" i="1"/>
  <c r="W844" i="1"/>
  <c r="U844" i="1"/>
  <c r="S844" i="1"/>
  <c r="Q844" i="1"/>
  <c r="P844" i="1"/>
  <c r="M844" i="1"/>
  <c r="N844" i="1" s="1"/>
  <c r="AC843" i="1"/>
  <c r="Z843" i="1"/>
  <c r="W843" i="1"/>
  <c r="U843" i="1"/>
  <c r="S843" i="1"/>
  <c r="Q843" i="1" s="1"/>
  <c r="P843" i="1"/>
  <c r="N843" i="1"/>
  <c r="M843" i="1"/>
  <c r="AC842" i="1"/>
  <c r="Y842" i="1"/>
  <c r="W842" i="1"/>
  <c r="U842" i="1"/>
  <c r="S842" i="1"/>
  <c r="Q842" i="1"/>
  <c r="P842" i="1"/>
  <c r="M842" i="1"/>
  <c r="N842" i="1" s="1"/>
  <c r="AC841" i="1"/>
  <c r="W841" i="1"/>
  <c r="U841" i="1"/>
  <c r="S841" i="1"/>
  <c r="Q841" i="1" s="1"/>
  <c r="P841" i="1"/>
  <c r="M841" i="1"/>
  <c r="N841" i="1" s="1"/>
  <c r="AC840" i="1"/>
  <c r="W840" i="1"/>
  <c r="U840" i="1"/>
  <c r="S840" i="1"/>
  <c r="P840" i="1"/>
  <c r="M840" i="1"/>
  <c r="N840" i="1" s="1"/>
  <c r="AC839" i="1"/>
  <c r="W839" i="1"/>
  <c r="U839" i="1"/>
  <c r="S839" i="1"/>
  <c r="P839" i="1"/>
  <c r="N839" i="1"/>
  <c r="M839" i="1"/>
  <c r="AC838" i="1"/>
  <c r="W838" i="1"/>
  <c r="U838" i="1"/>
  <c r="S838" i="1"/>
  <c r="Q838" i="1"/>
  <c r="P838" i="1"/>
  <c r="M838" i="1"/>
  <c r="N838" i="1" s="1"/>
  <c r="AC837" i="1"/>
  <c r="Z837" i="1"/>
  <c r="W837" i="1"/>
  <c r="U837" i="1"/>
  <c r="S837" i="1"/>
  <c r="Q837" i="1" s="1"/>
  <c r="P837" i="1"/>
  <c r="N837" i="1"/>
  <c r="M837" i="1"/>
  <c r="E837" i="1"/>
  <c r="AC836" i="1"/>
  <c r="Z836" i="1"/>
  <c r="W836" i="1"/>
  <c r="U836" i="1"/>
  <c r="S836" i="1"/>
  <c r="Q836" i="1" s="1"/>
  <c r="P836" i="1"/>
  <c r="N836" i="1"/>
  <c r="M836" i="1"/>
  <c r="AC835" i="1"/>
  <c r="Y835" i="1"/>
  <c r="W835" i="1"/>
  <c r="U835" i="1"/>
  <c r="S835" i="1"/>
  <c r="Q835" i="1"/>
  <c r="P835" i="1"/>
  <c r="M835" i="1"/>
  <c r="N835" i="1" s="1"/>
  <c r="AC834" i="1"/>
  <c r="Z834" i="1"/>
  <c r="W834" i="1"/>
  <c r="U834" i="1"/>
  <c r="S834" i="1"/>
  <c r="Q834" i="1" s="1"/>
  <c r="P834" i="1"/>
  <c r="N834" i="1"/>
  <c r="M834" i="1"/>
  <c r="AC833" i="1"/>
  <c r="Y833" i="1"/>
  <c r="W833" i="1"/>
  <c r="U833" i="1"/>
  <c r="S833" i="1"/>
  <c r="Y832" i="1" s="1"/>
  <c r="Q833" i="1"/>
  <c r="P833" i="1"/>
  <c r="M833" i="1"/>
  <c r="N833" i="1" s="1"/>
  <c r="AC832" i="1"/>
  <c r="W832" i="1"/>
  <c r="U832" i="1"/>
  <c r="S832" i="1"/>
  <c r="Q832" i="1" s="1"/>
  <c r="P832" i="1"/>
  <c r="N832" i="1"/>
  <c r="M832" i="1"/>
  <c r="AC831" i="1"/>
  <c r="W831" i="1"/>
  <c r="U831" i="1"/>
  <c r="S831" i="1"/>
  <c r="P831" i="1"/>
  <c r="M831" i="1"/>
  <c r="N831" i="1" s="1"/>
  <c r="AC830" i="1"/>
  <c r="W830" i="1"/>
  <c r="U830" i="1"/>
  <c r="S830" i="1"/>
  <c r="P830" i="1"/>
  <c r="M830" i="1"/>
  <c r="N830" i="1" s="1"/>
  <c r="AC829" i="1"/>
  <c r="W829" i="1"/>
  <c r="U829" i="1"/>
  <c r="S829" i="1"/>
  <c r="Q829" i="1" s="1"/>
  <c r="P829" i="1"/>
  <c r="M829" i="1"/>
  <c r="N829" i="1" s="1"/>
  <c r="AC828" i="1"/>
  <c r="W828" i="1"/>
  <c r="U828" i="1"/>
  <c r="S828" i="1"/>
  <c r="Q828" i="1" s="1"/>
  <c r="P828" i="1"/>
  <c r="N828" i="1"/>
  <c r="M828" i="1"/>
  <c r="AC827" i="1"/>
  <c r="W827" i="1"/>
  <c r="U827" i="1"/>
  <c r="S827" i="1"/>
  <c r="Q827" i="1" s="1"/>
  <c r="P827" i="1"/>
  <c r="M827" i="1"/>
  <c r="N827" i="1" s="1"/>
  <c r="AC826" i="1"/>
  <c r="W826" i="1"/>
  <c r="U826" i="1"/>
  <c r="S826" i="1"/>
  <c r="Q826" i="1" s="1"/>
  <c r="P826" i="1"/>
  <c r="N826" i="1"/>
  <c r="M826" i="1"/>
  <c r="AC825" i="1"/>
  <c r="W825" i="1"/>
  <c r="P825" i="1"/>
  <c r="N825" i="1"/>
  <c r="AC824" i="1"/>
  <c r="W824" i="1"/>
  <c r="N824" i="1"/>
  <c r="AC823" i="1"/>
  <c r="W823" i="1"/>
  <c r="U823" i="1"/>
  <c r="S823" i="1"/>
  <c r="Q823" i="1" s="1"/>
  <c r="P823" i="1"/>
  <c r="N823" i="1"/>
  <c r="M823" i="1"/>
  <c r="AC822" i="1"/>
  <c r="W822" i="1"/>
  <c r="U822" i="1"/>
  <c r="S822" i="1"/>
  <c r="Q822" i="1" s="1"/>
  <c r="P822" i="1"/>
  <c r="M822" i="1"/>
  <c r="N822" i="1" s="1"/>
  <c r="AC821" i="1"/>
  <c r="W821" i="1"/>
  <c r="U821" i="1"/>
  <c r="S821" i="1"/>
  <c r="P821" i="1"/>
  <c r="M821" i="1"/>
  <c r="N821" i="1" s="1"/>
  <c r="AC820" i="1"/>
  <c r="W820" i="1"/>
  <c r="U820" i="1"/>
  <c r="S820" i="1"/>
  <c r="Y819" i="1" s="1"/>
  <c r="Q820" i="1"/>
  <c r="P820" i="1"/>
  <c r="M820" i="1"/>
  <c r="N820" i="1" s="1"/>
  <c r="AC819" i="1"/>
  <c r="W819" i="1"/>
  <c r="U819" i="1"/>
  <c r="S819" i="1"/>
  <c r="P819" i="1"/>
  <c r="N819" i="1"/>
  <c r="M819" i="1"/>
  <c r="AC818" i="1"/>
  <c r="Y818" i="1"/>
  <c r="W818" i="1"/>
  <c r="U818" i="1"/>
  <c r="S818" i="1"/>
  <c r="Q818" i="1"/>
  <c r="P818" i="1"/>
  <c r="M818" i="1"/>
  <c r="N818" i="1" s="1"/>
  <c r="E818" i="1"/>
  <c r="AC817" i="1"/>
  <c r="Y817" i="1"/>
  <c r="W817" i="1"/>
  <c r="U817" i="1"/>
  <c r="S817" i="1"/>
  <c r="Q817" i="1" s="1"/>
  <c r="P817" i="1"/>
  <c r="M817" i="1"/>
  <c r="N817" i="1" s="1"/>
  <c r="AC816" i="1"/>
  <c r="W816" i="1"/>
  <c r="U816" i="1"/>
  <c r="S816" i="1"/>
  <c r="P816" i="1"/>
  <c r="N816" i="1"/>
  <c r="M816" i="1"/>
  <c r="AC815" i="1"/>
  <c r="Y815" i="1"/>
  <c r="W815" i="1"/>
  <c r="U815" i="1"/>
  <c r="S815" i="1"/>
  <c r="Q815" i="1"/>
  <c r="P815" i="1"/>
  <c r="M815" i="1"/>
  <c r="N815" i="1" s="1"/>
  <c r="AC814" i="1"/>
  <c r="Z814" i="1"/>
  <c r="W814" i="1"/>
  <c r="U814" i="1"/>
  <c r="S814" i="1"/>
  <c r="Q814" i="1" s="1"/>
  <c r="P814" i="1"/>
  <c r="N814" i="1"/>
  <c r="M814" i="1"/>
  <c r="AC813" i="1"/>
  <c r="Y813" i="1"/>
  <c r="W813" i="1"/>
  <c r="U813" i="1"/>
  <c r="S813" i="1"/>
  <c r="Q813" i="1"/>
  <c r="P813" i="1"/>
  <c r="M813" i="1"/>
  <c r="N813" i="1" s="1"/>
  <c r="AC812" i="1"/>
  <c r="W812" i="1"/>
  <c r="U812" i="1"/>
  <c r="S812" i="1"/>
  <c r="Q812" i="1" s="1"/>
  <c r="M812" i="1"/>
  <c r="N812" i="1" s="1"/>
  <c r="P812" i="1" s="1"/>
  <c r="AC811" i="1"/>
  <c r="W811" i="1"/>
  <c r="U811" i="1"/>
  <c r="S811" i="1"/>
  <c r="Q811" i="1" s="1"/>
  <c r="P811" i="1"/>
  <c r="M811" i="1"/>
  <c r="N811" i="1" s="1"/>
  <c r="AC810" i="1"/>
  <c r="W810" i="1"/>
  <c r="U810" i="1"/>
  <c r="S810" i="1"/>
  <c r="Q810" i="1" s="1"/>
  <c r="P810" i="1"/>
  <c r="M810" i="1"/>
  <c r="N810" i="1" s="1"/>
  <c r="AC809" i="1"/>
  <c r="W809" i="1"/>
  <c r="U809" i="1"/>
  <c r="S809" i="1"/>
  <c r="Q809" i="1" s="1"/>
  <c r="P809" i="1"/>
  <c r="M809" i="1"/>
  <c r="N809" i="1" s="1"/>
  <c r="AC808" i="1"/>
  <c r="W808" i="1"/>
  <c r="U808" i="1"/>
  <c r="S808" i="1"/>
  <c r="P808" i="1"/>
  <c r="M808" i="1"/>
  <c r="N808" i="1" s="1"/>
  <c r="AC807" i="1"/>
  <c r="W807" i="1"/>
  <c r="U807" i="1"/>
  <c r="S807" i="1"/>
  <c r="Q807" i="1" s="1"/>
  <c r="P807" i="1"/>
  <c r="M807" i="1"/>
  <c r="N807" i="1" s="1"/>
  <c r="AC806" i="1"/>
  <c r="W806" i="1"/>
  <c r="U806" i="1"/>
  <c r="S806" i="1"/>
  <c r="Q806" i="1" s="1"/>
  <c r="P806" i="1"/>
  <c r="N806" i="1"/>
  <c r="M806" i="1"/>
  <c r="AC805" i="1"/>
  <c r="W805" i="1"/>
  <c r="U805" i="1"/>
  <c r="S805" i="1"/>
  <c r="Q805" i="1" s="1"/>
  <c r="P805" i="1"/>
  <c r="M805" i="1"/>
  <c r="N805" i="1" s="1"/>
  <c r="AC804" i="1"/>
  <c r="W804" i="1"/>
  <c r="U804" i="1"/>
  <c r="S804" i="1"/>
  <c r="Q804" i="1"/>
  <c r="P804" i="1"/>
  <c r="M804" i="1"/>
  <c r="N804" i="1" s="1"/>
  <c r="AC803" i="1"/>
  <c r="W803" i="1"/>
  <c r="U803" i="1"/>
  <c r="S803" i="1"/>
  <c r="Q803" i="1" s="1"/>
  <c r="P803" i="1"/>
  <c r="M803" i="1"/>
  <c r="N803" i="1" s="1"/>
  <c r="AC802" i="1"/>
  <c r="W802" i="1"/>
  <c r="U802" i="1"/>
  <c r="S802" i="1"/>
  <c r="Q802" i="1" s="1"/>
  <c r="P802" i="1"/>
  <c r="M802" i="1"/>
  <c r="N802" i="1" s="1"/>
  <c r="AC801" i="1"/>
  <c r="W801" i="1"/>
  <c r="U801" i="1"/>
  <c r="S801" i="1"/>
  <c r="Y800" i="1" s="1"/>
  <c r="Q801" i="1"/>
  <c r="P801" i="1"/>
  <c r="M801" i="1"/>
  <c r="N801" i="1" s="1"/>
  <c r="AC800" i="1"/>
  <c r="Z800" i="1"/>
  <c r="W800" i="1"/>
  <c r="U800" i="1"/>
  <c r="S800" i="1"/>
  <c r="P800" i="1"/>
  <c r="M800" i="1"/>
  <c r="N800" i="1" s="1"/>
  <c r="E800" i="1"/>
  <c r="AC799" i="1"/>
  <c r="Y799" i="1"/>
  <c r="W799" i="1"/>
  <c r="U799" i="1"/>
  <c r="S799" i="1"/>
  <c r="Q799" i="1" s="1"/>
  <c r="P799" i="1"/>
  <c r="M799" i="1"/>
  <c r="N799" i="1" s="1"/>
  <c r="AC798" i="1"/>
  <c r="Z798" i="1"/>
  <c r="W798" i="1"/>
  <c r="U798" i="1"/>
  <c r="S798" i="1"/>
  <c r="Y797" i="1" s="1"/>
  <c r="P798" i="1"/>
  <c r="M798" i="1"/>
  <c r="N798" i="1" s="1"/>
  <c r="AC797" i="1"/>
  <c r="W797" i="1"/>
  <c r="U797" i="1"/>
  <c r="S797" i="1"/>
  <c r="Q797" i="1" s="1"/>
  <c r="P797" i="1"/>
  <c r="M797" i="1"/>
  <c r="N797" i="1" s="1"/>
  <c r="AC796" i="1"/>
  <c r="W796" i="1"/>
  <c r="U796" i="1"/>
  <c r="S796" i="1"/>
  <c r="Q796" i="1" s="1"/>
  <c r="P796" i="1"/>
  <c r="M796" i="1"/>
  <c r="N796" i="1" s="1"/>
  <c r="AC795" i="1"/>
  <c r="W795" i="1"/>
  <c r="U795" i="1"/>
  <c r="S795" i="1"/>
  <c r="Q795" i="1"/>
  <c r="P795" i="1"/>
  <c r="M795" i="1"/>
  <c r="N795" i="1" s="1"/>
  <c r="AC794" i="1"/>
  <c r="W794" i="1"/>
  <c r="U794" i="1"/>
  <c r="S794" i="1"/>
  <c r="Q794" i="1"/>
  <c r="P794" i="1"/>
  <c r="M794" i="1"/>
  <c r="N794" i="1" s="1"/>
  <c r="AC793" i="1"/>
  <c r="W793" i="1"/>
  <c r="U793" i="1"/>
  <c r="S793" i="1"/>
  <c r="Q793" i="1" s="1"/>
  <c r="P793" i="1"/>
  <c r="N793" i="1"/>
  <c r="M793" i="1"/>
  <c r="AC792" i="1"/>
  <c r="W792" i="1"/>
  <c r="U792" i="1"/>
  <c r="S792" i="1"/>
  <c r="P792" i="1"/>
  <c r="M792" i="1"/>
  <c r="N792" i="1" s="1"/>
  <c r="AC791" i="1"/>
  <c r="W791" i="1"/>
  <c r="U791" i="1"/>
  <c r="S791" i="1"/>
  <c r="Q791" i="1"/>
  <c r="P791" i="1"/>
  <c r="M791" i="1"/>
  <c r="N791" i="1" s="1"/>
  <c r="AC790" i="1"/>
  <c r="W790" i="1"/>
  <c r="U790" i="1"/>
  <c r="S790" i="1"/>
  <c r="Y790" i="1" s="1"/>
  <c r="Q790" i="1"/>
  <c r="P790" i="1"/>
  <c r="M790" i="1"/>
  <c r="N790" i="1" s="1"/>
  <c r="AC789" i="1"/>
  <c r="W789" i="1"/>
  <c r="U789" i="1"/>
  <c r="S789" i="1"/>
  <c r="Z789" i="1" s="1"/>
  <c r="P789" i="1"/>
  <c r="M789" i="1"/>
  <c r="N789" i="1" s="1"/>
  <c r="AC788" i="1"/>
  <c r="W788" i="1"/>
  <c r="U788" i="1"/>
  <c r="S788" i="1"/>
  <c r="Q788" i="1" s="1"/>
  <c r="P788" i="1"/>
  <c r="M788" i="1"/>
  <c r="N788" i="1" s="1"/>
  <c r="AC787" i="1"/>
  <c r="W787" i="1"/>
  <c r="U787" i="1"/>
  <c r="S787" i="1"/>
  <c r="Z786" i="1" s="1"/>
  <c r="Q787" i="1"/>
  <c r="P787" i="1"/>
  <c r="M787" i="1"/>
  <c r="N787" i="1" s="1"/>
  <c r="AC786" i="1"/>
  <c r="W786" i="1"/>
  <c r="U786" i="1"/>
  <c r="S786" i="1"/>
  <c r="Y786" i="1" s="1"/>
  <c r="Q786" i="1"/>
  <c r="P786" i="1"/>
  <c r="N786" i="1"/>
  <c r="M786" i="1"/>
  <c r="AC785" i="1"/>
  <c r="W785" i="1"/>
  <c r="U785" i="1"/>
  <c r="S785" i="1"/>
  <c r="Q785" i="1" s="1"/>
  <c r="P785" i="1"/>
  <c r="M785" i="1"/>
  <c r="N785" i="1" s="1"/>
  <c r="AC784" i="1"/>
  <c r="W784" i="1"/>
  <c r="U784" i="1"/>
  <c r="S784" i="1"/>
  <c r="Q784" i="1" s="1"/>
  <c r="P784" i="1"/>
  <c r="N784" i="1"/>
  <c r="M784" i="1"/>
  <c r="E784" i="1"/>
  <c r="AC783" i="1"/>
  <c r="W783" i="1"/>
  <c r="U783" i="1"/>
  <c r="S783" i="1"/>
  <c r="Q783" i="1"/>
  <c r="P783" i="1"/>
  <c r="N783" i="1"/>
  <c r="M783" i="1"/>
  <c r="AC782" i="1"/>
  <c r="W782" i="1"/>
  <c r="U782" i="1"/>
  <c r="S782" i="1"/>
  <c r="Q782" i="1"/>
  <c r="P782" i="1"/>
  <c r="M782" i="1"/>
  <c r="N782" i="1" s="1"/>
  <c r="AC781" i="1"/>
  <c r="W781" i="1"/>
  <c r="U781" i="1"/>
  <c r="S781" i="1"/>
  <c r="Y780" i="1" s="1"/>
  <c r="Q781" i="1"/>
  <c r="P781" i="1"/>
  <c r="M781" i="1"/>
  <c r="N781" i="1" s="1"/>
  <c r="AC780" i="1"/>
  <c r="W780" i="1"/>
  <c r="U780" i="1"/>
  <c r="S780" i="1"/>
  <c r="Q780" i="1"/>
  <c r="P780" i="1"/>
  <c r="M780" i="1"/>
  <c r="N780" i="1" s="1"/>
  <c r="AC779" i="1"/>
  <c r="W779" i="1"/>
  <c r="U779" i="1"/>
  <c r="S779" i="1"/>
  <c r="Q779" i="1" s="1"/>
  <c r="P779" i="1"/>
  <c r="M779" i="1"/>
  <c r="N779" i="1" s="1"/>
  <c r="AC778" i="1"/>
  <c r="W778" i="1"/>
  <c r="U778" i="1"/>
  <c r="S778" i="1"/>
  <c r="P778" i="1"/>
  <c r="M778" i="1"/>
  <c r="N778" i="1" s="1"/>
  <c r="AC777" i="1"/>
  <c r="W777" i="1"/>
  <c r="U777" i="1"/>
  <c r="S777" i="1"/>
  <c r="Q777" i="1" s="1"/>
  <c r="P777" i="1"/>
  <c r="M777" i="1"/>
  <c r="N777" i="1" s="1"/>
  <c r="AC776" i="1"/>
  <c r="W776" i="1"/>
  <c r="U776" i="1"/>
  <c r="S776" i="1"/>
  <c r="Q776" i="1" s="1"/>
  <c r="P776" i="1"/>
  <c r="M776" i="1"/>
  <c r="N776" i="1" s="1"/>
  <c r="AC775" i="1"/>
  <c r="W775" i="1"/>
  <c r="U775" i="1"/>
  <c r="S775" i="1"/>
  <c r="Q775" i="1"/>
  <c r="P775" i="1"/>
  <c r="M775" i="1"/>
  <c r="N775" i="1" s="1"/>
  <c r="AC774" i="1"/>
  <c r="W774" i="1"/>
  <c r="U774" i="1"/>
  <c r="S774" i="1"/>
  <c r="Q774" i="1"/>
  <c r="P774" i="1"/>
  <c r="M774" i="1"/>
  <c r="N774" i="1" s="1"/>
  <c r="AC773" i="1"/>
  <c r="W773" i="1"/>
  <c r="U773" i="1"/>
  <c r="S773" i="1"/>
  <c r="Q773" i="1" s="1"/>
  <c r="P773" i="1"/>
  <c r="N773" i="1"/>
  <c r="M773" i="1"/>
  <c r="AC772" i="1"/>
  <c r="Y772" i="1"/>
  <c r="W772" i="1"/>
  <c r="U772" i="1"/>
  <c r="S772" i="1"/>
  <c r="Q772" i="1" s="1"/>
  <c r="P772" i="1"/>
  <c r="N772" i="1"/>
  <c r="M772" i="1"/>
  <c r="AC771" i="1"/>
  <c r="W771" i="1"/>
  <c r="U771" i="1"/>
  <c r="S771" i="1"/>
  <c r="Q771" i="1" s="1"/>
  <c r="P771" i="1"/>
  <c r="M771" i="1"/>
  <c r="N771" i="1" s="1"/>
  <c r="AC770" i="1"/>
  <c r="W770" i="1"/>
  <c r="U770" i="1"/>
  <c r="S770" i="1"/>
  <c r="Z769" i="1" s="1"/>
  <c r="P770" i="1"/>
  <c r="M770" i="1"/>
  <c r="N770" i="1" s="1"/>
  <c r="AC769" i="1"/>
  <c r="W769" i="1"/>
  <c r="U769" i="1"/>
  <c r="S769" i="1"/>
  <c r="Q769" i="1"/>
  <c r="P769" i="1"/>
  <c r="M769" i="1"/>
  <c r="N769" i="1" s="1"/>
  <c r="AC768" i="1"/>
  <c r="W768" i="1"/>
  <c r="U768" i="1"/>
  <c r="S768" i="1"/>
  <c r="Q768" i="1" s="1"/>
  <c r="P768" i="1"/>
  <c r="N768" i="1"/>
  <c r="M768" i="1"/>
  <c r="E768" i="1"/>
  <c r="AC767" i="1"/>
  <c r="W767" i="1"/>
  <c r="U767" i="1"/>
  <c r="S767" i="1"/>
  <c r="Q767" i="1" s="1"/>
  <c r="P767" i="1"/>
  <c r="N767" i="1"/>
  <c r="M767" i="1"/>
  <c r="AC766" i="1"/>
  <c r="W766" i="1"/>
  <c r="U766" i="1"/>
  <c r="S766" i="1"/>
  <c r="Q766" i="1"/>
  <c r="P766" i="1"/>
  <c r="N766" i="1"/>
  <c r="M766" i="1"/>
  <c r="AC765" i="1"/>
  <c r="W765" i="1"/>
  <c r="U765" i="1"/>
  <c r="S765" i="1"/>
  <c r="P765" i="1"/>
  <c r="M765" i="1"/>
  <c r="N765" i="1" s="1"/>
  <c r="AC764" i="1"/>
  <c r="W764" i="1"/>
  <c r="U764" i="1"/>
  <c r="S764" i="1"/>
  <c r="Q764" i="1"/>
  <c r="P764" i="1"/>
  <c r="M764" i="1"/>
  <c r="N764" i="1" s="1"/>
  <c r="AC763" i="1"/>
  <c r="W763" i="1"/>
  <c r="U763" i="1"/>
  <c r="S763" i="1"/>
  <c r="Q763" i="1" s="1"/>
  <c r="M763" i="1"/>
  <c r="N763" i="1" s="1"/>
  <c r="P763" i="1" s="1"/>
  <c r="AC762" i="1"/>
  <c r="W762" i="1"/>
  <c r="U762" i="1"/>
  <c r="S762" i="1"/>
  <c r="Q762" i="1" s="1"/>
  <c r="P762" i="1"/>
  <c r="N762" i="1"/>
  <c r="M762" i="1"/>
  <c r="AC761" i="1"/>
  <c r="W761" i="1"/>
  <c r="U761" i="1"/>
  <c r="S761" i="1"/>
  <c r="Q761" i="1"/>
  <c r="P761" i="1"/>
  <c r="M761" i="1"/>
  <c r="N761" i="1" s="1"/>
  <c r="AC760" i="1"/>
  <c r="Z760" i="1"/>
  <c r="W760" i="1"/>
  <c r="U760" i="1"/>
  <c r="S760" i="1"/>
  <c r="Y760" i="1" s="1"/>
  <c r="P760" i="1"/>
  <c r="M760" i="1"/>
  <c r="N760" i="1" s="1"/>
  <c r="AC759" i="1"/>
  <c r="W759" i="1"/>
  <c r="U759" i="1"/>
  <c r="S759" i="1"/>
  <c r="Q759" i="1" s="1"/>
  <c r="P759" i="1"/>
  <c r="M759" i="1"/>
  <c r="N759" i="1" s="1"/>
  <c r="AC758" i="1"/>
  <c r="W758" i="1"/>
  <c r="U758" i="1"/>
  <c r="S758" i="1"/>
  <c r="Q758" i="1"/>
  <c r="P758" i="1"/>
  <c r="M758" i="1"/>
  <c r="N758" i="1" s="1"/>
  <c r="AC757" i="1"/>
  <c r="W757" i="1"/>
  <c r="U757" i="1"/>
  <c r="S757" i="1"/>
  <c r="P757" i="1"/>
  <c r="M757" i="1"/>
  <c r="N757" i="1" s="1"/>
  <c r="AC756" i="1"/>
  <c r="W756" i="1"/>
  <c r="U756" i="1"/>
  <c r="S756" i="1"/>
  <c r="Q756" i="1" s="1"/>
  <c r="P756" i="1"/>
  <c r="N756" i="1"/>
  <c r="M756" i="1"/>
  <c r="AC755" i="1"/>
  <c r="W755" i="1"/>
  <c r="P755" i="1"/>
  <c r="N755" i="1"/>
  <c r="AC754" i="1"/>
  <c r="W754" i="1"/>
  <c r="N754" i="1"/>
  <c r="AC753" i="1"/>
  <c r="W753" i="1"/>
  <c r="U753" i="1"/>
  <c r="S753" i="1"/>
  <c r="Q753" i="1"/>
  <c r="P753" i="1"/>
  <c r="M753" i="1"/>
  <c r="N753" i="1" s="1"/>
  <c r="AC752" i="1"/>
  <c r="W752" i="1"/>
  <c r="U752" i="1"/>
  <c r="S752" i="1"/>
  <c r="Q752" i="1"/>
  <c r="P752" i="1"/>
  <c r="N752" i="1"/>
  <c r="M752" i="1"/>
  <c r="AC751" i="1"/>
  <c r="W751" i="1"/>
  <c r="U751" i="1"/>
  <c r="S751" i="1"/>
  <c r="P751" i="1"/>
  <c r="M751" i="1"/>
  <c r="N751" i="1" s="1"/>
  <c r="AC750" i="1"/>
  <c r="W750" i="1"/>
  <c r="U750" i="1"/>
  <c r="S750" i="1"/>
  <c r="Q750" i="1"/>
  <c r="P750" i="1"/>
  <c r="M750" i="1"/>
  <c r="N750" i="1" s="1"/>
  <c r="AC749" i="1"/>
  <c r="W749" i="1"/>
  <c r="U749" i="1"/>
  <c r="S749" i="1"/>
  <c r="P749" i="1"/>
  <c r="M749" i="1"/>
  <c r="N749" i="1" s="1"/>
  <c r="E749" i="1"/>
  <c r="AC748" i="1"/>
  <c r="W748" i="1"/>
  <c r="U748" i="1"/>
  <c r="S748" i="1"/>
  <c r="Q748" i="1" s="1"/>
  <c r="P748" i="1"/>
  <c r="M748" i="1"/>
  <c r="N748" i="1" s="1"/>
  <c r="AC747" i="1"/>
  <c r="W747" i="1"/>
  <c r="U747" i="1"/>
  <c r="S747" i="1"/>
  <c r="Q747" i="1"/>
  <c r="P747" i="1"/>
  <c r="M747" i="1"/>
  <c r="N747" i="1" s="1"/>
  <c r="AC746" i="1"/>
  <c r="Z746" i="1"/>
  <c r="W746" i="1"/>
  <c r="U746" i="1"/>
  <c r="S746" i="1"/>
  <c r="Q746" i="1"/>
  <c r="P746" i="1"/>
  <c r="M746" i="1"/>
  <c r="N746" i="1" s="1"/>
  <c r="AC745" i="1"/>
  <c r="Z745" i="1"/>
  <c r="Y745" i="1"/>
  <c r="W745" i="1"/>
  <c r="U745" i="1"/>
  <c r="S745" i="1"/>
  <c r="Q745" i="1" s="1"/>
  <c r="P745" i="1"/>
  <c r="M745" i="1"/>
  <c r="N745" i="1" s="1"/>
  <c r="AC744" i="1"/>
  <c r="W744" i="1"/>
  <c r="U744" i="1"/>
  <c r="S744" i="1"/>
  <c r="Q744" i="1"/>
  <c r="P744" i="1"/>
  <c r="N744" i="1"/>
  <c r="M744" i="1"/>
  <c r="AC743" i="1"/>
  <c r="Z743" i="1"/>
  <c r="Y743" i="1"/>
  <c r="W743" i="1"/>
  <c r="U743" i="1"/>
  <c r="S743" i="1"/>
  <c r="Q743" i="1"/>
  <c r="P743" i="1"/>
  <c r="M743" i="1"/>
  <c r="N743" i="1" s="1"/>
  <c r="AC742" i="1"/>
  <c r="Z742" i="1"/>
  <c r="W742" i="1"/>
  <c r="U742" i="1"/>
  <c r="S742" i="1"/>
  <c r="Q742" i="1" s="1"/>
  <c r="P742" i="1"/>
  <c r="M742" i="1"/>
  <c r="N742" i="1" s="1"/>
  <c r="AC741" i="1"/>
  <c r="W741" i="1"/>
  <c r="U741" i="1"/>
  <c r="S741" i="1"/>
  <c r="Z741" i="1" s="1"/>
  <c r="P741" i="1"/>
  <c r="M741" i="1"/>
  <c r="N741" i="1" s="1"/>
  <c r="AC740" i="1"/>
  <c r="W740" i="1"/>
  <c r="U740" i="1"/>
  <c r="S740" i="1"/>
  <c r="Q740" i="1" s="1"/>
  <c r="P740" i="1"/>
  <c r="M740" i="1"/>
  <c r="N740" i="1" s="1"/>
  <c r="AC739" i="1"/>
  <c r="W739" i="1"/>
  <c r="U739" i="1"/>
  <c r="S739" i="1"/>
  <c r="P739" i="1"/>
  <c r="M739" i="1"/>
  <c r="N739" i="1" s="1"/>
  <c r="AC738" i="1"/>
  <c r="W738" i="1"/>
  <c r="U738" i="1"/>
  <c r="S738" i="1"/>
  <c r="P738" i="1"/>
  <c r="M738" i="1"/>
  <c r="N738" i="1" s="1"/>
  <c r="AC737" i="1"/>
  <c r="W737" i="1"/>
  <c r="U737" i="1"/>
  <c r="S737" i="1"/>
  <c r="Z736" i="1" s="1"/>
  <c r="Q737" i="1"/>
  <c r="P737" i="1"/>
  <c r="M737" i="1"/>
  <c r="N737" i="1" s="1"/>
  <c r="E737" i="1"/>
  <c r="AC736" i="1"/>
  <c r="W736" i="1"/>
  <c r="U736" i="1"/>
  <c r="S736" i="1"/>
  <c r="Q736" i="1"/>
  <c r="P736" i="1"/>
  <c r="N736" i="1"/>
  <c r="M736" i="1"/>
  <c r="AC735" i="1"/>
  <c r="W735" i="1"/>
  <c r="U735" i="1"/>
  <c r="S735" i="1"/>
  <c r="P735" i="1"/>
  <c r="N735" i="1"/>
  <c r="M735" i="1"/>
  <c r="AC734" i="1"/>
  <c r="W734" i="1"/>
  <c r="U734" i="1"/>
  <c r="S734" i="1"/>
  <c r="Q734" i="1"/>
  <c r="P734" i="1"/>
  <c r="M734" i="1"/>
  <c r="N734" i="1" s="1"/>
  <c r="AC733" i="1"/>
  <c r="W733" i="1"/>
  <c r="U733" i="1"/>
  <c r="S733" i="1"/>
  <c r="P733" i="1"/>
  <c r="M733" i="1"/>
  <c r="N733" i="1" s="1"/>
  <c r="AC732" i="1"/>
  <c r="W732" i="1"/>
  <c r="U732" i="1"/>
  <c r="S732" i="1"/>
  <c r="P732" i="1"/>
  <c r="M732" i="1"/>
  <c r="N732" i="1" s="1"/>
  <c r="AC731" i="1"/>
  <c r="W731" i="1"/>
  <c r="U731" i="1"/>
  <c r="S731" i="1"/>
  <c r="Q731" i="1" s="1"/>
  <c r="P731" i="1"/>
  <c r="M731" i="1"/>
  <c r="N731" i="1" s="1"/>
  <c r="AC730" i="1"/>
  <c r="W730" i="1"/>
  <c r="U730" i="1"/>
  <c r="S730" i="1"/>
  <c r="Y729" i="1" s="1"/>
  <c r="Q730" i="1"/>
  <c r="P730" i="1"/>
  <c r="M730" i="1"/>
  <c r="N730" i="1" s="1"/>
  <c r="AC729" i="1"/>
  <c r="W729" i="1"/>
  <c r="U729" i="1"/>
  <c r="S729" i="1"/>
  <c r="Q729" i="1"/>
  <c r="P729" i="1"/>
  <c r="M729" i="1"/>
  <c r="N729" i="1" s="1"/>
  <c r="AC728" i="1"/>
  <c r="Z728" i="1"/>
  <c r="Y728" i="1"/>
  <c r="W728" i="1"/>
  <c r="U728" i="1"/>
  <c r="S728" i="1"/>
  <c r="Q728" i="1"/>
  <c r="P728" i="1"/>
  <c r="M728" i="1"/>
  <c r="N728" i="1" s="1"/>
  <c r="AC727" i="1"/>
  <c r="Z727" i="1"/>
  <c r="W727" i="1"/>
  <c r="U727" i="1"/>
  <c r="S727" i="1"/>
  <c r="P727" i="1"/>
  <c r="M727" i="1"/>
  <c r="N727" i="1" s="1"/>
  <c r="AC726" i="1"/>
  <c r="Y726" i="1"/>
  <c r="W726" i="1"/>
  <c r="U726" i="1"/>
  <c r="S726" i="1"/>
  <c r="Q726" i="1" s="1"/>
  <c r="P726" i="1"/>
  <c r="M726" i="1"/>
  <c r="N726" i="1" s="1"/>
  <c r="AC725" i="1"/>
  <c r="Z725" i="1"/>
  <c r="W725" i="1"/>
  <c r="U725" i="1"/>
  <c r="S725" i="1"/>
  <c r="Q725" i="1" s="1"/>
  <c r="P725" i="1"/>
  <c r="M725" i="1"/>
  <c r="N725" i="1" s="1"/>
  <c r="AC724" i="1"/>
  <c r="Y724" i="1"/>
  <c r="W724" i="1"/>
  <c r="U724" i="1"/>
  <c r="S724" i="1"/>
  <c r="P724" i="1"/>
  <c r="M724" i="1"/>
  <c r="N724" i="1" s="1"/>
  <c r="AC723" i="1"/>
  <c r="W723" i="1"/>
  <c r="U723" i="1"/>
  <c r="S723" i="1"/>
  <c r="P723" i="1"/>
  <c r="M723" i="1"/>
  <c r="N723" i="1" s="1"/>
  <c r="E723" i="1"/>
  <c r="AC722" i="1"/>
  <c r="W722" i="1"/>
  <c r="U722" i="1"/>
  <c r="S722" i="1"/>
  <c r="Q722" i="1" s="1"/>
  <c r="P722" i="1"/>
  <c r="M722" i="1"/>
  <c r="N722" i="1" s="1"/>
  <c r="AC721" i="1"/>
  <c r="W721" i="1"/>
  <c r="U721" i="1"/>
  <c r="S721" i="1"/>
  <c r="Q721" i="1" s="1"/>
  <c r="P721" i="1"/>
  <c r="M721" i="1"/>
  <c r="N721" i="1" s="1"/>
  <c r="AC720" i="1"/>
  <c r="W720" i="1"/>
  <c r="U720" i="1"/>
  <c r="S720" i="1"/>
  <c r="Q720" i="1"/>
  <c r="P720" i="1"/>
  <c r="M720" i="1"/>
  <c r="N720" i="1" s="1"/>
  <c r="AC719" i="1"/>
  <c r="Z719" i="1"/>
  <c r="W719" i="1"/>
  <c r="U719" i="1"/>
  <c r="S719" i="1"/>
  <c r="Q719" i="1"/>
  <c r="P719" i="1"/>
  <c r="M719" i="1"/>
  <c r="N719" i="1" s="1"/>
  <c r="AC718" i="1"/>
  <c r="W718" i="1"/>
  <c r="U718" i="1"/>
  <c r="S718" i="1"/>
  <c r="Q718" i="1" s="1"/>
  <c r="P718" i="1"/>
  <c r="M718" i="1"/>
  <c r="N718" i="1" s="1"/>
  <c r="AC717" i="1"/>
  <c r="W717" i="1"/>
  <c r="U717" i="1"/>
  <c r="S717" i="1"/>
  <c r="Q717" i="1" s="1"/>
  <c r="P717" i="1"/>
  <c r="N717" i="1"/>
  <c r="M717" i="1"/>
  <c r="AC716" i="1"/>
  <c r="Z716" i="1"/>
  <c r="Y716" i="1"/>
  <c r="W716" i="1"/>
  <c r="U716" i="1"/>
  <c r="S716" i="1"/>
  <c r="Q716" i="1"/>
  <c r="P716" i="1"/>
  <c r="M716" i="1"/>
  <c r="N716" i="1" s="1"/>
  <c r="AC715" i="1"/>
  <c r="Z715" i="1"/>
  <c r="W715" i="1"/>
  <c r="U715" i="1"/>
  <c r="S715" i="1"/>
  <c r="P715" i="1"/>
  <c r="M715" i="1"/>
  <c r="N715" i="1" s="1"/>
  <c r="AC714" i="1"/>
  <c r="Y714" i="1"/>
  <c r="W714" i="1"/>
  <c r="U714" i="1"/>
  <c r="S714" i="1"/>
  <c r="Q714" i="1" s="1"/>
  <c r="P714" i="1"/>
  <c r="M714" i="1"/>
  <c r="N714" i="1" s="1"/>
  <c r="AC713" i="1"/>
  <c r="Z713" i="1"/>
  <c r="W713" i="1"/>
  <c r="U713" i="1"/>
  <c r="S713" i="1"/>
  <c r="Y713" i="1" s="1"/>
  <c r="P713" i="1"/>
  <c r="M713" i="1"/>
  <c r="N713" i="1" s="1"/>
  <c r="AC712" i="1"/>
  <c r="W712" i="1"/>
  <c r="U712" i="1"/>
  <c r="S712" i="1"/>
  <c r="P712" i="1"/>
  <c r="M712" i="1"/>
  <c r="N712" i="1" s="1"/>
  <c r="AC711" i="1"/>
  <c r="W711" i="1"/>
  <c r="U711" i="1"/>
  <c r="S711" i="1"/>
  <c r="Q711" i="1" s="1"/>
  <c r="P711" i="1"/>
  <c r="M711" i="1"/>
  <c r="N711" i="1" s="1"/>
  <c r="AC710" i="1"/>
  <c r="W710" i="1"/>
  <c r="U710" i="1"/>
  <c r="S710" i="1"/>
  <c r="Q710" i="1" s="1"/>
  <c r="P710" i="1"/>
  <c r="M710" i="1"/>
  <c r="N710" i="1" s="1"/>
  <c r="E710" i="1"/>
  <c r="AC709" i="1"/>
  <c r="W709" i="1"/>
  <c r="U709" i="1"/>
  <c r="S709" i="1"/>
  <c r="Q709" i="1" s="1"/>
  <c r="P709" i="1"/>
  <c r="M709" i="1"/>
  <c r="N709" i="1" s="1"/>
  <c r="AC708" i="1"/>
  <c r="W708" i="1"/>
  <c r="U708" i="1"/>
  <c r="S708" i="1"/>
  <c r="Z707" i="1" s="1"/>
  <c r="P708" i="1"/>
  <c r="M708" i="1"/>
  <c r="N708" i="1" s="1"/>
  <c r="AC707" i="1"/>
  <c r="Y707" i="1"/>
  <c r="W707" i="1"/>
  <c r="U707" i="1"/>
  <c r="S707" i="1"/>
  <c r="Q707" i="1"/>
  <c r="P707" i="1"/>
  <c r="N707" i="1"/>
  <c r="M707" i="1"/>
  <c r="AC706" i="1"/>
  <c r="Z706" i="1"/>
  <c r="Y706" i="1"/>
  <c r="W706" i="1"/>
  <c r="U706" i="1"/>
  <c r="S706" i="1"/>
  <c r="Q706" i="1" s="1"/>
  <c r="N706" i="1"/>
  <c r="P706" i="1" s="1"/>
  <c r="M706" i="1"/>
  <c r="AC705" i="1"/>
  <c r="Z705" i="1"/>
  <c r="Y705" i="1"/>
  <c r="W705" i="1"/>
  <c r="U705" i="1"/>
  <c r="S705" i="1"/>
  <c r="Q705" i="1" s="1"/>
  <c r="P705" i="1"/>
  <c r="N705" i="1"/>
  <c r="M705" i="1"/>
  <c r="AC704" i="1"/>
  <c r="W704" i="1"/>
  <c r="U704" i="1"/>
  <c r="S704" i="1"/>
  <c r="P704" i="1"/>
  <c r="M704" i="1"/>
  <c r="N704" i="1" s="1"/>
  <c r="AC703" i="1"/>
  <c r="W703" i="1"/>
  <c r="U703" i="1"/>
  <c r="S703" i="1"/>
  <c r="Y703" i="1" s="1"/>
  <c r="P703" i="1"/>
  <c r="M703" i="1"/>
  <c r="N703" i="1" s="1"/>
  <c r="AC702" i="1"/>
  <c r="W702" i="1"/>
  <c r="U702" i="1"/>
  <c r="S702" i="1"/>
  <c r="Q702" i="1" s="1"/>
  <c r="P702" i="1"/>
  <c r="N702" i="1"/>
  <c r="M702" i="1"/>
  <c r="AC701" i="1"/>
  <c r="W701" i="1"/>
  <c r="U701" i="1"/>
  <c r="S701" i="1"/>
  <c r="Q701" i="1" s="1"/>
  <c r="P701" i="1"/>
  <c r="M701" i="1"/>
  <c r="N701" i="1" s="1"/>
  <c r="AC700" i="1"/>
  <c r="W700" i="1"/>
  <c r="U700" i="1"/>
  <c r="S700" i="1"/>
  <c r="Q700" i="1"/>
  <c r="P700" i="1"/>
  <c r="M700" i="1"/>
  <c r="N700" i="1" s="1"/>
  <c r="AC699" i="1"/>
  <c r="W699" i="1"/>
  <c r="U699" i="1"/>
  <c r="S699" i="1"/>
  <c r="Z699" i="1" s="1"/>
  <c r="Q699" i="1"/>
  <c r="P699" i="1"/>
  <c r="N699" i="1"/>
  <c r="M699" i="1"/>
  <c r="AC698" i="1"/>
  <c r="W698" i="1"/>
  <c r="P698" i="1"/>
  <c r="N698" i="1"/>
  <c r="AC697" i="1"/>
  <c r="W697" i="1"/>
  <c r="N697" i="1"/>
  <c r="AC696" i="1"/>
  <c r="W696" i="1"/>
  <c r="U696" i="1"/>
  <c r="S696" i="1"/>
  <c r="Q696" i="1"/>
  <c r="P696" i="1"/>
  <c r="M696" i="1"/>
  <c r="N696" i="1" s="1"/>
  <c r="AC695" i="1"/>
  <c r="W695" i="1"/>
  <c r="U695" i="1"/>
  <c r="S695" i="1"/>
  <c r="Q695" i="1" s="1"/>
  <c r="P695" i="1"/>
  <c r="M695" i="1"/>
  <c r="N695" i="1" s="1"/>
  <c r="AC694" i="1"/>
  <c r="W694" i="1"/>
  <c r="U694" i="1"/>
  <c r="S694" i="1"/>
  <c r="P694" i="1"/>
  <c r="N694" i="1"/>
  <c r="M694" i="1"/>
  <c r="E694" i="1"/>
  <c r="AC693" i="1"/>
  <c r="W693" i="1"/>
  <c r="U693" i="1"/>
  <c r="S693" i="1"/>
  <c r="Q693" i="1" s="1"/>
  <c r="P693" i="1"/>
  <c r="N693" i="1"/>
  <c r="M693" i="1"/>
  <c r="AC692" i="1"/>
  <c r="Z692" i="1"/>
  <c r="W692" i="1"/>
  <c r="U692" i="1"/>
  <c r="S692" i="1"/>
  <c r="P692" i="1"/>
  <c r="M692" i="1"/>
  <c r="N692" i="1" s="1"/>
  <c r="AC691" i="1"/>
  <c r="W691" i="1"/>
  <c r="U691" i="1"/>
  <c r="S691" i="1"/>
  <c r="P691" i="1"/>
  <c r="M691" i="1"/>
  <c r="N691" i="1" s="1"/>
  <c r="AC690" i="1"/>
  <c r="W690" i="1"/>
  <c r="U690" i="1"/>
  <c r="S690" i="1"/>
  <c r="Q690" i="1" s="1"/>
  <c r="P690" i="1"/>
  <c r="N690" i="1"/>
  <c r="M690" i="1"/>
  <c r="AC689" i="1"/>
  <c r="W689" i="1"/>
  <c r="U689" i="1"/>
  <c r="S689" i="1"/>
  <c r="Q689" i="1" s="1"/>
  <c r="P689" i="1"/>
  <c r="M689" i="1"/>
  <c r="N689" i="1" s="1"/>
  <c r="AC688" i="1"/>
  <c r="W688" i="1"/>
  <c r="U688" i="1"/>
  <c r="S688" i="1"/>
  <c r="Q688" i="1"/>
  <c r="P688" i="1"/>
  <c r="M688" i="1"/>
  <c r="N688" i="1" s="1"/>
  <c r="AC687" i="1"/>
  <c r="W687" i="1"/>
  <c r="U687" i="1"/>
  <c r="S687" i="1"/>
  <c r="P687" i="1"/>
  <c r="M687" i="1"/>
  <c r="N687" i="1" s="1"/>
  <c r="AC686" i="1"/>
  <c r="W686" i="1"/>
  <c r="U686" i="1"/>
  <c r="S686" i="1"/>
  <c r="P686" i="1"/>
  <c r="N686" i="1"/>
  <c r="M686" i="1"/>
  <c r="AC685" i="1"/>
  <c r="W685" i="1"/>
  <c r="U685" i="1"/>
  <c r="S685" i="1"/>
  <c r="Z684" i="1" s="1"/>
  <c r="Q685" i="1"/>
  <c r="P685" i="1"/>
  <c r="N685" i="1"/>
  <c r="M685" i="1"/>
  <c r="AC684" i="1"/>
  <c r="W684" i="1"/>
  <c r="U684" i="1"/>
  <c r="S684" i="1"/>
  <c r="Q684" i="1" s="1"/>
  <c r="P684" i="1"/>
  <c r="M684" i="1"/>
  <c r="N684" i="1" s="1"/>
  <c r="AC683" i="1"/>
  <c r="W683" i="1"/>
  <c r="U683" i="1"/>
  <c r="S683" i="1"/>
  <c r="P683" i="1"/>
  <c r="M683" i="1"/>
  <c r="N683" i="1" s="1"/>
  <c r="AC682" i="1"/>
  <c r="W682" i="1"/>
  <c r="U682" i="1"/>
  <c r="S682" i="1"/>
  <c r="Q682" i="1" s="1"/>
  <c r="P682" i="1"/>
  <c r="M682" i="1"/>
  <c r="N682" i="1" s="1"/>
  <c r="AC681" i="1"/>
  <c r="W681" i="1"/>
  <c r="U681" i="1"/>
  <c r="S681" i="1"/>
  <c r="Q681" i="1" s="1"/>
  <c r="P681" i="1"/>
  <c r="M681" i="1"/>
  <c r="N681" i="1" s="1"/>
  <c r="AC680" i="1"/>
  <c r="W680" i="1"/>
  <c r="U680" i="1"/>
  <c r="S680" i="1"/>
  <c r="Q680" i="1"/>
  <c r="P680" i="1"/>
  <c r="M680" i="1"/>
  <c r="N680" i="1" s="1"/>
  <c r="AC679" i="1"/>
  <c r="Z679" i="1"/>
  <c r="Y679" i="1"/>
  <c r="W679" i="1"/>
  <c r="U679" i="1"/>
  <c r="S679" i="1"/>
  <c r="Q679" i="1"/>
  <c r="P679" i="1"/>
  <c r="M679" i="1"/>
  <c r="N679" i="1" s="1"/>
  <c r="E679" i="1"/>
  <c r="AC678" i="1"/>
  <c r="W678" i="1"/>
  <c r="U678" i="1"/>
  <c r="S678" i="1"/>
  <c r="Z678" i="1" s="1"/>
  <c r="Q678" i="1"/>
  <c r="P678" i="1"/>
  <c r="M678" i="1"/>
  <c r="N678" i="1" s="1"/>
  <c r="AC677" i="1"/>
  <c r="W677" i="1"/>
  <c r="U677" i="1"/>
  <c r="S677" i="1"/>
  <c r="Z676" i="1" s="1"/>
  <c r="P677" i="1"/>
  <c r="N677" i="1"/>
  <c r="M677" i="1"/>
  <c r="AC676" i="1"/>
  <c r="W676" i="1"/>
  <c r="U676" i="1"/>
  <c r="S676" i="1"/>
  <c r="Q676" i="1"/>
  <c r="P676" i="1"/>
  <c r="M676" i="1"/>
  <c r="N676" i="1" s="1"/>
  <c r="AC675" i="1"/>
  <c r="Z675" i="1"/>
  <c r="Y675" i="1"/>
  <c r="W675" i="1"/>
  <c r="U675" i="1"/>
  <c r="S675" i="1"/>
  <c r="Q675" i="1" s="1"/>
  <c r="P675" i="1"/>
  <c r="M675" i="1"/>
  <c r="N675" i="1" s="1"/>
  <c r="AC674" i="1"/>
  <c r="Y674" i="1"/>
  <c r="W674" i="1"/>
  <c r="U674" i="1"/>
  <c r="S674" i="1"/>
  <c r="Y673" i="1" s="1"/>
  <c r="P674" i="1"/>
  <c r="M674" i="1"/>
  <c r="N674" i="1" s="1"/>
  <c r="AC673" i="1"/>
  <c r="W673" i="1"/>
  <c r="U673" i="1"/>
  <c r="S673" i="1"/>
  <c r="Q673" i="1" s="1"/>
  <c r="P673" i="1"/>
  <c r="M673" i="1"/>
  <c r="N673" i="1" s="1"/>
  <c r="AC672" i="1"/>
  <c r="W672" i="1"/>
  <c r="U672" i="1"/>
  <c r="S672" i="1"/>
  <c r="Q672" i="1" s="1"/>
  <c r="P672" i="1"/>
  <c r="M672" i="1"/>
  <c r="N672" i="1" s="1"/>
  <c r="AC671" i="1"/>
  <c r="W671" i="1"/>
  <c r="U671" i="1"/>
  <c r="S671" i="1"/>
  <c r="Q671" i="1"/>
  <c r="P671" i="1"/>
  <c r="M671" i="1"/>
  <c r="N671" i="1" s="1"/>
  <c r="AC670" i="1"/>
  <c r="W670" i="1"/>
  <c r="U670" i="1"/>
  <c r="S670" i="1"/>
  <c r="P670" i="1"/>
  <c r="N670" i="1"/>
  <c r="M670" i="1"/>
  <c r="AC669" i="1"/>
  <c r="Z669" i="1"/>
  <c r="W669" i="1"/>
  <c r="U669" i="1"/>
  <c r="S669" i="1"/>
  <c r="Q669" i="1"/>
  <c r="P669" i="1"/>
  <c r="M669" i="1"/>
  <c r="N669" i="1" s="1"/>
  <c r="AC668" i="1"/>
  <c r="Z668" i="1"/>
  <c r="Y668" i="1"/>
  <c r="W668" i="1"/>
  <c r="U668" i="1"/>
  <c r="S668" i="1"/>
  <c r="Q668" i="1"/>
  <c r="P668" i="1"/>
  <c r="M668" i="1"/>
  <c r="N668" i="1" s="1"/>
  <c r="AC667" i="1"/>
  <c r="W667" i="1"/>
  <c r="U667" i="1"/>
  <c r="S667" i="1"/>
  <c r="P667" i="1"/>
  <c r="M667" i="1"/>
  <c r="N667" i="1" s="1"/>
  <c r="AC666" i="1"/>
  <c r="W666" i="1"/>
  <c r="U666" i="1"/>
  <c r="S666" i="1"/>
  <c r="Q666" i="1"/>
  <c r="P666" i="1"/>
  <c r="M666" i="1"/>
  <c r="N666" i="1" s="1"/>
  <c r="E666" i="1"/>
  <c r="AC665" i="1"/>
  <c r="W665" i="1"/>
  <c r="U665" i="1"/>
  <c r="S665" i="1"/>
  <c r="P665" i="1"/>
  <c r="M665" i="1"/>
  <c r="N665" i="1" s="1"/>
  <c r="AC664" i="1"/>
  <c r="W664" i="1"/>
  <c r="U664" i="1"/>
  <c r="S664" i="1"/>
  <c r="Q664" i="1"/>
  <c r="P664" i="1"/>
  <c r="N664" i="1"/>
  <c r="M664" i="1"/>
  <c r="AC663" i="1"/>
  <c r="W663" i="1"/>
  <c r="U663" i="1"/>
  <c r="S663" i="1"/>
  <c r="Q663" i="1" s="1"/>
  <c r="P663" i="1"/>
  <c r="M663" i="1"/>
  <c r="N663" i="1" s="1"/>
  <c r="AC662" i="1"/>
  <c r="W662" i="1"/>
  <c r="U662" i="1"/>
  <c r="S662" i="1"/>
  <c r="Y661" i="1" s="1"/>
  <c r="P662" i="1"/>
  <c r="N662" i="1"/>
  <c r="M662" i="1"/>
  <c r="AC661" i="1"/>
  <c r="Z661" i="1"/>
  <c r="W661" i="1"/>
  <c r="U661" i="1"/>
  <c r="S661" i="1"/>
  <c r="Q661" i="1"/>
  <c r="P661" i="1"/>
  <c r="M661" i="1"/>
  <c r="N661" i="1" s="1"/>
  <c r="AC660" i="1"/>
  <c r="W660" i="1"/>
  <c r="U660" i="1"/>
  <c r="S660" i="1"/>
  <c r="Q660" i="1" s="1"/>
  <c r="P660" i="1"/>
  <c r="M660" i="1"/>
  <c r="N660" i="1" s="1"/>
  <c r="AC659" i="1"/>
  <c r="W659" i="1"/>
  <c r="U659" i="1"/>
  <c r="S659" i="1"/>
  <c r="P659" i="1"/>
  <c r="N659" i="1"/>
  <c r="M659" i="1"/>
  <c r="AC658" i="1"/>
  <c r="W658" i="1"/>
  <c r="U658" i="1"/>
  <c r="S658" i="1"/>
  <c r="P658" i="1"/>
  <c r="M658" i="1"/>
  <c r="N658" i="1" s="1"/>
  <c r="AC657" i="1"/>
  <c r="W657" i="1"/>
  <c r="U657" i="1"/>
  <c r="S657" i="1"/>
  <c r="P657" i="1"/>
  <c r="M657" i="1"/>
  <c r="N657" i="1" s="1"/>
  <c r="AC656" i="1"/>
  <c r="W656" i="1"/>
  <c r="U656" i="1"/>
  <c r="S656" i="1"/>
  <c r="Q656" i="1" s="1"/>
  <c r="P656" i="1"/>
  <c r="N656" i="1"/>
  <c r="M656" i="1"/>
  <c r="AC655" i="1"/>
  <c r="W655" i="1"/>
  <c r="U655" i="1"/>
  <c r="S655" i="1"/>
  <c r="P655" i="1"/>
  <c r="M655" i="1"/>
  <c r="N655" i="1" s="1"/>
  <c r="AC654" i="1"/>
  <c r="W654" i="1"/>
  <c r="U654" i="1"/>
  <c r="S654" i="1"/>
  <c r="Q654" i="1"/>
  <c r="P654" i="1"/>
  <c r="M654" i="1"/>
  <c r="N654" i="1" s="1"/>
  <c r="AC653" i="1"/>
  <c r="W653" i="1"/>
  <c r="U653" i="1"/>
  <c r="S653" i="1"/>
  <c r="Z653" i="1" s="1"/>
  <c r="Q653" i="1"/>
  <c r="P653" i="1"/>
  <c r="M653" i="1"/>
  <c r="N653" i="1" s="1"/>
  <c r="AC652" i="1"/>
  <c r="W652" i="1"/>
  <c r="U652" i="1"/>
  <c r="S652" i="1"/>
  <c r="P652" i="1"/>
  <c r="M652" i="1"/>
  <c r="N652" i="1" s="1"/>
  <c r="AC651" i="1"/>
  <c r="W651" i="1"/>
  <c r="U651" i="1"/>
  <c r="S651" i="1"/>
  <c r="P651" i="1"/>
  <c r="N651" i="1"/>
  <c r="M651" i="1"/>
  <c r="AC650" i="1"/>
  <c r="W650" i="1"/>
  <c r="U650" i="1"/>
  <c r="S650" i="1"/>
  <c r="Y649" i="1" s="1"/>
  <c r="P650" i="1"/>
  <c r="M650" i="1"/>
  <c r="N650" i="1" s="1"/>
  <c r="AC649" i="1"/>
  <c r="W649" i="1"/>
  <c r="U649" i="1"/>
  <c r="S649" i="1"/>
  <c r="Q649" i="1"/>
  <c r="P649" i="1"/>
  <c r="M649" i="1"/>
  <c r="N649" i="1" s="1"/>
  <c r="AC648" i="1"/>
  <c r="W648" i="1"/>
  <c r="U648" i="1"/>
  <c r="S648" i="1"/>
  <c r="P648" i="1"/>
  <c r="M648" i="1"/>
  <c r="N648" i="1" s="1"/>
  <c r="AC647" i="1"/>
  <c r="W647" i="1"/>
  <c r="U647" i="1"/>
  <c r="S647" i="1"/>
  <c r="Q647" i="1"/>
  <c r="P647" i="1"/>
  <c r="M647" i="1"/>
  <c r="N647" i="1" s="1"/>
  <c r="AC646" i="1"/>
  <c r="W646" i="1"/>
  <c r="U646" i="1"/>
  <c r="S646" i="1"/>
  <c r="Q646" i="1" s="1"/>
  <c r="P646" i="1"/>
  <c r="M646" i="1"/>
  <c r="N646" i="1" s="1"/>
  <c r="AC645" i="1"/>
  <c r="W645" i="1"/>
  <c r="U645" i="1"/>
  <c r="S645" i="1"/>
  <c r="Z644" i="1" s="1"/>
  <c r="Q645" i="1"/>
  <c r="P645" i="1"/>
  <c r="M645" i="1"/>
  <c r="N645" i="1" s="1"/>
  <c r="AC644" i="1"/>
  <c r="W644" i="1"/>
  <c r="U644" i="1"/>
  <c r="S644" i="1"/>
  <c r="Y644" i="1" s="1"/>
  <c r="Q644" i="1"/>
  <c r="P644" i="1"/>
  <c r="N644" i="1"/>
  <c r="M644" i="1"/>
  <c r="AC643" i="1"/>
  <c r="W643" i="1"/>
  <c r="U643" i="1"/>
  <c r="S643" i="1"/>
  <c r="Q643" i="1"/>
  <c r="P643" i="1"/>
  <c r="M643" i="1"/>
  <c r="N643" i="1" s="1"/>
  <c r="AC642" i="1"/>
  <c r="W642" i="1"/>
  <c r="U642" i="1"/>
  <c r="S642" i="1"/>
  <c r="Q642" i="1" s="1"/>
  <c r="P642" i="1"/>
  <c r="N642" i="1"/>
  <c r="M642" i="1"/>
  <c r="AC641" i="1"/>
  <c r="W641" i="1"/>
  <c r="U641" i="1"/>
  <c r="S641" i="1"/>
  <c r="Q641" i="1"/>
  <c r="P641" i="1"/>
  <c r="M641" i="1"/>
  <c r="N641" i="1" s="1"/>
  <c r="AC640" i="1"/>
  <c r="W640" i="1"/>
  <c r="U640" i="1"/>
  <c r="S640" i="1"/>
  <c r="Q640" i="1" s="1"/>
  <c r="P640" i="1"/>
  <c r="M640" i="1"/>
  <c r="N640" i="1" s="1"/>
  <c r="AC639" i="1"/>
  <c r="W639" i="1"/>
  <c r="U639" i="1"/>
  <c r="S639" i="1"/>
  <c r="Q639" i="1" s="1"/>
  <c r="M639" i="1"/>
  <c r="N639" i="1" s="1"/>
  <c r="P639" i="1" s="1"/>
  <c r="AC638" i="1"/>
  <c r="Z638" i="1"/>
  <c r="W638" i="1"/>
  <c r="U638" i="1"/>
  <c r="S638" i="1"/>
  <c r="Q638" i="1" s="1"/>
  <c r="P638" i="1"/>
  <c r="N638" i="1"/>
  <c r="M638" i="1"/>
  <c r="AC637" i="1"/>
  <c r="Y637" i="1"/>
  <c r="W637" i="1"/>
  <c r="U637" i="1"/>
  <c r="S637" i="1"/>
  <c r="Q637" i="1" s="1"/>
  <c r="P637" i="1"/>
  <c r="M637" i="1"/>
  <c r="N637" i="1" s="1"/>
  <c r="Y636" i="1"/>
  <c r="U636" i="1"/>
  <c r="S636" i="1"/>
  <c r="P636" i="1"/>
  <c r="N636" i="1"/>
  <c r="M636" i="1"/>
  <c r="AC635" i="1"/>
  <c r="W635" i="1"/>
  <c r="P635" i="1"/>
  <c r="N635" i="1"/>
  <c r="AC634" i="1"/>
  <c r="W634" i="1"/>
  <c r="N634" i="1"/>
  <c r="U633" i="1"/>
  <c r="S633" i="1"/>
  <c r="Q633" i="1"/>
  <c r="P633" i="1"/>
  <c r="N633" i="1"/>
  <c r="M633" i="1"/>
  <c r="AC632" i="1"/>
  <c r="W632" i="1"/>
  <c r="U632" i="1"/>
  <c r="S632" i="1"/>
  <c r="Q632" i="1" s="1"/>
  <c r="P632" i="1"/>
  <c r="M632" i="1"/>
  <c r="N632" i="1" s="1"/>
  <c r="U631" i="1"/>
  <c r="S631" i="1"/>
  <c r="Q631" i="1" s="1"/>
  <c r="P631" i="1"/>
  <c r="M631" i="1"/>
  <c r="N631" i="1" s="1"/>
  <c r="AC630" i="1"/>
  <c r="Z630" i="1"/>
  <c r="W630" i="1"/>
  <c r="U630" i="1"/>
  <c r="S630" i="1"/>
  <c r="Q630" i="1" s="1"/>
  <c r="P630" i="1"/>
  <c r="M630" i="1"/>
  <c r="N630" i="1" s="1"/>
  <c r="AC629" i="1"/>
  <c r="Y629" i="1"/>
  <c r="W629" i="1"/>
  <c r="U629" i="1"/>
  <c r="S629" i="1"/>
  <c r="Q629" i="1" s="1"/>
  <c r="P629" i="1"/>
  <c r="N629" i="1"/>
  <c r="M629" i="1"/>
  <c r="AC628" i="1"/>
  <c r="W628" i="1"/>
  <c r="U628" i="1"/>
  <c r="S628" i="1"/>
  <c r="P628" i="1"/>
  <c r="N628" i="1"/>
  <c r="M628" i="1"/>
  <c r="U627" i="1"/>
  <c r="S627" i="1"/>
  <c r="Q627" i="1" s="1"/>
  <c r="P627" i="1"/>
  <c r="M627" i="1"/>
  <c r="N627" i="1" s="1"/>
  <c r="AC626" i="1"/>
  <c r="W626" i="1"/>
  <c r="U626" i="1"/>
  <c r="S626" i="1"/>
  <c r="Q626" i="1" s="1"/>
  <c r="P626" i="1"/>
  <c r="N626" i="1"/>
  <c r="M626" i="1"/>
  <c r="U625" i="1"/>
  <c r="S625" i="1"/>
  <c r="Q625" i="1" s="1"/>
  <c r="P625" i="1"/>
  <c r="N625" i="1"/>
  <c r="M625" i="1"/>
  <c r="U624" i="1"/>
  <c r="S624" i="1"/>
  <c r="Q624" i="1" s="1"/>
  <c r="P624" i="1"/>
  <c r="M624" i="1"/>
  <c r="N624" i="1" s="1"/>
  <c r="U623" i="1"/>
  <c r="S623" i="1"/>
  <c r="Q623" i="1"/>
  <c r="P623" i="1"/>
  <c r="N623" i="1"/>
  <c r="M623" i="1"/>
  <c r="AC622" i="1"/>
  <c r="W622" i="1"/>
  <c r="U622" i="1"/>
  <c r="S622" i="1"/>
  <c r="P622" i="1"/>
  <c r="N622" i="1"/>
  <c r="M622" i="1"/>
  <c r="AC621" i="1"/>
  <c r="W621" i="1"/>
  <c r="U621" i="1"/>
  <c r="S621" i="1"/>
  <c r="P621" i="1"/>
  <c r="M621" i="1"/>
  <c r="N621" i="1" s="1"/>
  <c r="AC620" i="1"/>
  <c r="W620" i="1"/>
  <c r="U620" i="1"/>
  <c r="S620" i="1"/>
  <c r="Z619" i="1" s="1"/>
  <c r="Q620" i="1"/>
  <c r="P620" i="1"/>
  <c r="N620" i="1"/>
  <c r="M620" i="1"/>
  <c r="U619" i="1"/>
  <c r="S619" i="1"/>
  <c r="Q619" i="1" s="1"/>
  <c r="P619" i="1"/>
  <c r="M619" i="1"/>
  <c r="N619" i="1" s="1"/>
  <c r="AC618" i="1"/>
  <c r="W618" i="1"/>
  <c r="U618" i="1"/>
  <c r="S618" i="1"/>
  <c r="Q618" i="1" s="1"/>
  <c r="P618" i="1"/>
  <c r="M618" i="1"/>
  <c r="N618" i="1" s="1"/>
  <c r="AC617" i="1"/>
  <c r="W617" i="1"/>
  <c r="U617" i="1"/>
  <c r="S617" i="1"/>
  <c r="Q617" i="1"/>
  <c r="P617" i="1"/>
  <c r="M617" i="1"/>
  <c r="N617" i="1" s="1"/>
  <c r="AC616" i="1"/>
  <c r="W616" i="1"/>
  <c r="U616" i="1"/>
  <c r="S616" i="1"/>
  <c r="Q616" i="1" s="1"/>
  <c r="P616" i="1"/>
  <c r="M616" i="1"/>
  <c r="N616" i="1" s="1"/>
  <c r="AC615" i="1"/>
  <c r="W615" i="1"/>
  <c r="U615" i="1"/>
  <c r="S615" i="1"/>
  <c r="Y614" i="1" s="1"/>
  <c r="P615" i="1"/>
  <c r="M615" i="1"/>
  <c r="N615" i="1" s="1"/>
  <c r="AC614" i="1"/>
  <c r="Z614" i="1"/>
  <c r="W614" i="1"/>
  <c r="U614" i="1"/>
  <c r="S614" i="1"/>
  <c r="Q614" i="1" s="1"/>
  <c r="P614" i="1"/>
  <c r="M614" i="1"/>
  <c r="N614" i="1" s="1"/>
  <c r="AC613" i="1"/>
  <c r="Y613" i="1"/>
  <c r="W613" i="1"/>
  <c r="U613" i="1"/>
  <c r="S613" i="1"/>
  <c r="Q613" i="1" s="1"/>
  <c r="P613" i="1"/>
  <c r="M613" i="1"/>
  <c r="N613" i="1" s="1"/>
  <c r="AC612" i="1"/>
  <c r="Z612" i="1"/>
  <c r="Y612" i="1"/>
  <c r="W612" i="1"/>
  <c r="U612" i="1"/>
  <c r="S612" i="1"/>
  <c r="Q612" i="1" s="1"/>
  <c r="P612" i="1"/>
  <c r="N612" i="1"/>
  <c r="M612" i="1"/>
  <c r="AC611" i="1"/>
  <c r="Z611" i="1"/>
  <c r="W611" i="1"/>
  <c r="U611" i="1"/>
  <c r="S611" i="1"/>
  <c r="Q611" i="1" s="1"/>
  <c r="P611" i="1"/>
  <c r="M611" i="1"/>
  <c r="N611" i="1" s="1"/>
  <c r="AC610" i="1"/>
  <c r="W610" i="1"/>
  <c r="U610" i="1"/>
  <c r="S610" i="1"/>
  <c r="Q610" i="1" s="1"/>
  <c r="P610" i="1"/>
  <c r="M610" i="1"/>
  <c r="N610" i="1" s="1"/>
  <c r="AC609" i="1"/>
  <c r="W609" i="1"/>
  <c r="U609" i="1"/>
  <c r="S609" i="1"/>
  <c r="Q609" i="1" s="1"/>
  <c r="P609" i="1"/>
  <c r="M609" i="1"/>
  <c r="N609" i="1" s="1"/>
  <c r="AC608" i="1"/>
  <c r="W608" i="1"/>
  <c r="U608" i="1"/>
  <c r="S608" i="1"/>
  <c r="Q608" i="1" s="1"/>
  <c r="P608" i="1"/>
  <c r="M608" i="1"/>
  <c r="N608" i="1" s="1"/>
  <c r="AC607" i="1"/>
  <c r="W607" i="1"/>
  <c r="U607" i="1"/>
  <c r="S607" i="1"/>
  <c r="Q607" i="1"/>
  <c r="P607" i="1"/>
  <c r="N607" i="1"/>
  <c r="M607" i="1"/>
  <c r="AC606" i="1"/>
  <c r="W606" i="1"/>
  <c r="U606" i="1"/>
  <c r="S606" i="1"/>
  <c r="P606" i="1"/>
  <c r="N606" i="1"/>
  <c r="M606" i="1"/>
  <c r="AC605" i="1"/>
  <c r="W605" i="1"/>
  <c r="U605" i="1"/>
  <c r="S605" i="1"/>
  <c r="Y604" i="1" s="1"/>
  <c r="P605" i="1"/>
  <c r="M605" i="1"/>
  <c r="N605" i="1" s="1"/>
  <c r="AC604" i="1"/>
  <c r="W604" i="1"/>
  <c r="U604" i="1"/>
  <c r="S604" i="1"/>
  <c r="Q604" i="1" s="1"/>
  <c r="P604" i="1"/>
  <c r="M604" i="1"/>
  <c r="N604" i="1" s="1"/>
  <c r="AC603" i="1"/>
  <c r="Z603" i="1"/>
  <c r="Y603" i="1"/>
  <c r="W603" i="1"/>
  <c r="U603" i="1"/>
  <c r="S603" i="1"/>
  <c r="Q603" i="1" s="1"/>
  <c r="P603" i="1"/>
  <c r="M603" i="1"/>
  <c r="N603" i="1" s="1"/>
  <c r="AC602" i="1"/>
  <c r="W602" i="1"/>
  <c r="U602" i="1"/>
  <c r="S602" i="1"/>
  <c r="Q602" i="1" s="1"/>
  <c r="P602" i="1"/>
  <c r="N602" i="1"/>
  <c r="M602" i="1"/>
  <c r="AC601" i="1"/>
  <c r="W601" i="1"/>
  <c r="U601" i="1"/>
  <c r="S601" i="1"/>
  <c r="Q601" i="1" s="1"/>
  <c r="M601" i="1"/>
  <c r="N601" i="1" s="1"/>
  <c r="P601" i="1" s="1"/>
  <c r="AC600" i="1"/>
  <c r="W600" i="1"/>
  <c r="U600" i="1"/>
  <c r="S600" i="1"/>
  <c r="Q600" i="1" s="1"/>
  <c r="P600" i="1"/>
  <c r="M600" i="1"/>
  <c r="N600" i="1" s="1"/>
  <c r="AC599" i="1"/>
  <c r="W599" i="1"/>
  <c r="U599" i="1"/>
  <c r="S599" i="1"/>
  <c r="Q599" i="1"/>
  <c r="P599" i="1"/>
  <c r="M599" i="1"/>
  <c r="N599" i="1" s="1"/>
  <c r="AC598" i="1"/>
  <c r="W598" i="1"/>
  <c r="U598" i="1"/>
  <c r="S598" i="1"/>
  <c r="Q598" i="1" s="1"/>
  <c r="P598" i="1"/>
  <c r="M598" i="1"/>
  <c r="N598" i="1" s="1"/>
  <c r="AC597" i="1"/>
  <c r="W597" i="1"/>
  <c r="U597" i="1"/>
  <c r="S597" i="1"/>
  <c r="Q597" i="1"/>
  <c r="P597" i="1"/>
  <c r="M597" i="1"/>
  <c r="N597" i="1" s="1"/>
  <c r="AC596" i="1"/>
  <c r="W596" i="1"/>
  <c r="U596" i="1"/>
  <c r="S596" i="1"/>
  <c r="P596" i="1"/>
  <c r="N596" i="1"/>
  <c r="M596" i="1"/>
  <c r="AC595" i="1"/>
  <c r="W595" i="1"/>
  <c r="U595" i="1"/>
  <c r="S595" i="1"/>
  <c r="Q595" i="1" s="1"/>
  <c r="P595" i="1"/>
  <c r="M595" i="1"/>
  <c r="N595" i="1" s="1"/>
  <c r="AC594" i="1"/>
  <c r="W594" i="1"/>
  <c r="U594" i="1"/>
  <c r="S594" i="1"/>
  <c r="Q594" i="1" s="1"/>
  <c r="P594" i="1"/>
  <c r="N594" i="1"/>
  <c r="M594" i="1"/>
  <c r="AC593" i="1"/>
  <c r="W593" i="1"/>
  <c r="U593" i="1"/>
  <c r="S593" i="1"/>
  <c r="Q593" i="1"/>
  <c r="P593" i="1"/>
  <c r="M593" i="1"/>
  <c r="N593" i="1" s="1"/>
  <c r="AC592" i="1"/>
  <c r="W592" i="1"/>
  <c r="U592" i="1"/>
  <c r="S592" i="1"/>
  <c r="Q592" i="1" s="1"/>
  <c r="P592" i="1"/>
  <c r="M592" i="1"/>
  <c r="N592" i="1" s="1"/>
  <c r="AC591" i="1"/>
  <c r="W591" i="1"/>
  <c r="U591" i="1"/>
  <c r="S591" i="1"/>
  <c r="Y590" i="1" s="1"/>
  <c r="P591" i="1"/>
  <c r="M591" i="1"/>
  <c r="N591" i="1" s="1"/>
  <c r="AC590" i="1"/>
  <c r="Z590" i="1"/>
  <c r="W590" i="1"/>
  <c r="U590" i="1"/>
  <c r="S590" i="1"/>
  <c r="Q590" i="1" s="1"/>
  <c r="P590" i="1"/>
  <c r="M590" i="1"/>
  <c r="N590" i="1" s="1"/>
  <c r="AC589" i="1"/>
  <c r="Y589" i="1"/>
  <c r="W589" i="1"/>
  <c r="U589" i="1"/>
  <c r="S589" i="1"/>
  <c r="Q589" i="1" s="1"/>
  <c r="P589" i="1"/>
  <c r="M589" i="1"/>
  <c r="N589" i="1" s="1"/>
  <c r="AC588" i="1"/>
  <c r="Z588" i="1"/>
  <c r="Y588" i="1"/>
  <c r="W588" i="1"/>
  <c r="U588" i="1"/>
  <c r="S588" i="1"/>
  <c r="Q588" i="1"/>
  <c r="P588" i="1"/>
  <c r="M588" i="1"/>
  <c r="N588" i="1" s="1"/>
  <c r="AC587" i="1"/>
  <c r="W587" i="1"/>
  <c r="U587" i="1"/>
  <c r="S587" i="1"/>
  <c r="P587" i="1"/>
  <c r="M587" i="1"/>
  <c r="N587" i="1" s="1"/>
  <c r="AC586" i="1"/>
  <c r="W586" i="1"/>
  <c r="U586" i="1"/>
  <c r="S586" i="1"/>
  <c r="Q586" i="1" s="1"/>
  <c r="P586" i="1"/>
  <c r="N586" i="1"/>
  <c r="M586" i="1"/>
  <c r="AC585" i="1"/>
  <c r="W585" i="1"/>
  <c r="U585" i="1"/>
  <c r="S585" i="1"/>
  <c r="Q585" i="1" s="1"/>
  <c r="P585" i="1"/>
  <c r="M585" i="1"/>
  <c r="N585" i="1" s="1"/>
  <c r="AC584" i="1"/>
  <c r="W584" i="1"/>
  <c r="U584" i="1"/>
  <c r="S584" i="1"/>
  <c r="Q584" i="1" s="1"/>
  <c r="P584" i="1"/>
  <c r="M584" i="1"/>
  <c r="N584" i="1" s="1"/>
  <c r="AC583" i="1"/>
  <c r="W583" i="1"/>
  <c r="U583" i="1"/>
  <c r="S583" i="1"/>
  <c r="P583" i="1"/>
  <c r="N583" i="1"/>
  <c r="M583" i="1"/>
  <c r="AC582" i="1"/>
  <c r="Z582" i="1"/>
  <c r="W582" i="1"/>
  <c r="U582" i="1"/>
  <c r="S582" i="1"/>
  <c r="Q582" i="1" s="1"/>
  <c r="P582" i="1"/>
  <c r="N582" i="1"/>
  <c r="M582" i="1"/>
  <c r="AC581" i="1"/>
  <c r="Y581" i="1"/>
  <c r="W581" i="1"/>
  <c r="U581" i="1"/>
  <c r="S581" i="1"/>
  <c r="Q581" i="1" s="1"/>
  <c r="P581" i="1"/>
  <c r="M581" i="1"/>
  <c r="N581" i="1" s="1"/>
  <c r="AC580" i="1"/>
  <c r="Z580" i="1"/>
  <c r="Y580" i="1"/>
  <c r="W580" i="1"/>
  <c r="U580" i="1"/>
  <c r="S580" i="1"/>
  <c r="Q580" i="1" s="1"/>
  <c r="P580" i="1"/>
  <c r="M580" i="1"/>
  <c r="N580" i="1" s="1"/>
  <c r="AC579" i="1"/>
  <c r="Z579" i="1"/>
  <c r="Y579" i="1"/>
  <c r="W579" i="1"/>
  <c r="U579" i="1"/>
  <c r="S579" i="1"/>
  <c r="Q579" i="1" s="1"/>
  <c r="P579" i="1"/>
  <c r="M579" i="1"/>
  <c r="N579" i="1" s="1"/>
  <c r="AC578" i="1"/>
  <c r="W578" i="1"/>
  <c r="U578" i="1"/>
  <c r="S578" i="1"/>
  <c r="Q578" i="1" s="1"/>
  <c r="P578" i="1"/>
  <c r="M578" i="1"/>
  <c r="N578" i="1" s="1"/>
  <c r="AC577" i="1"/>
  <c r="W577" i="1"/>
  <c r="U577" i="1"/>
  <c r="S577" i="1"/>
  <c r="Q577" i="1" s="1"/>
  <c r="P577" i="1"/>
  <c r="M577" i="1"/>
  <c r="N577" i="1" s="1"/>
  <c r="AC576" i="1"/>
  <c r="W576" i="1"/>
  <c r="U576" i="1"/>
  <c r="S576" i="1"/>
  <c r="Q576" i="1" s="1"/>
  <c r="P576" i="1"/>
  <c r="M576" i="1"/>
  <c r="N576" i="1" s="1"/>
  <c r="AC575" i="1"/>
  <c r="W575" i="1"/>
  <c r="U575" i="1"/>
  <c r="S575" i="1"/>
  <c r="P575" i="1"/>
  <c r="N575" i="1"/>
  <c r="M575" i="1"/>
  <c r="AC574" i="1"/>
  <c r="W574" i="1"/>
  <c r="U574" i="1"/>
  <c r="S574" i="1"/>
  <c r="Q574" i="1" s="1"/>
  <c r="P574" i="1"/>
  <c r="N574" i="1"/>
  <c r="M574" i="1"/>
  <c r="AC573" i="1"/>
  <c r="W573" i="1"/>
  <c r="U573" i="1"/>
  <c r="S573" i="1"/>
  <c r="Q573" i="1"/>
  <c r="P573" i="1"/>
  <c r="M573" i="1"/>
  <c r="N573" i="1" s="1"/>
  <c r="AC572" i="1"/>
  <c r="W572" i="1"/>
  <c r="U572" i="1"/>
  <c r="S572" i="1"/>
  <c r="Z571" i="1" s="1"/>
  <c r="P572" i="1"/>
  <c r="N572" i="1"/>
  <c r="M572" i="1"/>
  <c r="AC571" i="1"/>
  <c r="W571" i="1"/>
  <c r="U571" i="1"/>
  <c r="S571" i="1"/>
  <c r="Q571" i="1" s="1"/>
  <c r="P571" i="1"/>
  <c r="M571" i="1"/>
  <c r="N571" i="1" s="1"/>
  <c r="AC570" i="1"/>
  <c r="W570" i="1"/>
  <c r="U570" i="1"/>
  <c r="S570" i="1"/>
  <c r="Q570" i="1" s="1"/>
  <c r="P570" i="1"/>
  <c r="N570" i="1"/>
  <c r="M570" i="1"/>
  <c r="AC569" i="1"/>
  <c r="W569" i="1"/>
  <c r="U569" i="1"/>
  <c r="S569" i="1"/>
  <c r="Q569" i="1"/>
  <c r="P569" i="1"/>
  <c r="M569" i="1"/>
  <c r="N569" i="1" s="1"/>
  <c r="AC568" i="1"/>
  <c r="W568" i="1"/>
  <c r="U568" i="1"/>
  <c r="S568" i="1"/>
  <c r="Q568" i="1" s="1"/>
  <c r="P568" i="1"/>
  <c r="M568" i="1"/>
  <c r="N568" i="1" s="1"/>
  <c r="AC567" i="1"/>
  <c r="W567" i="1"/>
  <c r="U567" i="1"/>
  <c r="S567" i="1"/>
  <c r="Q567" i="1"/>
  <c r="P567" i="1"/>
  <c r="M567" i="1"/>
  <c r="N567" i="1" s="1"/>
  <c r="AC566" i="1"/>
  <c r="W566" i="1"/>
  <c r="U566" i="1"/>
  <c r="S566" i="1"/>
  <c r="Q566" i="1" s="1"/>
  <c r="P566" i="1"/>
  <c r="M566" i="1"/>
  <c r="N566" i="1" s="1"/>
  <c r="AC565" i="1"/>
  <c r="W565" i="1"/>
  <c r="U565" i="1"/>
  <c r="S565" i="1"/>
  <c r="Z564" i="1" s="1"/>
  <c r="Q565" i="1"/>
  <c r="P565" i="1"/>
  <c r="M565" i="1"/>
  <c r="N565" i="1" s="1"/>
  <c r="AC564" i="1"/>
  <c r="W564" i="1"/>
  <c r="U564" i="1"/>
  <c r="S564" i="1"/>
  <c r="P564" i="1"/>
  <c r="N564" i="1"/>
  <c r="M564" i="1"/>
  <c r="AC563" i="1"/>
  <c r="W563" i="1"/>
  <c r="U563" i="1"/>
  <c r="S563" i="1"/>
  <c r="Q563" i="1" s="1"/>
  <c r="P563" i="1"/>
  <c r="M563" i="1"/>
  <c r="N563" i="1" s="1"/>
  <c r="AC562" i="1"/>
  <c r="W562" i="1"/>
  <c r="U562" i="1"/>
  <c r="S562" i="1"/>
  <c r="Q562" i="1" s="1"/>
  <c r="P562" i="1"/>
  <c r="N562" i="1"/>
  <c r="M562" i="1"/>
  <c r="AC561" i="1"/>
  <c r="W561" i="1"/>
  <c r="U561" i="1"/>
  <c r="S561" i="1"/>
  <c r="Y560" i="1" s="1"/>
  <c r="Q561" i="1"/>
  <c r="P561" i="1"/>
  <c r="M561" i="1"/>
  <c r="N561" i="1" s="1"/>
  <c r="AC560" i="1"/>
  <c r="W560" i="1"/>
  <c r="U560" i="1"/>
  <c r="S560" i="1"/>
  <c r="Q560" i="1" s="1"/>
  <c r="P560" i="1"/>
  <c r="M560" i="1"/>
  <c r="N560" i="1" s="1"/>
  <c r="AC559" i="1"/>
  <c r="W559" i="1"/>
  <c r="U559" i="1"/>
  <c r="S559" i="1"/>
  <c r="Q559" i="1" s="1"/>
  <c r="P559" i="1"/>
  <c r="M559" i="1"/>
  <c r="N559" i="1" s="1"/>
  <c r="AC558" i="1"/>
  <c r="W558" i="1"/>
  <c r="P558" i="1"/>
  <c r="N558" i="1"/>
  <c r="AC557" i="1"/>
  <c r="W557" i="1"/>
  <c r="N557" i="1"/>
  <c r="AC556" i="1"/>
  <c r="W556" i="1"/>
  <c r="U556" i="1"/>
  <c r="S556" i="1"/>
  <c r="Y555" i="1" s="1"/>
  <c r="P556" i="1"/>
  <c r="M556" i="1"/>
  <c r="N556" i="1" s="1"/>
  <c r="AC555" i="1"/>
  <c r="Z555" i="1"/>
  <c r="W555" i="1"/>
  <c r="U555" i="1"/>
  <c r="S555" i="1"/>
  <c r="Q555" i="1" s="1"/>
  <c r="P555" i="1"/>
  <c r="M555" i="1"/>
  <c r="N555" i="1" s="1"/>
  <c r="AC554" i="1"/>
  <c r="Z554" i="1"/>
  <c r="Y554" i="1"/>
  <c r="W554" i="1"/>
  <c r="U554" i="1"/>
  <c r="S554" i="1"/>
  <c r="Q554" i="1"/>
  <c r="P554" i="1"/>
  <c r="M554" i="1"/>
  <c r="N554" i="1" s="1"/>
  <c r="AC553" i="1"/>
  <c r="W553" i="1"/>
  <c r="U553" i="1"/>
  <c r="S553" i="1"/>
  <c r="Z553" i="1" s="1"/>
  <c r="Q553" i="1"/>
  <c r="P553" i="1"/>
  <c r="N553" i="1"/>
  <c r="M553" i="1"/>
  <c r="AC552" i="1"/>
  <c r="W552" i="1"/>
  <c r="U552" i="1"/>
  <c r="S552" i="1"/>
  <c r="Q552" i="1" s="1"/>
  <c r="P552" i="1"/>
  <c r="M552" i="1"/>
  <c r="N552" i="1" s="1"/>
  <c r="AC551" i="1"/>
  <c r="W551" i="1"/>
  <c r="U551" i="1"/>
  <c r="S551" i="1"/>
  <c r="Q551" i="1" s="1"/>
  <c r="P551" i="1"/>
  <c r="M551" i="1"/>
  <c r="N551" i="1" s="1"/>
  <c r="AC550" i="1"/>
  <c r="W550" i="1"/>
  <c r="U550" i="1"/>
  <c r="S550" i="1"/>
  <c r="Q550" i="1"/>
  <c r="P550" i="1"/>
  <c r="M550" i="1"/>
  <c r="N550" i="1" s="1"/>
  <c r="AC549" i="1"/>
  <c r="W549" i="1"/>
  <c r="U549" i="1"/>
  <c r="S549" i="1"/>
  <c r="Q549" i="1" s="1"/>
  <c r="P549" i="1"/>
  <c r="M549" i="1"/>
  <c r="N549" i="1" s="1"/>
  <c r="AC548" i="1"/>
  <c r="W548" i="1"/>
  <c r="U548" i="1"/>
  <c r="S548" i="1"/>
  <c r="Y547" i="1" s="1"/>
  <c r="P548" i="1"/>
  <c r="M548" i="1"/>
  <c r="N548" i="1" s="1"/>
  <c r="AC547" i="1"/>
  <c r="Z547" i="1"/>
  <c r="W547" i="1"/>
  <c r="U547" i="1"/>
  <c r="S547" i="1"/>
  <c r="Q547" i="1" s="1"/>
  <c r="P547" i="1"/>
  <c r="M547" i="1"/>
  <c r="N547" i="1" s="1"/>
  <c r="AC546" i="1"/>
  <c r="Z546" i="1"/>
  <c r="Y546" i="1"/>
  <c r="W546" i="1"/>
  <c r="U546" i="1"/>
  <c r="S546" i="1"/>
  <c r="Q546" i="1"/>
  <c r="P546" i="1"/>
  <c r="M546" i="1"/>
  <c r="N546" i="1" s="1"/>
  <c r="AC545" i="1"/>
  <c r="W545" i="1"/>
  <c r="U545" i="1"/>
  <c r="S545" i="1"/>
  <c r="Z545" i="1" s="1"/>
  <c r="Q545" i="1"/>
  <c r="P545" i="1"/>
  <c r="N545" i="1"/>
  <c r="M545" i="1"/>
  <c r="AC544" i="1"/>
  <c r="W544" i="1"/>
  <c r="U544" i="1"/>
  <c r="S544" i="1"/>
  <c r="Q544" i="1" s="1"/>
  <c r="P544" i="1"/>
  <c r="M544" i="1"/>
  <c r="N544" i="1" s="1"/>
  <c r="AC543" i="1"/>
  <c r="W543" i="1"/>
  <c r="U543" i="1"/>
  <c r="S543" i="1"/>
  <c r="Q543" i="1" s="1"/>
  <c r="P543" i="1"/>
  <c r="M543" i="1"/>
  <c r="N543" i="1" s="1"/>
  <c r="AC542" i="1"/>
  <c r="W542" i="1"/>
  <c r="U542" i="1"/>
  <c r="S542" i="1"/>
  <c r="Q542" i="1"/>
  <c r="P542" i="1"/>
  <c r="M542" i="1"/>
  <c r="N542" i="1" s="1"/>
  <c r="AC541" i="1"/>
  <c r="W541" i="1"/>
  <c r="U541" i="1"/>
  <c r="S541" i="1"/>
  <c r="P541" i="1"/>
  <c r="M541" i="1"/>
  <c r="N541" i="1" s="1"/>
  <c r="AC540" i="1"/>
  <c r="W540" i="1"/>
  <c r="U540" i="1"/>
  <c r="S540" i="1"/>
  <c r="Y539" i="1" s="1"/>
  <c r="P540" i="1"/>
  <c r="M540" i="1"/>
  <c r="N540" i="1" s="1"/>
  <c r="AC539" i="1"/>
  <c r="Z539" i="1"/>
  <c r="W539" i="1"/>
  <c r="U539" i="1"/>
  <c r="S539" i="1"/>
  <c r="Q539" i="1" s="1"/>
  <c r="P539" i="1"/>
  <c r="M539" i="1"/>
  <c r="N539" i="1" s="1"/>
  <c r="AC538" i="1"/>
  <c r="Z538" i="1"/>
  <c r="Y538" i="1"/>
  <c r="W538" i="1"/>
  <c r="U538" i="1"/>
  <c r="S538" i="1"/>
  <c r="Q538" i="1"/>
  <c r="P538" i="1"/>
  <c r="M538" i="1"/>
  <c r="N538" i="1" s="1"/>
  <c r="AC537" i="1"/>
  <c r="W537" i="1"/>
  <c r="U537" i="1"/>
  <c r="S537" i="1"/>
  <c r="Z537" i="1" s="1"/>
  <c r="Q537" i="1"/>
  <c r="P537" i="1"/>
  <c r="N537" i="1"/>
  <c r="M537" i="1"/>
  <c r="AC536" i="1"/>
  <c r="W536" i="1"/>
  <c r="U536" i="1"/>
  <c r="S536" i="1"/>
  <c r="Q536" i="1" s="1"/>
  <c r="P536" i="1"/>
  <c r="M536" i="1"/>
  <c r="N536" i="1" s="1"/>
  <c r="AC535" i="1"/>
  <c r="W535" i="1"/>
  <c r="U535" i="1"/>
  <c r="S535" i="1"/>
  <c r="Q535" i="1" s="1"/>
  <c r="P535" i="1"/>
  <c r="M535" i="1"/>
  <c r="N535" i="1" s="1"/>
  <c r="AC534" i="1"/>
  <c r="W534" i="1"/>
  <c r="U534" i="1"/>
  <c r="S534" i="1"/>
  <c r="Q534" i="1"/>
  <c r="P534" i="1"/>
  <c r="M534" i="1"/>
  <c r="N534" i="1" s="1"/>
  <c r="AC533" i="1"/>
  <c r="W533" i="1"/>
  <c r="U533" i="1"/>
  <c r="S533" i="1"/>
  <c r="P533" i="1"/>
  <c r="M533" i="1"/>
  <c r="N533" i="1" s="1"/>
  <c r="AC532" i="1"/>
  <c r="W532" i="1"/>
  <c r="U532" i="1"/>
  <c r="S532" i="1"/>
  <c r="Y531" i="1" s="1"/>
  <c r="P532" i="1"/>
  <c r="M532" i="1"/>
  <c r="N532" i="1" s="1"/>
  <c r="AC531" i="1"/>
  <c r="Z531" i="1"/>
  <c r="W531" i="1"/>
  <c r="U531" i="1"/>
  <c r="S531" i="1"/>
  <c r="Q531" i="1" s="1"/>
  <c r="P531" i="1"/>
  <c r="M531" i="1"/>
  <c r="N531" i="1" s="1"/>
  <c r="AC530" i="1"/>
  <c r="Z530" i="1"/>
  <c r="Y530" i="1"/>
  <c r="W530" i="1"/>
  <c r="U530" i="1"/>
  <c r="S530" i="1"/>
  <c r="Q530" i="1"/>
  <c r="P530" i="1"/>
  <c r="M530" i="1"/>
  <c r="N530" i="1" s="1"/>
  <c r="AC529" i="1"/>
  <c r="W529" i="1"/>
  <c r="U529" i="1"/>
  <c r="S529" i="1"/>
  <c r="Z529" i="1" s="1"/>
  <c r="Q529" i="1"/>
  <c r="P529" i="1"/>
  <c r="N529" i="1"/>
  <c r="M529" i="1"/>
  <c r="AC528" i="1"/>
  <c r="W528" i="1"/>
  <c r="U528" i="1"/>
  <c r="S528" i="1"/>
  <c r="Q528" i="1" s="1"/>
  <c r="P528" i="1"/>
  <c r="M528" i="1"/>
  <c r="N528" i="1" s="1"/>
  <c r="AC527" i="1"/>
  <c r="W527" i="1"/>
  <c r="U527" i="1"/>
  <c r="S527" i="1"/>
  <c r="P527" i="1"/>
  <c r="M527" i="1"/>
  <c r="N527" i="1" s="1"/>
  <c r="AC526" i="1"/>
  <c r="W526" i="1"/>
  <c r="U526" i="1"/>
  <c r="S526" i="1"/>
  <c r="Q526" i="1" s="1"/>
  <c r="P526" i="1"/>
  <c r="M526" i="1"/>
  <c r="N526" i="1" s="1"/>
  <c r="AC525" i="1"/>
  <c r="Z525" i="1"/>
  <c r="W525" i="1"/>
  <c r="U525" i="1"/>
  <c r="S525" i="1"/>
  <c r="P525" i="1"/>
  <c r="M525" i="1"/>
  <c r="N525" i="1" s="1"/>
  <c r="AC524" i="1"/>
  <c r="W524" i="1"/>
  <c r="U524" i="1"/>
  <c r="S524" i="1"/>
  <c r="Y524" i="1" s="1"/>
  <c r="P524" i="1"/>
  <c r="M524" i="1"/>
  <c r="N524" i="1" s="1"/>
  <c r="AC523" i="1"/>
  <c r="Z523" i="1"/>
  <c r="W523" i="1"/>
  <c r="U523" i="1"/>
  <c r="S523" i="1"/>
  <c r="Q523" i="1" s="1"/>
  <c r="P523" i="1"/>
  <c r="M523" i="1"/>
  <c r="N523" i="1" s="1"/>
  <c r="AC522" i="1"/>
  <c r="Y522" i="1"/>
  <c r="W522" i="1"/>
  <c r="U522" i="1"/>
  <c r="S522" i="1"/>
  <c r="Q522" i="1" s="1"/>
  <c r="P522" i="1"/>
  <c r="M522" i="1"/>
  <c r="N522" i="1" s="1"/>
  <c r="AC521" i="1"/>
  <c r="Z521" i="1"/>
  <c r="Y521" i="1"/>
  <c r="W521" i="1"/>
  <c r="U521" i="1"/>
  <c r="S521" i="1"/>
  <c r="Q521" i="1" s="1"/>
  <c r="P521" i="1"/>
  <c r="N521" i="1"/>
  <c r="M521" i="1"/>
  <c r="AC520" i="1"/>
  <c r="W520" i="1"/>
  <c r="U520" i="1"/>
  <c r="S520" i="1"/>
  <c r="Z520" i="1" s="1"/>
  <c r="Q520" i="1"/>
  <c r="P520" i="1"/>
  <c r="M520" i="1"/>
  <c r="N520" i="1" s="1"/>
  <c r="AC519" i="1"/>
  <c r="W519" i="1"/>
  <c r="U519" i="1"/>
  <c r="S519" i="1"/>
  <c r="P519" i="1"/>
  <c r="M519" i="1"/>
  <c r="N519" i="1" s="1"/>
  <c r="AC518" i="1"/>
  <c r="W518" i="1"/>
  <c r="U518" i="1"/>
  <c r="S518" i="1"/>
  <c r="Q518" i="1"/>
  <c r="P518" i="1"/>
  <c r="M518" i="1"/>
  <c r="N518" i="1" s="1"/>
  <c r="AC517" i="1"/>
  <c r="W517" i="1"/>
  <c r="U517" i="1"/>
  <c r="S517" i="1"/>
  <c r="P517" i="1"/>
  <c r="M517" i="1"/>
  <c r="N517" i="1" s="1"/>
  <c r="AC516" i="1"/>
  <c r="W516" i="1"/>
  <c r="U516" i="1"/>
  <c r="S516" i="1"/>
  <c r="P516" i="1"/>
  <c r="M516" i="1"/>
  <c r="N516" i="1" s="1"/>
  <c r="AC515" i="1"/>
  <c r="W515" i="1"/>
  <c r="U515" i="1"/>
  <c r="S515" i="1"/>
  <c r="P515" i="1"/>
  <c r="M515" i="1"/>
  <c r="N515" i="1" s="1"/>
  <c r="AC514" i="1"/>
  <c r="W514" i="1"/>
  <c r="U514" i="1"/>
  <c r="S514" i="1"/>
  <c r="Q514" i="1"/>
  <c r="P514" i="1"/>
  <c r="N514" i="1"/>
  <c r="M514" i="1"/>
  <c r="AC513" i="1"/>
  <c r="W513" i="1"/>
  <c r="U513" i="1"/>
  <c r="S513" i="1"/>
  <c r="M513" i="1"/>
  <c r="N513" i="1" s="1"/>
  <c r="P513" i="1" s="1"/>
  <c r="AC512" i="1"/>
  <c r="W512" i="1"/>
  <c r="U512" i="1"/>
  <c r="S512" i="1"/>
  <c r="Q512" i="1"/>
  <c r="P512" i="1"/>
  <c r="N512" i="1"/>
  <c r="M512" i="1"/>
  <c r="AC511" i="1"/>
  <c r="W511" i="1"/>
  <c r="U511" i="1"/>
  <c r="S511" i="1"/>
  <c r="Z511" i="1" s="1"/>
  <c r="P511" i="1"/>
  <c r="M511" i="1"/>
  <c r="N511" i="1" s="1"/>
  <c r="AC510" i="1"/>
  <c r="W510" i="1"/>
  <c r="U510" i="1"/>
  <c r="S510" i="1"/>
  <c r="P510" i="1"/>
  <c r="M510" i="1"/>
  <c r="N510" i="1" s="1"/>
  <c r="AC509" i="1"/>
  <c r="W509" i="1"/>
  <c r="U509" i="1"/>
  <c r="S509" i="1"/>
  <c r="Q509" i="1" s="1"/>
  <c r="P509" i="1"/>
  <c r="M509" i="1"/>
  <c r="N509" i="1" s="1"/>
  <c r="AC508" i="1"/>
  <c r="Z508" i="1"/>
  <c r="W508" i="1"/>
  <c r="U508" i="1"/>
  <c r="S508" i="1"/>
  <c r="Q508" i="1" s="1"/>
  <c r="P508" i="1"/>
  <c r="M508" i="1"/>
  <c r="N508" i="1" s="1"/>
  <c r="AC507" i="1"/>
  <c r="Z507" i="1"/>
  <c r="Y507" i="1"/>
  <c r="W507" i="1"/>
  <c r="U507" i="1"/>
  <c r="S507" i="1"/>
  <c r="Q507" i="1" s="1"/>
  <c r="P507" i="1"/>
  <c r="N507" i="1"/>
  <c r="M507" i="1"/>
  <c r="AC506" i="1"/>
  <c r="W506" i="1"/>
  <c r="U506" i="1"/>
  <c r="S506" i="1"/>
  <c r="Q506" i="1" s="1"/>
  <c r="P506" i="1"/>
  <c r="M506" i="1"/>
  <c r="N506" i="1" s="1"/>
  <c r="AC505" i="1"/>
  <c r="W505" i="1"/>
  <c r="U505" i="1"/>
  <c r="S505" i="1"/>
  <c r="Y505" i="1" s="1"/>
  <c r="P505" i="1"/>
  <c r="M505" i="1"/>
  <c r="N505" i="1" s="1"/>
  <c r="AC504" i="1"/>
  <c r="W504" i="1"/>
  <c r="U504" i="1"/>
  <c r="S504" i="1"/>
  <c r="P504" i="1"/>
  <c r="N504" i="1"/>
  <c r="M504" i="1"/>
  <c r="AC503" i="1"/>
  <c r="Z503" i="1"/>
  <c r="W503" i="1"/>
  <c r="U503" i="1"/>
  <c r="S503" i="1"/>
  <c r="Q503" i="1" s="1"/>
  <c r="P503" i="1"/>
  <c r="M503" i="1"/>
  <c r="N503" i="1" s="1"/>
  <c r="AC502" i="1"/>
  <c r="W502" i="1"/>
  <c r="U502" i="1"/>
  <c r="S502" i="1"/>
  <c r="Q502" i="1" s="1"/>
  <c r="P502" i="1"/>
  <c r="N502" i="1"/>
  <c r="M502" i="1"/>
  <c r="AC501" i="1"/>
  <c r="W501" i="1"/>
  <c r="U501" i="1"/>
  <c r="S501" i="1"/>
  <c r="P501" i="1"/>
  <c r="N501" i="1"/>
  <c r="M501" i="1"/>
  <c r="AC500" i="1"/>
  <c r="W500" i="1"/>
  <c r="U500" i="1"/>
  <c r="S500" i="1"/>
  <c r="Q500" i="1" s="1"/>
  <c r="P500" i="1"/>
  <c r="N500" i="1"/>
  <c r="M500" i="1"/>
  <c r="AC499" i="1"/>
  <c r="W499" i="1"/>
  <c r="U499" i="1"/>
  <c r="S499" i="1"/>
  <c r="Q499" i="1" s="1"/>
  <c r="P499" i="1"/>
  <c r="M499" i="1"/>
  <c r="N499" i="1" s="1"/>
  <c r="AC498" i="1"/>
  <c r="W498" i="1"/>
  <c r="U498" i="1"/>
  <c r="S498" i="1"/>
  <c r="Q498" i="1" s="1"/>
  <c r="P498" i="1"/>
  <c r="M498" i="1"/>
  <c r="N498" i="1" s="1"/>
  <c r="AC497" i="1"/>
  <c r="W497" i="1"/>
  <c r="U497" i="1"/>
  <c r="S497" i="1"/>
  <c r="Q497" i="1" s="1"/>
  <c r="P497" i="1"/>
  <c r="M497" i="1"/>
  <c r="N497" i="1" s="1"/>
  <c r="AC496" i="1"/>
  <c r="W496" i="1"/>
  <c r="U496" i="1"/>
  <c r="S496" i="1"/>
  <c r="Q496" i="1" s="1"/>
  <c r="P496" i="1"/>
  <c r="M496" i="1"/>
  <c r="N496" i="1" s="1"/>
  <c r="AC495" i="1"/>
  <c r="W495" i="1"/>
  <c r="U495" i="1"/>
  <c r="S495" i="1"/>
  <c r="Q495" i="1" s="1"/>
  <c r="P495" i="1"/>
  <c r="N495" i="1"/>
  <c r="M495" i="1"/>
  <c r="AC494" i="1"/>
  <c r="W494" i="1"/>
  <c r="U494" i="1"/>
  <c r="S494" i="1"/>
  <c r="Q494" i="1" s="1"/>
  <c r="P494" i="1"/>
  <c r="M494" i="1"/>
  <c r="N494" i="1" s="1"/>
  <c r="AC493" i="1"/>
  <c r="Z493" i="1"/>
  <c r="Y493" i="1"/>
  <c r="W493" i="1"/>
  <c r="U493" i="1"/>
  <c r="S493" i="1"/>
  <c r="Q493" i="1" s="1"/>
  <c r="P493" i="1"/>
  <c r="N493" i="1"/>
  <c r="M493" i="1"/>
  <c r="AC492" i="1"/>
  <c r="Y492" i="1"/>
  <c r="W492" i="1"/>
  <c r="U492" i="1"/>
  <c r="S492" i="1"/>
  <c r="Q492" i="1" s="1"/>
  <c r="P492" i="1"/>
  <c r="M492" i="1"/>
  <c r="N492" i="1" s="1"/>
  <c r="AC491" i="1"/>
  <c r="W491" i="1"/>
  <c r="U491" i="1"/>
  <c r="S491" i="1"/>
  <c r="Q491" i="1" s="1"/>
  <c r="P491" i="1"/>
  <c r="N491" i="1"/>
  <c r="M491" i="1"/>
  <c r="AC490" i="1"/>
  <c r="W490" i="1"/>
  <c r="U490" i="1"/>
  <c r="S490" i="1"/>
  <c r="Q490" i="1"/>
  <c r="P490" i="1"/>
  <c r="M490" i="1"/>
  <c r="N490" i="1" s="1"/>
  <c r="AC489" i="1"/>
  <c r="W489" i="1"/>
  <c r="U489" i="1"/>
  <c r="S489" i="1"/>
  <c r="Q489" i="1" s="1"/>
  <c r="P489" i="1"/>
  <c r="N489" i="1"/>
  <c r="M489" i="1"/>
  <c r="AC488" i="1"/>
  <c r="W488" i="1"/>
  <c r="U488" i="1"/>
  <c r="S488" i="1"/>
  <c r="Q488" i="1"/>
  <c r="P488" i="1"/>
  <c r="N488" i="1"/>
  <c r="M488" i="1"/>
  <c r="AC487" i="1"/>
  <c r="W487" i="1"/>
  <c r="U487" i="1"/>
  <c r="S487" i="1"/>
  <c r="Q487" i="1" s="1"/>
  <c r="P487" i="1"/>
  <c r="M487" i="1"/>
  <c r="N487" i="1" s="1"/>
  <c r="AC486" i="1"/>
  <c r="W486" i="1"/>
  <c r="U486" i="1"/>
  <c r="S486" i="1"/>
  <c r="P486" i="1"/>
  <c r="M486" i="1"/>
  <c r="N486" i="1" s="1"/>
  <c r="AC485" i="1"/>
  <c r="W485" i="1"/>
  <c r="U485" i="1"/>
  <c r="S485" i="1"/>
  <c r="Q485" i="1" s="1"/>
  <c r="P485" i="1"/>
  <c r="M485" i="1"/>
  <c r="N485" i="1" s="1"/>
  <c r="AC484" i="1"/>
  <c r="W484" i="1"/>
  <c r="U484" i="1"/>
  <c r="S484" i="1"/>
  <c r="Q484" i="1" s="1"/>
  <c r="P484" i="1"/>
  <c r="M484" i="1"/>
  <c r="N484" i="1" s="1"/>
  <c r="AC483" i="1"/>
  <c r="W483" i="1"/>
  <c r="U483" i="1"/>
  <c r="S483" i="1"/>
  <c r="Q483" i="1" s="1"/>
  <c r="P483" i="1"/>
  <c r="M483" i="1"/>
  <c r="N483" i="1" s="1"/>
  <c r="AC482" i="1"/>
  <c r="W482" i="1"/>
  <c r="U482" i="1"/>
  <c r="S482" i="1"/>
  <c r="Q482" i="1" s="1"/>
  <c r="P482" i="1"/>
  <c r="M482" i="1"/>
  <c r="N482" i="1" s="1"/>
  <c r="AC481" i="1"/>
  <c r="W481" i="1"/>
  <c r="U481" i="1"/>
  <c r="S481" i="1"/>
  <c r="Q481" i="1" s="1"/>
  <c r="P481" i="1"/>
  <c r="M481" i="1"/>
  <c r="N481" i="1" s="1"/>
  <c r="AC480" i="1"/>
  <c r="W480" i="1"/>
  <c r="P480" i="1"/>
  <c r="N480" i="1"/>
  <c r="AC479" i="1"/>
  <c r="W479" i="1"/>
  <c r="N479" i="1"/>
  <c r="AC478" i="1"/>
  <c r="W478" i="1"/>
  <c r="U478" i="1"/>
  <c r="S478" i="1"/>
  <c r="Q478" i="1" s="1"/>
  <c r="P478" i="1"/>
  <c r="M478" i="1"/>
  <c r="N478" i="1" s="1"/>
  <c r="AC477" i="1"/>
  <c r="W477" i="1"/>
  <c r="U477" i="1"/>
  <c r="S477" i="1"/>
  <c r="Q477" i="1"/>
  <c r="P477" i="1"/>
  <c r="N477" i="1"/>
  <c r="M477" i="1"/>
  <c r="AC476" i="1"/>
  <c r="W476" i="1"/>
  <c r="U476" i="1"/>
  <c r="S476" i="1"/>
  <c r="Q476" i="1" s="1"/>
  <c r="P476" i="1"/>
  <c r="M476" i="1"/>
  <c r="N476" i="1" s="1"/>
  <c r="AC475" i="1"/>
  <c r="W475" i="1"/>
  <c r="U475" i="1"/>
  <c r="S475" i="1"/>
  <c r="P475" i="1"/>
  <c r="M475" i="1"/>
  <c r="N475" i="1" s="1"/>
  <c r="AC474" i="1"/>
  <c r="W474" i="1"/>
  <c r="U474" i="1"/>
  <c r="S474" i="1"/>
  <c r="Q474" i="1" s="1"/>
  <c r="P474" i="1"/>
  <c r="M474" i="1"/>
  <c r="N474" i="1" s="1"/>
  <c r="AC473" i="1"/>
  <c r="W473" i="1"/>
  <c r="U473" i="1"/>
  <c r="S473" i="1"/>
  <c r="Q473" i="1" s="1"/>
  <c r="P473" i="1"/>
  <c r="M473" i="1"/>
  <c r="N473" i="1" s="1"/>
  <c r="AC472" i="1"/>
  <c r="W472" i="1"/>
  <c r="U472" i="1"/>
  <c r="S472" i="1"/>
  <c r="Q472" i="1" s="1"/>
  <c r="P472" i="1"/>
  <c r="M472" i="1"/>
  <c r="N472" i="1" s="1"/>
  <c r="AC471" i="1"/>
  <c r="W471" i="1"/>
  <c r="U471" i="1"/>
  <c r="S471" i="1"/>
  <c r="Q471" i="1" s="1"/>
  <c r="P471" i="1"/>
  <c r="M471" i="1"/>
  <c r="N471" i="1" s="1"/>
  <c r="AC470" i="1"/>
  <c r="W470" i="1"/>
  <c r="U470" i="1"/>
  <c r="S470" i="1"/>
  <c r="Q470" i="1" s="1"/>
  <c r="P470" i="1"/>
  <c r="M470" i="1"/>
  <c r="N470" i="1" s="1"/>
  <c r="AC469" i="1"/>
  <c r="W469" i="1"/>
  <c r="U469" i="1"/>
  <c r="S469" i="1"/>
  <c r="Q469" i="1"/>
  <c r="P469" i="1"/>
  <c r="N469" i="1"/>
  <c r="M469" i="1"/>
  <c r="AC468" i="1"/>
  <c r="W468" i="1"/>
  <c r="U468" i="1"/>
  <c r="S468" i="1"/>
  <c r="Q468" i="1" s="1"/>
  <c r="P468" i="1"/>
  <c r="N468" i="1"/>
  <c r="M468" i="1"/>
  <c r="AC467" i="1"/>
  <c r="W467" i="1"/>
  <c r="U467" i="1"/>
  <c r="S467" i="1"/>
  <c r="P467" i="1"/>
  <c r="M467" i="1"/>
  <c r="N467" i="1" s="1"/>
  <c r="AC466" i="1"/>
  <c r="Y466" i="1"/>
  <c r="W466" i="1"/>
  <c r="U466" i="1"/>
  <c r="S466" i="1"/>
  <c r="Q466" i="1"/>
  <c r="P466" i="1"/>
  <c r="N466" i="1"/>
  <c r="M466" i="1"/>
  <c r="AC465" i="1"/>
  <c r="W465" i="1"/>
  <c r="U465" i="1"/>
  <c r="S465" i="1"/>
  <c r="P465" i="1"/>
  <c r="M465" i="1"/>
  <c r="N465" i="1" s="1"/>
  <c r="AC464" i="1"/>
  <c r="W464" i="1"/>
  <c r="U464" i="1"/>
  <c r="S464" i="1"/>
  <c r="Q464" i="1" s="1"/>
  <c r="P464" i="1"/>
  <c r="N464" i="1"/>
  <c r="M464" i="1"/>
  <c r="AC463" i="1"/>
  <c r="W463" i="1"/>
  <c r="U463" i="1"/>
  <c r="S463" i="1"/>
  <c r="Q463" i="1"/>
  <c r="P463" i="1"/>
  <c r="M463" i="1"/>
  <c r="N463" i="1" s="1"/>
  <c r="AC462" i="1"/>
  <c r="W462" i="1"/>
  <c r="U462" i="1"/>
  <c r="S462" i="1"/>
  <c r="Q462" i="1" s="1"/>
  <c r="P462" i="1"/>
  <c r="M462" i="1"/>
  <c r="N462" i="1" s="1"/>
  <c r="AC461" i="1"/>
  <c r="W461" i="1"/>
  <c r="U461" i="1"/>
  <c r="S461" i="1"/>
  <c r="Q461" i="1" s="1"/>
  <c r="P461" i="1"/>
  <c r="M461" i="1"/>
  <c r="N461" i="1" s="1"/>
  <c r="AC460" i="1"/>
  <c r="W460" i="1"/>
  <c r="U460" i="1"/>
  <c r="S460" i="1"/>
  <c r="Q460" i="1" s="1"/>
  <c r="P460" i="1"/>
  <c r="M460" i="1"/>
  <c r="N460" i="1" s="1"/>
  <c r="AC459" i="1"/>
  <c r="W459" i="1"/>
  <c r="U459" i="1"/>
  <c r="S459" i="1"/>
  <c r="P459" i="1"/>
  <c r="M459" i="1"/>
  <c r="N459" i="1" s="1"/>
  <c r="AC458" i="1"/>
  <c r="W458" i="1"/>
  <c r="U458" i="1"/>
  <c r="S458" i="1"/>
  <c r="Q458" i="1" s="1"/>
  <c r="P458" i="1"/>
  <c r="N458" i="1"/>
  <c r="M458" i="1"/>
  <c r="AC457" i="1"/>
  <c r="Z457" i="1"/>
  <c r="Y457" i="1"/>
  <c r="W457" i="1"/>
  <c r="U457" i="1"/>
  <c r="S457" i="1"/>
  <c r="Q457" i="1"/>
  <c r="P457" i="1"/>
  <c r="M457" i="1"/>
  <c r="N457" i="1" s="1"/>
  <c r="AC456" i="1"/>
  <c r="W456" i="1"/>
  <c r="U456" i="1"/>
  <c r="S456" i="1"/>
  <c r="Q456" i="1" s="1"/>
  <c r="P456" i="1"/>
  <c r="N456" i="1"/>
  <c r="M456" i="1"/>
  <c r="AC455" i="1"/>
  <c r="W455" i="1"/>
  <c r="U455" i="1"/>
  <c r="S455" i="1"/>
  <c r="Q455" i="1" s="1"/>
  <c r="P455" i="1"/>
  <c r="M455" i="1"/>
  <c r="N455" i="1" s="1"/>
  <c r="AC454" i="1"/>
  <c r="W454" i="1"/>
  <c r="U454" i="1"/>
  <c r="S454" i="1"/>
  <c r="Q454" i="1" s="1"/>
  <c r="P454" i="1"/>
  <c r="M454" i="1"/>
  <c r="N454" i="1" s="1"/>
  <c r="AC453" i="1"/>
  <c r="W453" i="1"/>
  <c r="U453" i="1"/>
  <c r="S453" i="1"/>
  <c r="P453" i="1"/>
  <c r="M453" i="1"/>
  <c r="N453" i="1" s="1"/>
  <c r="AC452" i="1"/>
  <c r="W452" i="1"/>
  <c r="U452" i="1"/>
  <c r="S452" i="1"/>
  <c r="Q452" i="1" s="1"/>
  <c r="P452" i="1"/>
  <c r="M452" i="1"/>
  <c r="N452" i="1" s="1"/>
  <c r="AC451" i="1"/>
  <c r="W451" i="1"/>
  <c r="U451" i="1"/>
  <c r="S451" i="1"/>
  <c r="P451" i="1"/>
  <c r="M451" i="1"/>
  <c r="N451" i="1" s="1"/>
  <c r="AC450" i="1"/>
  <c r="W450" i="1"/>
  <c r="U450" i="1"/>
  <c r="S450" i="1"/>
  <c r="P450" i="1"/>
  <c r="M450" i="1"/>
  <c r="N450" i="1" s="1"/>
  <c r="AC449" i="1"/>
  <c r="W449" i="1"/>
  <c r="U449" i="1"/>
  <c r="S449" i="1"/>
  <c r="Q449" i="1" s="1"/>
  <c r="P449" i="1"/>
  <c r="M449" i="1"/>
  <c r="N449" i="1" s="1"/>
  <c r="AC448" i="1"/>
  <c r="W448" i="1"/>
  <c r="U448" i="1"/>
  <c r="S448" i="1"/>
  <c r="Q448" i="1" s="1"/>
  <c r="P448" i="1"/>
  <c r="M448" i="1"/>
  <c r="N448" i="1" s="1"/>
  <c r="AC447" i="1"/>
  <c r="W447" i="1"/>
  <c r="U447" i="1"/>
  <c r="S447" i="1"/>
  <c r="Q447" i="1" s="1"/>
  <c r="P447" i="1"/>
  <c r="M447" i="1"/>
  <c r="N447" i="1" s="1"/>
  <c r="AC446" i="1"/>
  <c r="W446" i="1"/>
  <c r="U446" i="1"/>
  <c r="S446" i="1"/>
  <c r="Q446" i="1" s="1"/>
  <c r="P446" i="1"/>
  <c r="M446" i="1"/>
  <c r="N446" i="1" s="1"/>
  <c r="AC445" i="1"/>
  <c r="W445" i="1"/>
  <c r="U445" i="1"/>
  <c r="S445" i="1"/>
  <c r="Q445" i="1" s="1"/>
  <c r="P445" i="1"/>
  <c r="M445" i="1"/>
  <c r="N445" i="1" s="1"/>
  <c r="AC444" i="1"/>
  <c r="W444" i="1"/>
  <c r="U444" i="1"/>
  <c r="S444" i="1"/>
  <c r="Q444" i="1" s="1"/>
  <c r="P444" i="1"/>
  <c r="N444" i="1"/>
  <c r="M444" i="1"/>
  <c r="AC443" i="1"/>
  <c r="W443" i="1"/>
  <c r="U443" i="1"/>
  <c r="S443" i="1"/>
  <c r="Q443" i="1"/>
  <c r="P443" i="1"/>
  <c r="M443" i="1"/>
  <c r="N443" i="1" s="1"/>
  <c r="AC442" i="1"/>
  <c r="Z442" i="1"/>
  <c r="W442" i="1"/>
  <c r="U442" i="1"/>
  <c r="S442" i="1"/>
  <c r="Q442" i="1"/>
  <c r="P442" i="1"/>
  <c r="N442" i="1"/>
  <c r="M442" i="1"/>
  <c r="AC441" i="1"/>
  <c r="Z441" i="1"/>
  <c r="Y441" i="1"/>
  <c r="W441" i="1"/>
  <c r="U441" i="1"/>
  <c r="S441" i="1"/>
  <c r="Q441" i="1" s="1"/>
  <c r="P441" i="1"/>
  <c r="M441" i="1"/>
  <c r="N441" i="1" s="1"/>
  <c r="AC440" i="1"/>
  <c r="W440" i="1"/>
  <c r="U440" i="1"/>
  <c r="S440" i="1"/>
  <c r="Q440" i="1" s="1"/>
  <c r="P440" i="1"/>
  <c r="N440" i="1"/>
  <c r="M440" i="1"/>
  <c r="AC439" i="1"/>
  <c r="W439" i="1"/>
  <c r="U439" i="1"/>
  <c r="S439" i="1"/>
  <c r="Q439" i="1"/>
  <c r="P439" i="1"/>
  <c r="M439" i="1"/>
  <c r="N439" i="1" s="1"/>
  <c r="AC438" i="1"/>
  <c r="W438" i="1"/>
  <c r="U438" i="1"/>
  <c r="S438" i="1"/>
  <c r="Q438" i="1" s="1"/>
  <c r="P438" i="1"/>
  <c r="M438" i="1"/>
  <c r="N438" i="1" s="1"/>
  <c r="AC437" i="1"/>
  <c r="W437" i="1"/>
  <c r="U437" i="1"/>
  <c r="S437" i="1"/>
  <c r="P437" i="1"/>
  <c r="M437" i="1"/>
  <c r="N437" i="1" s="1"/>
  <c r="AC436" i="1"/>
  <c r="W436" i="1"/>
  <c r="U436" i="1"/>
  <c r="S436" i="1"/>
  <c r="Q436" i="1" s="1"/>
  <c r="P436" i="1"/>
  <c r="M436" i="1"/>
  <c r="N436" i="1" s="1"/>
  <c r="AC435" i="1"/>
  <c r="W435" i="1"/>
  <c r="U435" i="1"/>
  <c r="S435" i="1"/>
  <c r="Q435" i="1" s="1"/>
  <c r="P435" i="1"/>
  <c r="M435" i="1"/>
  <c r="N435" i="1" s="1"/>
  <c r="AC434" i="1"/>
  <c r="Z434" i="1"/>
  <c r="W434" i="1"/>
  <c r="U434" i="1"/>
  <c r="S434" i="1"/>
  <c r="Q434" i="1" s="1"/>
  <c r="P434" i="1"/>
  <c r="M434" i="1"/>
  <c r="N434" i="1" s="1"/>
  <c r="AC433" i="1"/>
  <c r="Z433" i="1"/>
  <c r="W433" i="1"/>
  <c r="U433" i="1"/>
  <c r="S433" i="1"/>
  <c r="P433" i="1"/>
  <c r="M433" i="1"/>
  <c r="N433" i="1" s="1"/>
  <c r="AC432" i="1"/>
  <c r="W432" i="1"/>
  <c r="U432" i="1"/>
  <c r="S432" i="1"/>
  <c r="P432" i="1"/>
  <c r="N432" i="1"/>
  <c r="M432" i="1"/>
  <c r="AC431" i="1"/>
  <c r="W431" i="1"/>
  <c r="U431" i="1"/>
  <c r="S431" i="1"/>
  <c r="Q431" i="1" s="1"/>
  <c r="P431" i="1"/>
  <c r="M431" i="1"/>
  <c r="N431" i="1" s="1"/>
  <c r="AC430" i="1"/>
  <c r="W430" i="1"/>
  <c r="U430" i="1"/>
  <c r="S430" i="1"/>
  <c r="Q430" i="1" s="1"/>
  <c r="P430" i="1"/>
  <c r="M430" i="1"/>
  <c r="N430" i="1" s="1"/>
  <c r="AC429" i="1"/>
  <c r="W429" i="1"/>
  <c r="U429" i="1"/>
  <c r="S429" i="1"/>
  <c r="Q429" i="1" s="1"/>
  <c r="P429" i="1"/>
  <c r="M429" i="1"/>
  <c r="N429" i="1" s="1"/>
  <c r="AC428" i="1"/>
  <c r="W428" i="1"/>
  <c r="U428" i="1"/>
  <c r="S428" i="1"/>
  <c r="Q428" i="1" s="1"/>
  <c r="P428" i="1"/>
  <c r="N428" i="1"/>
  <c r="M428" i="1"/>
  <c r="AC427" i="1"/>
  <c r="W427" i="1"/>
  <c r="U427" i="1"/>
  <c r="S427" i="1"/>
  <c r="Q427" i="1"/>
  <c r="P427" i="1"/>
  <c r="M427" i="1"/>
  <c r="N427" i="1" s="1"/>
  <c r="AC426" i="1"/>
  <c r="Z426" i="1"/>
  <c r="W426" i="1"/>
  <c r="U426" i="1"/>
  <c r="S426" i="1"/>
  <c r="Z425" i="1" s="1"/>
  <c r="Q426" i="1"/>
  <c r="P426" i="1"/>
  <c r="N426" i="1"/>
  <c r="M426" i="1"/>
  <c r="AC425" i="1"/>
  <c r="Y425" i="1"/>
  <c r="W425" i="1"/>
  <c r="U425" i="1"/>
  <c r="S425" i="1"/>
  <c r="Q425" i="1" s="1"/>
  <c r="P425" i="1"/>
  <c r="M425" i="1"/>
  <c r="N425" i="1" s="1"/>
  <c r="AC424" i="1"/>
  <c r="Z424" i="1"/>
  <c r="Y424" i="1"/>
  <c r="W424" i="1"/>
  <c r="U424" i="1"/>
  <c r="S424" i="1"/>
  <c r="Q424" i="1" s="1"/>
  <c r="P424" i="1"/>
  <c r="N424" i="1"/>
  <c r="M424" i="1"/>
  <c r="Y423" i="1"/>
  <c r="U423" i="1"/>
  <c r="S423" i="1"/>
  <c r="Q423" i="1" s="1"/>
  <c r="P423" i="1"/>
  <c r="M423" i="1"/>
  <c r="N423" i="1" s="1"/>
  <c r="AC422" i="1"/>
  <c r="W422" i="1"/>
  <c r="U422" i="1"/>
  <c r="S422" i="1"/>
  <c r="Q422" i="1" s="1"/>
  <c r="P422" i="1"/>
  <c r="M422" i="1"/>
  <c r="N422" i="1" s="1"/>
  <c r="U421" i="1"/>
  <c r="S421" i="1"/>
  <c r="Q421" i="1"/>
  <c r="P421" i="1"/>
  <c r="M421" i="1"/>
  <c r="N421" i="1" s="1"/>
  <c r="U420" i="1"/>
  <c r="S420" i="1"/>
  <c r="Q420" i="1" s="1"/>
  <c r="P420" i="1"/>
  <c r="M420" i="1"/>
  <c r="N420" i="1" s="1"/>
  <c r="U419" i="1"/>
  <c r="S419" i="1"/>
  <c r="Y418" i="1" s="1"/>
  <c r="Q419" i="1"/>
  <c r="P419" i="1"/>
  <c r="M419" i="1"/>
  <c r="N419" i="1" s="1"/>
  <c r="U418" i="1"/>
  <c r="S418" i="1"/>
  <c r="Q418" i="1"/>
  <c r="P418" i="1"/>
  <c r="N418" i="1"/>
  <c r="M418" i="1"/>
  <c r="Z417" i="1"/>
  <c r="Y417" i="1"/>
  <c r="U417" i="1"/>
  <c r="S417" i="1"/>
  <c r="Q417" i="1"/>
  <c r="P417" i="1"/>
  <c r="M417" i="1"/>
  <c r="N417" i="1" s="1"/>
  <c r="AC416" i="1"/>
  <c r="Z416" i="1"/>
  <c r="W416" i="1"/>
  <c r="U416" i="1"/>
  <c r="S416" i="1"/>
  <c r="P416" i="1"/>
  <c r="N416" i="1"/>
  <c r="M416" i="1"/>
  <c r="AC415" i="1"/>
  <c r="W415" i="1"/>
  <c r="U415" i="1"/>
  <c r="S415" i="1"/>
  <c r="Q415" i="1" s="1"/>
  <c r="M415" i="1"/>
  <c r="N415" i="1" s="1"/>
  <c r="P415" i="1" s="1"/>
  <c r="AC414" i="1"/>
  <c r="W414" i="1"/>
  <c r="U414" i="1"/>
  <c r="S414" i="1"/>
  <c r="Q414" i="1" s="1"/>
  <c r="M414" i="1"/>
  <c r="N414" i="1" s="1"/>
  <c r="P414" i="1" s="1"/>
  <c r="AC413" i="1"/>
  <c r="W413" i="1"/>
  <c r="U413" i="1"/>
  <c r="S413" i="1"/>
  <c r="Y412" i="1" s="1"/>
  <c r="Q413" i="1"/>
  <c r="M413" i="1"/>
  <c r="N413" i="1" s="1"/>
  <c r="P413" i="1" s="1"/>
  <c r="AC412" i="1"/>
  <c r="W412" i="1"/>
  <c r="U412" i="1"/>
  <c r="S412" i="1"/>
  <c r="Q412" i="1" s="1"/>
  <c r="P412" i="1"/>
  <c r="M412" i="1"/>
  <c r="N412" i="1" s="1"/>
  <c r="AC411" i="1"/>
  <c r="W411" i="1"/>
  <c r="U411" i="1"/>
  <c r="S411" i="1"/>
  <c r="Q411" i="1" s="1"/>
  <c r="P411" i="1"/>
  <c r="M411" i="1"/>
  <c r="N411" i="1" s="1"/>
  <c r="AC410" i="1"/>
  <c r="W410" i="1"/>
  <c r="P410" i="1"/>
  <c r="N410" i="1"/>
  <c r="AC409" i="1"/>
  <c r="W409" i="1"/>
  <c r="N409" i="1"/>
  <c r="AC408" i="1"/>
  <c r="W408" i="1"/>
  <c r="U408" i="1"/>
  <c r="S408" i="1"/>
  <c r="Q408" i="1"/>
  <c r="P408" i="1"/>
  <c r="M408" i="1"/>
  <c r="N408" i="1" s="1"/>
  <c r="AC407" i="1"/>
  <c r="Z407" i="1"/>
  <c r="W407" i="1"/>
  <c r="U407" i="1"/>
  <c r="S407" i="1"/>
  <c r="Q407" i="1" s="1"/>
  <c r="P407" i="1"/>
  <c r="M407" i="1"/>
  <c r="N407" i="1" s="1"/>
  <c r="AC406" i="1"/>
  <c r="Z406" i="1"/>
  <c r="W406" i="1"/>
  <c r="U406" i="1"/>
  <c r="S406" i="1"/>
  <c r="P406" i="1"/>
  <c r="M406" i="1"/>
  <c r="N406" i="1" s="1"/>
  <c r="AC405" i="1"/>
  <c r="W405" i="1"/>
  <c r="U405" i="1"/>
  <c r="S405" i="1"/>
  <c r="Q405" i="1" s="1"/>
  <c r="P405" i="1"/>
  <c r="M405" i="1"/>
  <c r="N405" i="1" s="1"/>
  <c r="AC404" i="1"/>
  <c r="W404" i="1"/>
  <c r="U404" i="1"/>
  <c r="S404" i="1"/>
  <c r="Q404" i="1"/>
  <c r="P404" i="1"/>
  <c r="M404" i="1"/>
  <c r="N404" i="1" s="1"/>
  <c r="AC403" i="1"/>
  <c r="W403" i="1"/>
  <c r="U403" i="1"/>
  <c r="S403" i="1"/>
  <c r="Q403" i="1" s="1"/>
  <c r="P403" i="1"/>
  <c r="M403" i="1"/>
  <c r="N403" i="1" s="1"/>
  <c r="AC402" i="1"/>
  <c r="W402" i="1"/>
  <c r="U402" i="1"/>
  <c r="S402" i="1"/>
  <c r="Q402" i="1"/>
  <c r="P402" i="1"/>
  <c r="M402" i="1"/>
  <c r="N402" i="1" s="1"/>
  <c r="AC401" i="1"/>
  <c r="W401" i="1"/>
  <c r="U401" i="1"/>
  <c r="S401" i="1"/>
  <c r="Q401" i="1" s="1"/>
  <c r="P401" i="1"/>
  <c r="M401" i="1"/>
  <c r="N401" i="1" s="1"/>
  <c r="AC400" i="1"/>
  <c r="W400" i="1"/>
  <c r="U400" i="1"/>
  <c r="S400" i="1"/>
  <c r="P400" i="1"/>
  <c r="M400" i="1"/>
  <c r="N400" i="1" s="1"/>
  <c r="AC399" i="1"/>
  <c r="W399" i="1"/>
  <c r="U399" i="1"/>
  <c r="S399" i="1"/>
  <c r="P399" i="1"/>
  <c r="M399" i="1"/>
  <c r="N399" i="1" s="1"/>
  <c r="AC398" i="1"/>
  <c r="W398" i="1"/>
  <c r="U398" i="1"/>
  <c r="S398" i="1"/>
  <c r="Q398" i="1"/>
  <c r="P398" i="1"/>
  <c r="M398" i="1"/>
  <c r="N398" i="1" s="1"/>
  <c r="AC397" i="1"/>
  <c r="Z397" i="1"/>
  <c r="Y397" i="1"/>
  <c r="W397" i="1"/>
  <c r="U397" i="1"/>
  <c r="S397" i="1"/>
  <c r="Q397" i="1" s="1"/>
  <c r="P397" i="1"/>
  <c r="M397" i="1"/>
  <c r="N397" i="1" s="1"/>
  <c r="AC396" i="1"/>
  <c r="Y396" i="1"/>
  <c r="W396" i="1"/>
  <c r="U396" i="1"/>
  <c r="S396" i="1"/>
  <c r="Q396" i="1"/>
  <c r="P396" i="1"/>
  <c r="M396" i="1"/>
  <c r="N396" i="1" s="1"/>
  <c r="AC395" i="1"/>
  <c r="W395" i="1"/>
  <c r="U395" i="1"/>
  <c r="S395" i="1"/>
  <c r="Q395" i="1" s="1"/>
  <c r="P395" i="1"/>
  <c r="M395" i="1"/>
  <c r="N395" i="1" s="1"/>
  <c r="AC394" i="1"/>
  <c r="W394" i="1"/>
  <c r="U394" i="1"/>
  <c r="S394" i="1"/>
  <c r="P394" i="1"/>
  <c r="M394" i="1"/>
  <c r="N394" i="1" s="1"/>
  <c r="U393" i="1"/>
  <c r="S393" i="1"/>
  <c r="P393" i="1"/>
  <c r="M393" i="1"/>
  <c r="N393" i="1" s="1"/>
  <c r="AC392" i="1"/>
  <c r="W392" i="1"/>
  <c r="U392" i="1"/>
  <c r="S392" i="1"/>
  <c r="M392" i="1"/>
  <c r="N392" i="1" s="1"/>
  <c r="P392" i="1" s="1"/>
  <c r="AC391" i="1"/>
  <c r="W391" i="1"/>
  <c r="U391" i="1"/>
  <c r="S391" i="1"/>
  <c r="Q391" i="1"/>
  <c r="P391" i="1"/>
  <c r="M391" i="1"/>
  <c r="N391" i="1" s="1"/>
  <c r="AC390" i="1"/>
  <c r="Z390" i="1"/>
  <c r="W390" i="1"/>
  <c r="U390" i="1"/>
  <c r="S390" i="1"/>
  <c r="P390" i="1"/>
  <c r="M390" i="1"/>
  <c r="N390" i="1" s="1"/>
  <c r="AC389" i="1"/>
  <c r="W389" i="1"/>
  <c r="U389" i="1"/>
  <c r="S389" i="1"/>
  <c r="Q389" i="1" s="1"/>
  <c r="M389" i="1"/>
  <c r="N389" i="1" s="1"/>
  <c r="P389" i="1" s="1"/>
  <c r="AC388" i="1"/>
  <c r="W388" i="1"/>
  <c r="U388" i="1"/>
  <c r="S388" i="1"/>
  <c r="Q388" i="1"/>
  <c r="P388" i="1"/>
  <c r="M388" i="1"/>
  <c r="N388" i="1" s="1"/>
  <c r="AC387" i="1"/>
  <c r="W387" i="1"/>
  <c r="U387" i="1"/>
  <c r="S387" i="1"/>
  <c r="Q387" i="1" s="1"/>
  <c r="P387" i="1"/>
  <c r="M387" i="1"/>
  <c r="N387" i="1" s="1"/>
  <c r="AC386" i="1"/>
  <c r="W386" i="1"/>
  <c r="U386" i="1"/>
  <c r="S386" i="1"/>
  <c r="Q386" i="1" s="1"/>
  <c r="P386" i="1"/>
  <c r="M386" i="1"/>
  <c r="N386" i="1" s="1"/>
  <c r="AC385" i="1"/>
  <c r="Z385" i="1"/>
  <c r="W385" i="1"/>
  <c r="U385" i="1"/>
  <c r="S385" i="1"/>
  <c r="M385" i="1"/>
  <c r="N385" i="1" s="1"/>
  <c r="P385" i="1" s="1"/>
  <c r="AC384" i="1"/>
  <c r="W384" i="1"/>
  <c r="U384" i="1"/>
  <c r="S384" i="1"/>
  <c r="Q384" i="1" s="1"/>
  <c r="P384" i="1"/>
  <c r="M384" i="1"/>
  <c r="N384" i="1" s="1"/>
  <c r="AC383" i="1"/>
  <c r="W383" i="1"/>
  <c r="U383" i="1"/>
  <c r="S383" i="1"/>
  <c r="P383" i="1"/>
  <c r="N383" i="1"/>
  <c r="M383" i="1"/>
  <c r="AC382" i="1"/>
  <c r="W382" i="1"/>
  <c r="U382" i="1"/>
  <c r="S382" i="1"/>
  <c r="Q382" i="1"/>
  <c r="P382" i="1"/>
  <c r="M382" i="1"/>
  <c r="N382" i="1" s="1"/>
  <c r="AC381" i="1"/>
  <c r="W381" i="1"/>
  <c r="U381" i="1"/>
  <c r="S381" i="1"/>
  <c r="P381" i="1"/>
  <c r="N381" i="1"/>
  <c r="M381" i="1"/>
  <c r="AC380" i="1"/>
  <c r="W380" i="1"/>
  <c r="U380" i="1"/>
  <c r="S380" i="1"/>
  <c r="Q380" i="1"/>
  <c r="P380" i="1"/>
  <c r="M380" i="1"/>
  <c r="N380" i="1" s="1"/>
  <c r="AC379" i="1"/>
  <c r="W379" i="1"/>
  <c r="U379" i="1"/>
  <c r="S379" i="1"/>
  <c r="Z379" i="1" s="1"/>
  <c r="P379" i="1"/>
  <c r="M379" i="1"/>
  <c r="N379" i="1" s="1"/>
  <c r="AC378" i="1"/>
  <c r="W378" i="1"/>
  <c r="U378" i="1"/>
  <c r="S378" i="1"/>
  <c r="Q378" i="1" s="1"/>
  <c r="M378" i="1"/>
  <c r="N378" i="1" s="1"/>
  <c r="P378" i="1" s="1"/>
  <c r="AC377" i="1"/>
  <c r="Z377" i="1"/>
  <c r="W377" i="1"/>
  <c r="U377" i="1"/>
  <c r="S377" i="1"/>
  <c r="P377" i="1"/>
  <c r="M377" i="1"/>
  <c r="N377" i="1" s="1"/>
  <c r="AC376" i="1"/>
  <c r="Y376" i="1"/>
  <c r="W376" i="1"/>
  <c r="U376" i="1"/>
  <c r="S376" i="1"/>
  <c r="Q376" i="1" s="1"/>
  <c r="P376" i="1"/>
  <c r="M376" i="1"/>
  <c r="N376" i="1" s="1"/>
  <c r="Z375" i="1"/>
  <c r="U375" i="1"/>
  <c r="S375" i="1"/>
  <c r="Q375" i="1" s="1"/>
  <c r="P375" i="1"/>
  <c r="M375" i="1"/>
  <c r="N375" i="1" s="1"/>
  <c r="Y374" i="1"/>
  <c r="U374" i="1"/>
  <c r="S374" i="1"/>
  <c r="Q374" i="1"/>
  <c r="P374" i="1"/>
  <c r="M374" i="1"/>
  <c r="N374" i="1" s="1"/>
  <c r="U373" i="1"/>
  <c r="S373" i="1"/>
  <c r="Q373" i="1"/>
  <c r="P373" i="1"/>
  <c r="M373" i="1"/>
  <c r="N373" i="1" s="1"/>
  <c r="U372" i="1"/>
  <c r="S372" i="1"/>
  <c r="Q372" i="1"/>
  <c r="P372" i="1"/>
  <c r="N372" i="1"/>
  <c r="M372" i="1"/>
  <c r="AC371" i="1"/>
  <c r="W371" i="1"/>
  <c r="U371" i="1"/>
  <c r="S371" i="1"/>
  <c r="Z371" i="1" s="1"/>
  <c r="Q371" i="1"/>
  <c r="P371" i="1"/>
  <c r="M371" i="1"/>
  <c r="N371" i="1" s="1"/>
  <c r="AC370" i="1"/>
  <c r="W370" i="1"/>
  <c r="U370" i="1"/>
  <c r="S370" i="1"/>
  <c r="Z369" i="1" s="1"/>
  <c r="Q370" i="1"/>
  <c r="P370" i="1"/>
  <c r="M370" i="1"/>
  <c r="N370" i="1" s="1"/>
  <c r="AC369" i="1"/>
  <c r="W369" i="1"/>
  <c r="U369" i="1"/>
  <c r="S369" i="1"/>
  <c r="P369" i="1"/>
  <c r="N369" i="1"/>
  <c r="M369" i="1"/>
  <c r="AC368" i="1"/>
  <c r="W368" i="1"/>
  <c r="U368" i="1"/>
  <c r="S368" i="1"/>
  <c r="Y367" i="1" s="1"/>
  <c r="P368" i="1"/>
  <c r="N368" i="1"/>
  <c r="M368" i="1"/>
  <c r="AC367" i="1"/>
  <c r="W367" i="1"/>
  <c r="U367" i="1"/>
  <c r="S367" i="1"/>
  <c r="Q367" i="1" s="1"/>
  <c r="P367" i="1"/>
  <c r="N367" i="1"/>
  <c r="M367" i="1"/>
  <c r="U366" i="1"/>
  <c r="S366" i="1"/>
  <c r="Q366" i="1"/>
  <c r="P366" i="1"/>
  <c r="M366" i="1"/>
  <c r="N366" i="1" s="1"/>
  <c r="AC365" i="1"/>
  <c r="W365" i="1"/>
  <c r="U365" i="1"/>
  <c r="S365" i="1"/>
  <c r="Q365" i="1" s="1"/>
  <c r="P365" i="1"/>
  <c r="N365" i="1"/>
  <c r="M365" i="1"/>
  <c r="AC364" i="1"/>
  <c r="W364" i="1"/>
  <c r="U364" i="1"/>
  <c r="S364" i="1"/>
  <c r="Q364" i="1"/>
  <c r="P364" i="1"/>
  <c r="M364" i="1"/>
  <c r="N364" i="1" s="1"/>
  <c r="AC363" i="1"/>
  <c r="W363" i="1"/>
  <c r="U363" i="1"/>
  <c r="S363" i="1"/>
  <c r="Q363" i="1" s="1"/>
  <c r="P363" i="1"/>
  <c r="M363" i="1"/>
  <c r="N363" i="1" s="1"/>
  <c r="AC362" i="1"/>
  <c r="W362" i="1"/>
  <c r="U362" i="1"/>
  <c r="S362" i="1"/>
  <c r="Q362" i="1"/>
  <c r="P362" i="1"/>
  <c r="M362" i="1"/>
  <c r="N362" i="1" s="1"/>
  <c r="AC361" i="1"/>
  <c r="W361" i="1"/>
  <c r="U361" i="1"/>
  <c r="S361" i="1"/>
  <c r="Z361" i="1" s="1"/>
  <c r="P361" i="1"/>
  <c r="N361" i="1"/>
  <c r="M361" i="1"/>
  <c r="AC360" i="1"/>
  <c r="W360" i="1"/>
  <c r="U360" i="1"/>
  <c r="S360" i="1"/>
  <c r="Q360" i="1"/>
  <c r="P360" i="1"/>
  <c r="M360" i="1"/>
  <c r="N360" i="1" s="1"/>
  <c r="AC359" i="1"/>
  <c r="Z359" i="1"/>
  <c r="W359" i="1"/>
  <c r="U359" i="1"/>
  <c r="S359" i="1"/>
  <c r="Q359" i="1" s="1"/>
  <c r="P359" i="1"/>
  <c r="M359" i="1"/>
  <c r="N359" i="1" s="1"/>
  <c r="AC358" i="1"/>
  <c r="Z358" i="1"/>
  <c r="W358" i="1"/>
  <c r="U358" i="1"/>
  <c r="S358" i="1"/>
  <c r="Q358" i="1"/>
  <c r="P358" i="1"/>
  <c r="M358" i="1"/>
  <c r="N358" i="1" s="1"/>
  <c r="AC357" i="1"/>
  <c r="W357" i="1"/>
  <c r="U357" i="1"/>
  <c r="S357" i="1"/>
  <c r="Z357" i="1" s="1"/>
  <c r="P357" i="1"/>
  <c r="M357" i="1"/>
  <c r="N357" i="1" s="1"/>
  <c r="AC356" i="1"/>
  <c r="W356" i="1"/>
  <c r="U356" i="1"/>
  <c r="S356" i="1"/>
  <c r="Q356" i="1"/>
  <c r="P356" i="1"/>
  <c r="M356" i="1"/>
  <c r="N356" i="1" s="1"/>
  <c r="AC355" i="1"/>
  <c r="Z355" i="1"/>
  <c r="Y355" i="1"/>
  <c r="W355" i="1"/>
  <c r="U355" i="1"/>
  <c r="S355" i="1"/>
  <c r="Q355" i="1" s="1"/>
  <c r="P355" i="1"/>
  <c r="M355" i="1"/>
  <c r="N355" i="1" s="1"/>
  <c r="AC354" i="1"/>
  <c r="Y354" i="1"/>
  <c r="W354" i="1"/>
  <c r="U354" i="1"/>
  <c r="S354" i="1"/>
  <c r="Q354" i="1"/>
  <c r="P354" i="1"/>
  <c r="M354" i="1"/>
  <c r="N354" i="1" s="1"/>
  <c r="AC353" i="1"/>
  <c r="W353" i="1"/>
  <c r="U353" i="1"/>
  <c r="S353" i="1"/>
  <c r="Q353" i="1" s="1"/>
  <c r="P353" i="1"/>
  <c r="M353" i="1"/>
  <c r="N353" i="1" s="1"/>
  <c r="AC352" i="1"/>
  <c r="W352" i="1"/>
  <c r="U352" i="1"/>
  <c r="S352" i="1"/>
  <c r="Q352" i="1"/>
  <c r="P352" i="1"/>
  <c r="M352" i="1"/>
  <c r="N352" i="1" s="1"/>
  <c r="AC351" i="1"/>
  <c r="Z351" i="1"/>
  <c r="Y351" i="1"/>
  <c r="W351" i="1"/>
  <c r="U351" i="1"/>
  <c r="S351" i="1"/>
  <c r="Q351" i="1" s="1"/>
  <c r="P351" i="1"/>
  <c r="M351" i="1"/>
  <c r="N351" i="1" s="1"/>
  <c r="AC350" i="1"/>
  <c r="W350" i="1"/>
  <c r="U350" i="1"/>
  <c r="S350" i="1"/>
  <c r="Q350" i="1" s="1"/>
  <c r="P350" i="1"/>
  <c r="M350" i="1"/>
  <c r="N350" i="1" s="1"/>
  <c r="U349" i="1"/>
  <c r="S349" i="1"/>
  <c r="Y348" i="1" s="1"/>
  <c r="Q349" i="1"/>
  <c r="P349" i="1"/>
  <c r="M349" i="1"/>
  <c r="N349" i="1" s="1"/>
  <c r="U348" i="1"/>
  <c r="S348" i="1"/>
  <c r="Y347" i="1" s="1"/>
  <c r="Q348" i="1"/>
  <c r="P348" i="1"/>
  <c r="M348" i="1"/>
  <c r="N348" i="1" s="1"/>
  <c r="U347" i="1"/>
  <c r="S347" i="1"/>
  <c r="Q347" i="1" s="1"/>
  <c r="P347" i="1"/>
  <c r="M347" i="1"/>
  <c r="N347" i="1" s="1"/>
  <c r="U346" i="1"/>
  <c r="S346" i="1"/>
  <c r="Y345" i="1" s="1"/>
  <c r="P346" i="1"/>
  <c r="N346" i="1"/>
  <c r="M346" i="1"/>
  <c r="U345" i="1"/>
  <c r="S345" i="1"/>
  <c r="Q345" i="1" s="1"/>
  <c r="P345" i="1"/>
  <c r="M345" i="1"/>
  <c r="N345" i="1" s="1"/>
  <c r="U344" i="1"/>
  <c r="S344" i="1"/>
  <c r="Q344" i="1"/>
  <c r="P344" i="1"/>
  <c r="M344" i="1"/>
  <c r="N344" i="1" s="1"/>
  <c r="AC343" i="1"/>
  <c r="Z343" i="1"/>
  <c r="Y343" i="1"/>
  <c r="W343" i="1"/>
  <c r="U343" i="1"/>
  <c r="S343" i="1"/>
  <c r="Q343" i="1" s="1"/>
  <c r="P343" i="1"/>
  <c r="M343" i="1"/>
  <c r="N343" i="1" s="1"/>
  <c r="U342" i="1"/>
  <c r="S342" i="1"/>
  <c r="Q342" i="1" s="1"/>
  <c r="P342" i="1"/>
  <c r="M342" i="1"/>
  <c r="N342" i="1" s="1"/>
  <c r="AC341" i="1"/>
  <c r="W341" i="1"/>
  <c r="U341" i="1"/>
  <c r="S341" i="1"/>
  <c r="Q341" i="1"/>
  <c r="P341" i="1"/>
  <c r="M341" i="1"/>
  <c r="N341" i="1" s="1"/>
  <c r="AC340" i="1"/>
  <c r="W340" i="1"/>
  <c r="U340" i="1"/>
  <c r="S340" i="1"/>
  <c r="Q340" i="1" s="1"/>
  <c r="P340" i="1"/>
  <c r="M340" i="1"/>
  <c r="N340" i="1" s="1"/>
  <c r="AC339" i="1"/>
  <c r="W339" i="1"/>
  <c r="U339" i="1"/>
  <c r="S339" i="1"/>
  <c r="Q339" i="1" s="1"/>
  <c r="P339" i="1"/>
  <c r="M339" i="1"/>
  <c r="N339" i="1" s="1"/>
  <c r="AC338" i="1"/>
  <c r="W338" i="1"/>
  <c r="U338" i="1"/>
  <c r="S338" i="1"/>
  <c r="Q338" i="1" s="1"/>
  <c r="P338" i="1"/>
  <c r="N338" i="1"/>
  <c r="M338" i="1"/>
  <c r="AC337" i="1"/>
  <c r="W337" i="1"/>
  <c r="P337" i="1"/>
  <c r="N337" i="1"/>
  <c r="AC336" i="1"/>
  <c r="W336" i="1"/>
  <c r="N336" i="1"/>
  <c r="AC335" i="1"/>
  <c r="W335" i="1"/>
  <c r="U335" i="1"/>
  <c r="S335" i="1"/>
  <c r="Q335" i="1"/>
  <c r="P335" i="1"/>
  <c r="M335" i="1"/>
  <c r="N335" i="1" s="1"/>
  <c r="AC334" i="1"/>
  <c r="W334" i="1"/>
  <c r="U334" i="1"/>
  <c r="S334" i="1"/>
  <c r="Q334" i="1" s="1"/>
  <c r="P334" i="1"/>
  <c r="M334" i="1"/>
  <c r="N334" i="1" s="1"/>
  <c r="AC333" i="1"/>
  <c r="W333" i="1"/>
  <c r="U333" i="1"/>
  <c r="S333" i="1"/>
  <c r="Q333" i="1"/>
  <c r="P333" i="1"/>
  <c r="M333" i="1"/>
  <c r="N333" i="1" s="1"/>
  <c r="AC332" i="1"/>
  <c r="W332" i="1"/>
  <c r="U332" i="1"/>
  <c r="S332" i="1"/>
  <c r="Z332" i="1" s="1"/>
  <c r="Q332" i="1"/>
  <c r="P332" i="1"/>
  <c r="M332" i="1"/>
  <c r="N332" i="1" s="1"/>
  <c r="AC331" i="1"/>
  <c r="W331" i="1"/>
  <c r="U331" i="1"/>
  <c r="S331" i="1"/>
  <c r="Q331" i="1" s="1"/>
  <c r="P331" i="1"/>
  <c r="M331" i="1"/>
  <c r="N331" i="1" s="1"/>
  <c r="AC330" i="1"/>
  <c r="W330" i="1"/>
  <c r="U330" i="1"/>
  <c r="S330" i="1"/>
  <c r="Y329" i="1" s="1"/>
  <c r="P330" i="1"/>
  <c r="M330" i="1"/>
  <c r="N330" i="1" s="1"/>
  <c r="AC329" i="1"/>
  <c r="Z329" i="1"/>
  <c r="W329" i="1"/>
  <c r="U329" i="1"/>
  <c r="S329" i="1"/>
  <c r="Q329" i="1"/>
  <c r="P329" i="1"/>
  <c r="M329" i="1"/>
  <c r="N329" i="1" s="1"/>
  <c r="AC328" i="1"/>
  <c r="W328" i="1"/>
  <c r="U328" i="1"/>
  <c r="S328" i="1"/>
  <c r="Q328" i="1" s="1"/>
  <c r="P328" i="1"/>
  <c r="M328" i="1"/>
  <c r="N328" i="1" s="1"/>
  <c r="AC327" i="1"/>
  <c r="W327" i="1"/>
  <c r="U327" i="1"/>
  <c r="S327" i="1"/>
  <c r="Q327" i="1"/>
  <c r="P327" i="1"/>
  <c r="N327" i="1"/>
  <c r="M327" i="1"/>
  <c r="AC326" i="1"/>
  <c r="W326" i="1"/>
  <c r="U326" i="1"/>
  <c r="S326" i="1"/>
  <c r="Q326" i="1" s="1"/>
  <c r="P326" i="1"/>
  <c r="M326" i="1"/>
  <c r="N326" i="1" s="1"/>
  <c r="AC325" i="1"/>
  <c r="W325" i="1"/>
  <c r="U325" i="1"/>
  <c r="S325" i="1"/>
  <c r="Y324" i="1" s="1"/>
  <c r="P325" i="1"/>
  <c r="M325" i="1"/>
  <c r="N325" i="1" s="1"/>
  <c r="AC324" i="1"/>
  <c r="Z324" i="1"/>
  <c r="W324" i="1"/>
  <c r="U324" i="1"/>
  <c r="S324" i="1"/>
  <c r="Q324" i="1"/>
  <c r="P324" i="1"/>
  <c r="M324" i="1"/>
  <c r="N324" i="1" s="1"/>
  <c r="AC323" i="1"/>
  <c r="W323" i="1"/>
  <c r="U323" i="1"/>
  <c r="S323" i="1"/>
  <c r="Q323" i="1" s="1"/>
  <c r="P323" i="1"/>
  <c r="M323" i="1"/>
  <c r="N323" i="1" s="1"/>
  <c r="AC322" i="1"/>
  <c r="W322" i="1"/>
  <c r="U322" i="1"/>
  <c r="S322" i="1"/>
  <c r="Q322" i="1"/>
  <c r="P322" i="1"/>
  <c r="M322" i="1"/>
  <c r="N322" i="1" s="1"/>
  <c r="AC321" i="1"/>
  <c r="Z321" i="1"/>
  <c r="W321" i="1"/>
  <c r="U321" i="1"/>
  <c r="S321" i="1"/>
  <c r="Y320" i="1" s="1"/>
  <c r="P321" i="1"/>
  <c r="M321" i="1"/>
  <c r="N321" i="1" s="1"/>
  <c r="AC320" i="1"/>
  <c r="Z320" i="1"/>
  <c r="W320" i="1"/>
  <c r="U320" i="1"/>
  <c r="S320" i="1"/>
  <c r="Q320" i="1" s="1"/>
  <c r="P320" i="1"/>
  <c r="M320" i="1"/>
  <c r="N320" i="1" s="1"/>
  <c r="AC319" i="1"/>
  <c r="Y319" i="1"/>
  <c r="W319" i="1"/>
  <c r="U319" i="1"/>
  <c r="S319" i="1"/>
  <c r="Y318" i="1" s="1"/>
  <c r="P319" i="1"/>
  <c r="M319" i="1"/>
  <c r="N319" i="1" s="1"/>
  <c r="U318" i="1"/>
  <c r="S318" i="1"/>
  <c r="Q318" i="1" s="1"/>
  <c r="P318" i="1"/>
  <c r="M318" i="1"/>
  <c r="N318" i="1" s="1"/>
  <c r="AC317" i="1"/>
  <c r="W317" i="1"/>
  <c r="U317" i="1"/>
  <c r="S317" i="1"/>
  <c r="Q317" i="1" s="1"/>
  <c r="P317" i="1"/>
  <c r="M317" i="1"/>
  <c r="N317" i="1" s="1"/>
  <c r="AC316" i="1"/>
  <c r="W316" i="1"/>
  <c r="U316" i="1"/>
  <c r="S316" i="1"/>
  <c r="Q316" i="1"/>
  <c r="P316" i="1"/>
  <c r="N316" i="1"/>
  <c r="M316" i="1"/>
  <c r="AC315" i="1"/>
  <c r="W315" i="1"/>
  <c r="U315" i="1"/>
  <c r="S315" i="1"/>
  <c r="Q315" i="1" s="1"/>
  <c r="P315" i="1"/>
  <c r="M315" i="1"/>
  <c r="N315" i="1" s="1"/>
  <c r="AC314" i="1"/>
  <c r="W314" i="1"/>
  <c r="U314" i="1"/>
  <c r="S314" i="1"/>
  <c r="Q314" i="1"/>
  <c r="M314" i="1"/>
  <c r="N314" i="1" s="1"/>
  <c r="P314" i="1" s="1"/>
  <c r="AC313" i="1"/>
  <c r="Z313" i="1"/>
  <c r="W313" i="1"/>
  <c r="U313" i="1"/>
  <c r="S313" i="1"/>
  <c r="Y312" i="1" s="1"/>
  <c r="Q313" i="1"/>
  <c r="P313" i="1"/>
  <c r="N313" i="1"/>
  <c r="M313" i="1"/>
  <c r="AC312" i="1"/>
  <c r="W312" i="1"/>
  <c r="U312" i="1"/>
  <c r="S312" i="1"/>
  <c r="Q312" i="1" s="1"/>
  <c r="P312" i="1"/>
  <c r="M312" i="1"/>
  <c r="N312" i="1" s="1"/>
  <c r="AC311" i="1"/>
  <c r="W311" i="1"/>
  <c r="U311" i="1"/>
  <c r="S311" i="1"/>
  <c r="Q311" i="1"/>
  <c r="P311" i="1"/>
  <c r="M311" i="1"/>
  <c r="N311" i="1" s="1"/>
  <c r="AC310" i="1"/>
  <c r="W310" i="1"/>
  <c r="U310" i="1"/>
  <c r="S310" i="1"/>
  <c r="Q310" i="1" s="1"/>
  <c r="P310" i="1"/>
  <c r="M310" i="1"/>
  <c r="N310" i="1" s="1"/>
  <c r="AC309" i="1"/>
  <c r="W309" i="1"/>
  <c r="U309" i="1"/>
  <c r="S309" i="1"/>
  <c r="Q309" i="1" s="1"/>
  <c r="P309" i="1"/>
  <c r="M309" i="1"/>
  <c r="N309" i="1" s="1"/>
  <c r="U308" i="1"/>
  <c r="S308" i="1"/>
  <c r="Q308" i="1" s="1"/>
  <c r="P308" i="1"/>
  <c r="N308" i="1"/>
  <c r="M308" i="1"/>
  <c r="AC307" i="1"/>
  <c r="W307" i="1"/>
  <c r="U307" i="1"/>
  <c r="S307" i="1"/>
  <c r="Q307" i="1" s="1"/>
  <c r="P307" i="1"/>
  <c r="M307" i="1"/>
  <c r="N307" i="1" s="1"/>
  <c r="AC306" i="1"/>
  <c r="W306" i="1"/>
  <c r="U306" i="1"/>
  <c r="S306" i="1"/>
  <c r="Q306" i="1"/>
  <c r="P306" i="1"/>
  <c r="M306" i="1"/>
  <c r="N306" i="1" s="1"/>
  <c r="AC305" i="1"/>
  <c r="W305" i="1"/>
  <c r="U305" i="1"/>
  <c r="S305" i="1"/>
  <c r="Z304" i="1" s="1"/>
  <c r="Q305" i="1"/>
  <c r="P305" i="1"/>
  <c r="M305" i="1"/>
  <c r="N305" i="1" s="1"/>
  <c r="AC304" i="1"/>
  <c r="W304" i="1"/>
  <c r="U304" i="1"/>
  <c r="S304" i="1"/>
  <c r="Q304" i="1" s="1"/>
  <c r="P304" i="1"/>
  <c r="M304" i="1"/>
  <c r="N304" i="1" s="1"/>
  <c r="AC303" i="1"/>
  <c r="W303" i="1"/>
  <c r="U303" i="1"/>
  <c r="S303" i="1"/>
  <c r="Y302" i="1" s="1"/>
  <c r="P303" i="1"/>
  <c r="N303" i="1"/>
  <c r="M303" i="1"/>
  <c r="AC302" i="1"/>
  <c r="W302" i="1"/>
  <c r="U302" i="1"/>
  <c r="S302" i="1"/>
  <c r="Q302" i="1" s="1"/>
  <c r="P302" i="1"/>
  <c r="M302" i="1"/>
  <c r="N302" i="1" s="1"/>
  <c r="AC301" i="1"/>
  <c r="W301" i="1"/>
  <c r="U301" i="1"/>
  <c r="S301" i="1"/>
  <c r="Q301" i="1" s="1"/>
  <c r="P301" i="1"/>
  <c r="M301" i="1"/>
  <c r="N301" i="1" s="1"/>
  <c r="AC300" i="1"/>
  <c r="W300" i="1"/>
  <c r="U300" i="1"/>
  <c r="S300" i="1"/>
  <c r="Q300" i="1"/>
  <c r="P300" i="1"/>
  <c r="M300" i="1"/>
  <c r="N300" i="1" s="1"/>
  <c r="AC299" i="1"/>
  <c r="W299" i="1"/>
  <c r="U299" i="1"/>
  <c r="S299" i="1"/>
  <c r="Q299" i="1" s="1"/>
  <c r="P299" i="1"/>
  <c r="M299" i="1"/>
  <c r="N299" i="1" s="1"/>
  <c r="AC298" i="1"/>
  <c r="W298" i="1"/>
  <c r="U298" i="1"/>
  <c r="S298" i="1"/>
  <c r="Q298" i="1"/>
  <c r="P298" i="1"/>
  <c r="M298" i="1"/>
  <c r="N298" i="1" s="1"/>
  <c r="AC297" i="1"/>
  <c r="Z297" i="1"/>
  <c r="W297" i="1"/>
  <c r="U297" i="1"/>
  <c r="S297" i="1"/>
  <c r="Z296" i="1" s="1"/>
  <c r="P297" i="1"/>
  <c r="M297" i="1"/>
  <c r="N297" i="1" s="1"/>
  <c r="AC296" i="1"/>
  <c r="W296" i="1"/>
  <c r="U296" i="1"/>
  <c r="S296" i="1"/>
  <c r="Q296" i="1" s="1"/>
  <c r="M296" i="1"/>
  <c r="N296" i="1" s="1"/>
  <c r="P296" i="1" s="1"/>
  <c r="AC295" i="1"/>
  <c r="Y295" i="1"/>
  <c r="W295" i="1"/>
  <c r="U295" i="1"/>
  <c r="S295" i="1"/>
  <c r="Z294" i="1" s="1"/>
  <c r="P295" i="1"/>
  <c r="M295" i="1"/>
  <c r="N295" i="1" s="1"/>
  <c r="AC294" i="1"/>
  <c r="W294" i="1"/>
  <c r="U294" i="1"/>
  <c r="S294" i="1"/>
  <c r="Q294" i="1" s="1"/>
  <c r="P294" i="1"/>
  <c r="M294" i="1"/>
  <c r="N294" i="1" s="1"/>
  <c r="AC293" i="1"/>
  <c r="Y293" i="1"/>
  <c r="W293" i="1"/>
  <c r="U293" i="1"/>
  <c r="S293" i="1"/>
  <c r="Q293" i="1"/>
  <c r="P293" i="1"/>
  <c r="M293" i="1"/>
  <c r="N293" i="1" s="1"/>
  <c r="AC292" i="1"/>
  <c r="Z292" i="1"/>
  <c r="W292" i="1"/>
  <c r="U292" i="1"/>
  <c r="S292" i="1"/>
  <c r="Q292" i="1" s="1"/>
  <c r="P292" i="1"/>
  <c r="M292" i="1"/>
  <c r="N292" i="1" s="1"/>
  <c r="AC291" i="1"/>
  <c r="W291" i="1"/>
  <c r="U291" i="1"/>
  <c r="S291" i="1"/>
  <c r="Q291" i="1" s="1"/>
  <c r="P291" i="1"/>
  <c r="M291" i="1"/>
  <c r="N291" i="1" s="1"/>
  <c r="AC290" i="1"/>
  <c r="W290" i="1"/>
  <c r="U290" i="1"/>
  <c r="S290" i="1"/>
  <c r="Q290" i="1"/>
  <c r="P290" i="1"/>
  <c r="M290" i="1"/>
  <c r="N290" i="1" s="1"/>
  <c r="AC289" i="1"/>
  <c r="W289" i="1"/>
  <c r="U289" i="1"/>
  <c r="S289" i="1"/>
  <c r="Q289" i="1" s="1"/>
  <c r="P289" i="1"/>
  <c r="M289" i="1"/>
  <c r="N289" i="1" s="1"/>
  <c r="AC288" i="1"/>
  <c r="W288" i="1"/>
  <c r="U288" i="1"/>
  <c r="S288" i="1"/>
  <c r="Q288" i="1"/>
  <c r="P288" i="1"/>
  <c r="M288" i="1"/>
  <c r="N288" i="1" s="1"/>
  <c r="AC287" i="1"/>
  <c r="W287" i="1"/>
  <c r="U287" i="1"/>
  <c r="S287" i="1"/>
  <c r="Q287" i="1" s="1"/>
  <c r="P287" i="1"/>
  <c r="N287" i="1"/>
  <c r="M287" i="1"/>
  <c r="U286" i="1"/>
  <c r="S286" i="1"/>
  <c r="Q286" i="1" s="1"/>
  <c r="P286" i="1"/>
  <c r="M286" i="1"/>
  <c r="N286" i="1" s="1"/>
  <c r="AC285" i="1"/>
  <c r="W285" i="1"/>
  <c r="U285" i="1"/>
  <c r="S285" i="1"/>
  <c r="Y284" i="1" s="1"/>
  <c r="P285" i="1"/>
  <c r="N285" i="1"/>
  <c r="M285" i="1"/>
  <c r="AC284" i="1"/>
  <c r="W284" i="1"/>
  <c r="U284" i="1"/>
  <c r="S284" i="1"/>
  <c r="Q284" i="1"/>
  <c r="P284" i="1"/>
  <c r="M284" i="1"/>
  <c r="N284" i="1" s="1"/>
  <c r="AC283" i="1"/>
  <c r="W283" i="1"/>
  <c r="U283" i="1"/>
  <c r="S283" i="1"/>
  <c r="Q283" i="1" s="1"/>
  <c r="P283" i="1"/>
  <c r="M283" i="1"/>
  <c r="N283" i="1" s="1"/>
  <c r="AC282" i="1"/>
  <c r="Y282" i="1"/>
  <c r="W282" i="1"/>
  <c r="U282" i="1"/>
  <c r="S282" i="1"/>
  <c r="Q282" i="1" s="1"/>
  <c r="P282" i="1"/>
  <c r="M282" i="1"/>
  <c r="N282" i="1" s="1"/>
  <c r="AC281" i="1"/>
  <c r="W281" i="1"/>
  <c r="U281" i="1"/>
  <c r="S281" i="1"/>
  <c r="Q281" i="1" s="1"/>
  <c r="P281" i="1"/>
  <c r="M281" i="1"/>
  <c r="N281" i="1" s="1"/>
  <c r="AC280" i="1"/>
  <c r="W280" i="1"/>
  <c r="U280" i="1"/>
  <c r="S280" i="1"/>
  <c r="Q280" i="1"/>
  <c r="P280" i="1"/>
  <c r="M280" i="1"/>
  <c r="N280" i="1" s="1"/>
  <c r="AC279" i="1"/>
  <c r="Z279" i="1"/>
  <c r="W279" i="1"/>
  <c r="U279" i="1"/>
  <c r="S279" i="1"/>
  <c r="Q279" i="1"/>
  <c r="P279" i="1"/>
  <c r="M279" i="1"/>
  <c r="N279" i="1" s="1"/>
  <c r="Z278" i="1"/>
  <c r="Y278" i="1"/>
  <c r="U278" i="1"/>
  <c r="S278" i="1"/>
  <c r="Q278" i="1" s="1"/>
  <c r="P278" i="1"/>
  <c r="M278" i="1"/>
  <c r="N278" i="1" s="1"/>
  <c r="U277" i="1"/>
  <c r="S277" i="1"/>
  <c r="Y276" i="1" s="1"/>
  <c r="P277" i="1"/>
  <c r="N277" i="1"/>
  <c r="M277" i="1"/>
  <c r="U276" i="1"/>
  <c r="S276" i="1"/>
  <c r="Y275" i="1" s="1"/>
  <c r="P276" i="1"/>
  <c r="M276" i="1"/>
  <c r="N276" i="1" s="1"/>
  <c r="AC275" i="1"/>
  <c r="W275" i="1"/>
  <c r="U275" i="1"/>
  <c r="S275" i="1"/>
  <c r="Q275" i="1" s="1"/>
  <c r="P275" i="1"/>
  <c r="M275" i="1"/>
  <c r="N275" i="1" s="1"/>
  <c r="AC274" i="1"/>
  <c r="W274" i="1"/>
  <c r="U274" i="1"/>
  <c r="S274" i="1"/>
  <c r="Q274" i="1" s="1"/>
  <c r="P274" i="1"/>
  <c r="N274" i="1"/>
  <c r="M274" i="1"/>
  <c r="AC273" i="1"/>
  <c r="W273" i="1"/>
  <c r="U273" i="1"/>
  <c r="S273" i="1"/>
  <c r="Q273" i="1" s="1"/>
  <c r="P273" i="1"/>
  <c r="N273" i="1"/>
  <c r="M273" i="1"/>
  <c r="AC272" i="1"/>
  <c r="Y272" i="1"/>
  <c r="W272" i="1"/>
  <c r="U272" i="1"/>
  <c r="S272" i="1"/>
  <c r="Q272" i="1"/>
  <c r="P272" i="1"/>
  <c r="M272" i="1"/>
  <c r="N272" i="1" s="1"/>
  <c r="AC271" i="1"/>
  <c r="Z271" i="1"/>
  <c r="W271" i="1"/>
  <c r="U271" i="1"/>
  <c r="S271" i="1"/>
  <c r="Q271" i="1"/>
  <c r="P271" i="1"/>
  <c r="N271" i="1"/>
  <c r="M271" i="1"/>
  <c r="AC270" i="1"/>
  <c r="Z270" i="1"/>
  <c r="Y270" i="1"/>
  <c r="W270" i="1"/>
  <c r="U270" i="1"/>
  <c r="S270" i="1"/>
  <c r="Q270" i="1" s="1"/>
  <c r="P270" i="1"/>
  <c r="M270" i="1"/>
  <c r="N270" i="1" s="1"/>
  <c r="AC269" i="1"/>
  <c r="W269" i="1"/>
  <c r="U269" i="1"/>
  <c r="S269" i="1"/>
  <c r="P269" i="1"/>
  <c r="N269" i="1"/>
  <c r="M269" i="1"/>
  <c r="AC268" i="1"/>
  <c r="W268" i="1"/>
  <c r="U268" i="1"/>
  <c r="S268" i="1"/>
  <c r="Y267" i="1" s="1"/>
  <c r="P268" i="1"/>
  <c r="M268" i="1"/>
  <c r="N268" i="1" s="1"/>
  <c r="AC267" i="1"/>
  <c r="W267" i="1"/>
  <c r="U267" i="1"/>
  <c r="S267" i="1"/>
  <c r="Q267" i="1" s="1"/>
  <c r="M267" i="1"/>
  <c r="N267" i="1" s="1"/>
  <c r="P267" i="1" s="1"/>
  <c r="AC266" i="1"/>
  <c r="W266" i="1"/>
  <c r="U266" i="1"/>
  <c r="S266" i="1"/>
  <c r="Q266" i="1" s="1"/>
  <c r="P266" i="1"/>
  <c r="M266" i="1"/>
  <c r="N266" i="1" s="1"/>
  <c r="AC265" i="1"/>
  <c r="W265" i="1"/>
  <c r="P265" i="1"/>
  <c r="AC264" i="1"/>
  <c r="W264" i="1"/>
  <c r="U263" i="1"/>
  <c r="S263" i="1"/>
  <c r="Y262" i="1" s="1"/>
  <c r="Q263" i="1"/>
  <c r="P263" i="1"/>
  <c r="M263" i="1"/>
  <c r="N263" i="1" s="1"/>
  <c r="U262" i="1"/>
  <c r="S262" i="1"/>
  <c r="Q262" i="1"/>
  <c r="P262" i="1"/>
  <c r="N262" i="1"/>
  <c r="M262" i="1"/>
  <c r="Y261" i="1"/>
  <c r="U261" i="1"/>
  <c r="S261" i="1"/>
  <c r="Q261" i="1" s="1"/>
  <c r="P261" i="1"/>
  <c r="M261" i="1"/>
  <c r="N261" i="1" s="1"/>
  <c r="U260" i="1"/>
  <c r="S260" i="1"/>
  <c r="P260" i="1"/>
  <c r="M260" i="1"/>
  <c r="N260" i="1" s="1"/>
  <c r="AC259" i="1"/>
  <c r="W259" i="1"/>
  <c r="U259" i="1"/>
  <c r="S259" i="1"/>
  <c r="Q259" i="1"/>
  <c r="P259" i="1"/>
  <c r="M259" i="1"/>
  <c r="N259" i="1" s="1"/>
  <c r="AC258" i="1"/>
  <c r="W258" i="1"/>
  <c r="U258" i="1"/>
  <c r="S258" i="1"/>
  <c r="Q258" i="1" s="1"/>
  <c r="P258" i="1"/>
  <c r="M258" i="1"/>
  <c r="N258" i="1" s="1"/>
  <c r="U257" i="1"/>
  <c r="S257" i="1"/>
  <c r="Q257" i="1" s="1"/>
  <c r="P257" i="1"/>
  <c r="M257" i="1"/>
  <c r="N257" i="1" s="1"/>
  <c r="U256" i="1"/>
  <c r="S256" i="1"/>
  <c r="P256" i="1"/>
  <c r="N256" i="1"/>
  <c r="M256" i="1"/>
  <c r="AC255" i="1"/>
  <c r="W255" i="1"/>
  <c r="U255" i="1"/>
  <c r="S255" i="1"/>
  <c r="Q255" i="1"/>
  <c r="P255" i="1"/>
  <c r="M255" i="1"/>
  <c r="N255" i="1" s="1"/>
  <c r="AC254" i="1"/>
  <c r="Z254" i="1"/>
  <c r="W254" i="1"/>
  <c r="U254" i="1"/>
  <c r="S254" i="1"/>
  <c r="Q254" i="1"/>
  <c r="P254" i="1"/>
  <c r="N254" i="1"/>
  <c r="M254" i="1"/>
  <c r="AC253" i="1"/>
  <c r="Z253" i="1"/>
  <c r="Y253" i="1"/>
  <c r="W253" i="1"/>
  <c r="U253" i="1"/>
  <c r="S253" i="1"/>
  <c r="Q253" i="1" s="1"/>
  <c r="P253" i="1"/>
  <c r="M253" i="1"/>
  <c r="N253" i="1" s="1"/>
  <c r="AC252" i="1"/>
  <c r="W252" i="1"/>
  <c r="U252" i="1"/>
  <c r="S252" i="1"/>
  <c r="P252" i="1"/>
  <c r="N252" i="1"/>
  <c r="M252" i="1"/>
  <c r="AC251" i="1"/>
  <c r="W251" i="1"/>
  <c r="U251" i="1"/>
  <c r="S251" i="1"/>
  <c r="Q251" i="1" s="1"/>
  <c r="P251" i="1"/>
  <c r="M251" i="1"/>
  <c r="N251" i="1" s="1"/>
  <c r="AC250" i="1"/>
  <c r="W250" i="1"/>
  <c r="U250" i="1"/>
  <c r="S250" i="1"/>
  <c r="P250" i="1"/>
  <c r="M250" i="1"/>
  <c r="N250" i="1" s="1"/>
  <c r="AC249" i="1"/>
  <c r="W249" i="1"/>
  <c r="U249" i="1"/>
  <c r="S249" i="1"/>
  <c r="Q249" i="1"/>
  <c r="P249" i="1"/>
  <c r="N249" i="1"/>
  <c r="M249" i="1"/>
  <c r="AC248" i="1"/>
  <c r="W248" i="1"/>
  <c r="U248" i="1"/>
  <c r="S248" i="1"/>
  <c r="Y248" i="1" s="1"/>
  <c r="P248" i="1"/>
  <c r="N248" i="1"/>
  <c r="M248" i="1"/>
  <c r="AC247" i="1"/>
  <c r="W247" i="1"/>
  <c r="U247" i="1"/>
  <c r="S247" i="1"/>
  <c r="Q247" i="1"/>
  <c r="P247" i="1"/>
  <c r="M247" i="1"/>
  <c r="N247" i="1" s="1"/>
  <c r="AC246" i="1"/>
  <c r="Z246" i="1"/>
  <c r="W246" i="1"/>
  <c r="U246" i="1"/>
  <c r="S246" i="1"/>
  <c r="Y245" i="1" s="1"/>
  <c r="Q246" i="1"/>
  <c r="P246" i="1"/>
  <c r="N246" i="1"/>
  <c r="M246" i="1"/>
  <c r="AC245" i="1"/>
  <c r="W245" i="1"/>
  <c r="U245" i="1"/>
  <c r="S245" i="1"/>
  <c r="Q245" i="1" s="1"/>
  <c r="P245" i="1"/>
  <c r="M245" i="1"/>
  <c r="N245" i="1" s="1"/>
  <c r="AC244" i="1"/>
  <c r="W244" i="1"/>
  <c r="U244" i="1"/>
  <c r="S244" i="1"/>
  <c r="M244" i="1"/>
  <c r="N244" i="1" s="1"/>
  <c r="P244" i="1" s="1"/>
  <c r="AC243" i="1"/>
  <c r="W243" i="1"/>
  <c r="U243" i="1"/>
  <c r="S243" i="1"/>
  <c r="Q243" i="1" s="1"/>
  <c r="P243" i="1"/>
  <c r="M243" i="1"/>
  <c r="N243" i="1" s="1"/>
  <c r="Z242" i="1"/>
  <c r="U242" i="1"/>
  <c r="S242" i="1"/>
  <c r="P242" i="1"/>
  <c r="M242" i="1"/>
  <c r="N242" i="1" s="1"/>
  <c r="U241" i="1"/>
  <c r="S241" i="1"/>
  <c r="Y240" i="1" s="1"/>
  <c r="Q241" i="1"/>
  <c r="P241" i="1"/>
  <c r="M241" i="1"/>
  <c r="N241" i="1" s="1"/>
  <c r="U240" i="1"/>
  <c r="S240" i="1"/>
  <c r="P240" i="1"/>
  <c r="M240" i="1"/>
  <c r="N240" i="1" s="1"/>
  <c r="AC239" i="1"/>
  <c r="Y239" i="1"/>
  <c r="W239" i="1"/>
  <c r="U239" i="1"/>
  <c r="S239" i="1"/>
  <c r="Q239" i="1"/>
  <c r="P239" i="1"/>
  <c r="M239" i="1"/>
  <c r="N239" i="1" s="1"/>
  <c r="AC238" i="1"/>
  <c r="Z238" i="1"/>
  <c r="W238" i="1"/>
  <c r="U238" i="1"/>
  <c r="S238" i="1"/>
  <c r="Q238" i="1"/>
  <c r="P238" i="1"/>
  <c r="M238" i="1"/>
  <c r="N238" i="1" s="1"/>
  <c r="AC237" i="1"/>
  <c r="W237" i="1"/>
  <c r="U237" i="1"/>
  <c r="S237" i="1"/>
  <c r="P237" i="1"/>
  <c r="M237" i="1"/>
  <c r="N237" i="1" s="1"/>
  <c r="U236" i="1"/>
  <c r="S236" i="1"/>
  <c r="Q236" i="1" s="1"/>
  <c r="P236" i="1"/>
  <c r="N236" i="1"/>
  <c r="M236" i="1"/>
  <c r="U235" i="1"/>
  <c r="S235" i="1"/>
  <c r="Z234" i="1" s="1"/>
  <c r="Q235" i="1"/>
  <c r="P235" i="1"/>
  <c r="M235" i="1"/>
  <c r="N235" i="1" s="1"/>
  <c r="U234" i="1"/>
  <c r="S234" i="1"/>
  <c r="Q234" i="1" s="1"/>
  <c r="P234" i="1"/>
  <c r="M234" i="1"/>
  <c r="N234" i="1" s="1"/>
  <c r="Y233" i="1"/>
  <c r="U233" i="1"/>
  <c r="S233" i="1"/>
  <c r="Q233" i="1"/>
  <c r="P233" i="1"/>
  <c r="M233" i="1"/>
  <c r="N233" i="1" s="1"/>
  <c r="AC232" i="1"/>
  <c r="Y232" i="1"/>
  <c r="W232" i="1"/>
  <c r="U232" i="1"/>
  <c r="S232" i="1"/>
  <c r="Z232" i="1" s="1"/>
  <c r="P232" i="1"/>
  <c r="M232" i="1"/>
  <c r="N232" i="1" s="1"/>
  <c r="AC231" i="1"/>
  <c r="Y231" i="1"/>
  <c r="W231" i="1"/>
  <c r="U231" i="1"/>
  <c r="S231" i="1"/>
  <c r="Q231" i="1"/>
  <c r="P231" i="1"/>
  <c r="M231" i="1"/>
  <c r="N231" i="1" s="1"/>
  <c r="AC230" i="1"/>
  <c r="Z230" i="1"/>
  <c r="W230" i="1"/>
  <c r="U230" i="1"/>
  <c r="S230" i="1"/>
  <c r="Q230" i="1" s="1"/>
  <c r="P230" i="1"/>
  <c r="M230" i="1"/>
  <c r="N230" i="1" s="1"/>
  <c r="AC229" i="1"/>
  <c r="W229" i="1"/>
  <c r="U229" i="1"/>
  <c r="S229" i="1"/>
  <c r="P229" i="1"/>
  <c r="M229" i="1"/>
  <c r="N229" i="1" s="1"/>
  <c r="AC228" i="1"/>
  <c r="Y228" i="1"/>
  <c r="W228" i="1"/>
  <c r="U228" i="1"/>
  <c r="S228" i="1"/>
  <c r="Q228" i="1"/>
  <c r="P228" i="1"/>
  <c r="M228" i="1"/>
  <c r="N228" i="1" s="1"/>
  <c r="AC227" i="1"/>
  <c r="W227" i="1"/>
  <c r="U227" i="1"/>
  <c r="S227" i="1"/>
  <c r="Z227" i="1" s="1"/>
  <c r="Q227" i="1"/>
  <c r="P227" i="1"/>
  <c r="M227" i="1"/>
  <c r="N227" i="1" s="1"/>
  <c r="AC226" i="1"/>
  <c r="Y226" i="1"/>
  <c r="W226" i="1"/>
  <c r="U226" i="1"/>
  <c r="S226" i="1"/>
  <c r="Q226" i="1" s="1"/>
  <c r="P226" i="1"/>
  <c r="M226" i="1"/>
  <c r="N226" i="1" s="1"/>
  <c r="AC225" i="1"/>
  <c r="W225" i="1"/>
  <c r="U225" i="1"/>
  <c r="S225" i="1"/>
  <c r="Q225" i="1" s="1"/>
  <c r="P225" i="1"/>
  <c r="N225" i="1"/>
  <c r="M225" i="1"/>
  <c r="AC224" i="1"/>
  <c r="W224" i="1"/>
  <c r="U224" i="1"/>
  <c r="S224" i="1"/>
  <c r="Q224" i="1" s="1"/>
  <c r="P224" i="1"/>
  <c r="M224" i="1"/>
  <c r="N224" i="1" s="1"/>
  <c r="AC223" i="1"/>
  <c r="W223" i="1"/>
  <c r="U223" i="1"/>
  <c r="S223" i="1"/>
  <c r="Z222" i="1" s="1"/>
  <c r="Q223" i="1"/>
  <c r="P223" i="1"/>
  <c r="M223" i="1"/>
  <c r="N223" i="1" s="1"/>
  <c r="AC222" i="1"/>
  <c r="W222" i="1"/>
  <c r="U222" i="1"/>
  <c r="S222" i="1"/>
  <c r="Q222" i="1"/>
  <c r="P222" i="1"/>
  <c r="M222" i="1"/>
  <c r="N222" i="1" s="1"/>
  <c r="AC221" i="1"/>
  <c r="W221" i="1"/>
  <c r="U221" i="1"/>
  <c r="S221" i="1"/>
  <c r="Z221" i="1" s="1"/>
  <c r="P221" i="1"/>
  <c r="M221" i="1"/>
  <c r="N221" i="1" s="1"/>
  <c r="AC220" i="1"/>
  <c r="W220" i="1"/>
  <c r="U220" i="1"/>
  <c r="S220" i="1"/>
  <c r="Y219" i="1" s="1"/>
  <c r="P220" i="1"/>
  <c r="N220" i="1"/>
  <c r="M220" i="1"/>
  <c r="AC219" i="1"/>
  <c r="W219" i="1"/>
  <c r="U219" i="1"/>
  <c r="S219" i="1"/>
  <c r="Q219" i="1"/>
  <c r="P219" i="1"/>
  <c r="M219" i="1"/>
  <c r="N219" i="1" s="1"/>
  <c r="AC218" i="1"/>
  <c r="W218" i="1"/>
  <c r="U218" i="1"/>
  <c r="S218" i="1"/>
  <c r="Z218" i="1" s="1"/>
  <c r="P218" i="1"/>
  <c r="M218" i="1"/>
  <c r="N218" i="1" s="1"/>
  <c r="AC217" i="1"/>
  <c r="Y217" i="1"/>
  <c r="W217" i="1"/>
  <c r="U217" i="1"/>
  <c r="S217" i="1"/>
  <c r="Q217" i="1"/>
  <c r="P217" i="1"/>
  <c r="N217" i="1"/>
  <c r="M217" i="1"/>
  <c r="AC216" i="1"/>
  <c r="W216" i="1"/>
  <c r="U216" i="1"/>
  <c r="S216" i="1"/>
  <c r="Q216" i="1"/>
  <c r="P216" i="1"/>
  <c r="M216" i="1"/>
  <c r="N216" i="1" s="1"/>
  <c r="AC215" i="1"/>
  <c r="W215" i="1"/>
  <c r="U215" i="1"/>
  <c r="S215" i="1"/>
  <c r="Z214" i="1" s="1"/>
  <c r="Q215" i="1"/>
  <c r="P215" i="1"/>
  <c r="M215" i="1"/>
  <c r="N215" i="1" s="1"/>
  <c r="AC214" i="1"/>
  <c r="W214" i="1"/>
  <c r="U214" i="1"/>
  <c r="S214" i="1"/>
  <c r="Q214" i="1" s="1"/>
  <c r="P214" i="1"/>
  <c r="M214" i="1"/>
  <c r="N214" i="1" s="1"/>
  <c r="AC213" i="1"/>
  <c r="W213" i="1"/>
  <c r="U213" i="1"/>
  <c r="S213" i="1"/>
  <c r="Q213" i="1" s="1"/>
  <c r="P213" i="1"/>
  <c r="M213" i="1"/>
  <c r="N213" i="1" s="1"/>
  <c r="AC212" i="1"/>
  <c r="W212" i="1"/>
  <c r="U212" i="1"/>
  <c r="S212" i="1"/>
  <c r="Q212" i="1"/>
  <c r="P212" i="1"/>
  <c r="M212" i="1"/>
  <c r="N212" i="1" s="1"/>
  <c r="AC211" i="1"/>
  <c r="W211" i="1"/>
  <c r="U211" i="1"/>
  <c r="S211" i="1"/>
  <c r="Z211" i="1" s="1"/>
  <c r="P211" i="1"/>
  <c r="M211" i="1"/>
  <c r="N211" i="1" s="1"/>
  <c r="AC210" i="1"/>
  <c r="Z210" i="1"/>
  <c r="Y210" i="1"/>
  <c r="W210" i="1"/>
  <c r="U210" i="1"/>
  <c r="S210" i="1"/>
  <c r="Q210" i="1"/>
  <c r="P210" i="1"/>
  <c r="N210" i="1"/>
  <c r="M210" i="1"/>
  <c r="AC209" i="1"/>
  <c r="W209" i="1"/>
  <c r="U209" i="1"/>
  <c r="S209" i="1"/>
  <c r="Q209" i="1" s="1"/>
  <c r="P209" i="1"/>
  <c r="M209" i="1"/>
  <c r="N209" i="1" s="1"/>
  <c r="AC208" i="1"/>
  <c r="W208" i="1"/>
  <c r="U208" i="1"/>
  <c r="S208" i="1"/>
  <c r="Q208" i="1" s="1"/>
  <c r="P208" i="1"/>
  <c r="M208" i="1"/>
  <c r="N208" i="1" s="1"/>
  <c r="AC207" i="1"/>
  <c r="W207" i="1"/>
  <c r="P207" i="1"/>
  <c r="AC206" i="1"/>
  <c r="W206" i="1"/>
  <c r="AC205" i="1"/>
  <c r="W205" i="1"/>
  <c r="U205" i="1"/>
  <c r="S205" i="1"/>
  <c r="Q205" i="1" s="1"/>
  <c r="P205" i="1"/>
  <c r="M205" i="1"/>
  <c r="N205" i="1" s="1"/>
  <c r="AC204" i="1"/>
  <c r="W204" i="1"/>
  <c r="U204" i="1"/>
  <c r="S204" i="1"/>
  <c r="Q204" i="1" s="1"/>
  <c r="P204" i="1"/>
  <c r="N204" i="1"/>
  <c r="M204" i="1"/>
  <c r="AC203" i="1"/>
  <c r="W203" i="1"/>
  <c r="U203" i="1"/>
  <c r="S203" i="1"/>
  <c r="Q203" i="1"/>
  <c r="P203" i="1"/>
  <c r="M203" i="1"/>
  <c r="N203" i="1" s="1"/>
  <c r="AC202" i="1"/>
  <c r="Z202" i="1"/>
  <c r="W202" i="1"/>
  <c r="U202" i="1"/>
  <c r="S202" i="1"/>
  <c r="Q202" i="1"/>
  <c r="P202" i="1"/>
  <c r="M202" i="1"/>
  <c r="N202" i="1" s="1"/>
  <c r="AC201" i="1"/>
  <c r="W201" i="1"/>
  <c r="U201" i="1"/>
  <c r="S201" i="1"/>
  <c r="Z201" i="1" s="1"/>
  <c r="Q201" i="1"/>
  <c r="P201" i="1"/>
  <c r="M201" i="1"/>
  <c r="N201" i="1" s="1"/>
  <c r="AC200" i="1"/>
  <c r="W200" i="1"/>
  <c r="U200" i="1"/>
  <c r="S200" i="1"/>
  <c r="Q200" i="1" s="1"/>
  <c r="P200" i="1"/>
  <c r="N200" i="1"/>
  <c r="M200" i="1"/>
  <c r="AC199" i="1"/>
  <c r="W199" i="1"/>
  <c r="U199" i="1"/>
  <c r="S199" i="1"/>
  <c r="Q199" i="1"/>
  <c r="P199" i="1"/>
  <c r="M199" i="1"/>
  <c r="N199" i="1" s="1"/>
  <c r="AC198" i="1"/>
  <c r="Z198" i="1"/>
  <c r="W198" i="1"/>
  <c r="U198" i="1"/>
  <c r="S198" i="1"/>
  <c r="Q198" i="1"/>
  <c r="P198" i="1"/>
  <c r="M198" i="1"/>
  <c r="N198" i="1" s="1"/>
  <c r="AC197" i="1"/>
  <c r="W197" i="1"/>
  <c r="U197" i="1"/>
  <c r="S197" i="1"/>
  <c r="Q197" i="1" s="1"/>
  <c r="P197" i="1"/>
  <c r="M197" i="1"/>
  <c r="N197" i="1" s="1"/>
  <c r="AC196" i="1"/>
  <c r="W196" i="1"/>
  <c r="U196" i="1"/>
  <c r="S196" i="1"/>
  <c r="Q196" i="1" s="1"/>
  <c r="P196" i="1"/>
  <c r="M196" i="1"/>
  <c r="N196" i="1" s="1"/>
  <c r="AC195" i="1"/>
  <c r="W195" i="1"/>
  <c r="U195" i="1"/>
  <c r="S195" i="1"/>
  <c r="Q195" i="1" s="1"/>
  <c r="P195" i="1"/>
  <c r="M195" i="1"/>
  <c r="N195" i="1" s="1"/>
  <c r="AC194" i="1"/>
  <c r="Z194" i="1"/>
  <c r="W194" i="1"/>
  <c r="U194" i="1"/>
  <c r="S194" i="1"/>
  <c r="Y193" i="1" s="1"/>
  <c r="P194" i="1"/>
  <c r="M194" i="1"/>
  <c r="N194" i="1" s="1"/>
  <c r="AC193" i="1"/>
  <c r="Z193" i="1"/>
  <c r="W193" i="1"/>
  <c r="U193" i="1"/>
  <c r="S193" i="1"/>
  <c r="Q193" i="1"/>
  <c r="P193" i="1"/>
  <c r="M193" i="1"/>
  <c r="N193" i="1" s="1"/>
  <c r="AC192" i="1"/>
  <c r="W192" i="1"/>
  <c r="U192" i="1"/>
  <c r="S192" i="1"/>
  <c r="Q192" i="1" s="1"/>
  <c r="P192" i="1"/>
  <c r="M192" i="1"/>
  <c r="N192" i="1" s="1"/>
  <c r="AC191" i="1"/>
  <c r="W191" i="1"/>
  <c r="U191" i="1"/>
  <c r="S191" i="1"/>
  <c r="Q191" i="1" s="1"/>
  <c r="P191" i="1"/>
  <c r="M191" i="1"/>
  <c r="N191" i="1" s="1"/>
  <c r="AC190" i="1"/>
  <c r="Z190" i="1"/>
  <c r="W190" i="1"/>
  <c r="U190" i="1"/>
  <c r="S190" i="1"/>
  <c r="Y189" i="1" s="1"/>
  <c r="P190" i="1"/>
  <c r="M190" i="1"/>
  <c r="N190" i="1" s="1"/>
  <c r="AC189" i="1"/>
  <c r="Z189" i="1"/>
  <c r="W189" i="1"/>
  <c r="U189" i="1"/>
  <c r="S189" i="1"/>
  <c r="Q189" i="1" s="1"/>
  <c r="M189" i="1"/>
  <c r="N189" i="1" s="1"/>
  <c r="P189" i="1" s="1"/>
  <c r="AC188" i="1"/>
  <c r="W188" i="1"/>
  <c r="U188" i="1"/>
  <c r="S188" i="1"/>
  <c r="Q188" i="1" s="1"/>
  <c r="P188" i="1"/>
  <c r="N188" i="1"/>
  <c r="M188" i="1"/>
  <c r="AC187" i="1"/>
  <c r="W187" i="1"/>
  <c r="U187" i="1"/>
  <c r="S187" i="1"/>
  <c r="Y186" i="1" s="1"/>
  <c r="P187" i="1"/>
  <c r="M187" i="1"/>
  <c r="N187" i="1" s="1"/>
  <c r="AC186" i="1"/>
  <c r="W186" i="1"/>
  <c r="U186" i="1"/>
  <c r="S186" i="1"/>
  <c r="Q186" i="1" s="1"/>
  <c r="P186" i="1"/>
  <c r="M186" i="1"/>
  <c r="N186" i="1" s="1"/>
  <c r="AC185" i="1"/>
  <c r="W185" i="1"/>
  <c r="U185" i="1"/>
  <c r="S185" i="1"/>
  <c r="Q185" i="1"/>
  <c r="P185" i="1"/>
  <c r="M185" i="1"/>
  <c r="N185" i="1" s="1"/>
  <c r="AC184" i="1"/>
  <c r="W184" i="1"/>
  <c r="U184" i="1"/>
  <c r="S184" i="1"/>
  <c r="Q184" i="1" s="1"/>
  <c r="P184" i="1"/>
  <c r="N184" i="1"/>
  <c r="M184" i="1"/>
  <c r="AC183" i="1"/>
  <c r="W183" i="1"/>
  <c r="U183" i="1"/>
  <c r="S183" i="1"/>
  <c r="Y182" i="1" s="1"/>
  <c r="P183" i="1"/>
  <c r="M183" i="1"/>
  <c r="N183" i="1" s="1"/>
  <c r="AC182" i="1"/>
  <c r="W182" i="1"/>
  <c r="U182" i="1"/>
  <c r="S182" i="1"/>
  <c r="Q182" i="1" s="1"/>
  <c r="P182" i="1"/>
  <c r="M182" i="1"/>
  <c r="N182" i="1" s="1"/>
  <c r="AC181" i="1"/>
  <c r="W181" i="1"/>
  <c r="U181" i="1"/>
  <c r="S181" i="1"/>
  <c r="Q181" i="1" s="1"/>
  <c r="P181" i="1"/>
  <c r="M181" i="1"/>
  <c r="N181" i="1" s="1"/>
  <c r="AC180" i="1"/>
  <c r="W180" i="1"/>
  <c r="U180" i="1"/>
  <c r="S180" i="1"/>
  <c r="Q180" i="1" s="1"/>
  <c r="P180" i="1"/>
  <c r="M180" i="1"/>
  <c r="N180" i="1" s="1"/>
  <c r="AC179" i="1"/>
  <c r="W179" i="1"/>
  <c r="U179" i="1"/>
  <c r="S179" i="1"/>
  <c r="Q179" i="1"/>
  <c r="P179" i="1"/>
  <c r="M179" i="1"/>
  <c r="N179" i="1" s="1"/>
  <c r="AC178" i="1"/>
  <c r="W178" i="1"/>
  <c r="U178" i="1"/>
  <c r="S178" i="1"/>
  <c r="Z177" i="1" s="1"/>
  <c r="Q178" i="1"/>
  <c r="P178" i="1"/>
  <c r="M178" i="1"/>
  <c r="N178" i="1" s="1"/>
  <c r="AC177" i="1"/>
  <c r="W177" i="1"/>
  <c r="U177" i="1"/>
  <c r="S177" i="1"/>
  <c r="Q177" i="1"/>
  <c r="P177" i="1"/>
  <c r="M177" i="1"/>
  <c r="N177" i="1" s="1"/>
  <c r="AC176" i="1"/>
  <c r="W176" i="1"/>
  <c r="U176" i="1"/>
  <c r="S176" i="1"/>
  <c r="Q176" i="1" s="1"/>
  <c r="P176" i="1"/>
  <c r="M176" i="1"/>
  <c r="N176" i="1" s="1"/>
  <c r="AC175" i="1"/>
  <c r="W175" i="1"/>
  <c r="U175" i="1"/>
  <c r="S175" i="1"/>
  <c r="Q175" i="1"/>
  <c r="P175" i="1"/>
  <c r="M175" i="1"/>
  <c r="N175" i="1" s="1"/>
  <c r="AC174" i="1"/>
  <c r="W174" i="1"/>
  <c r="U174" i="1"/>
  <c r="S174" i="1"/>
  <c r="Z173" i="1" s="1"/>
  <c r="Q174" i="1"/>
  <c r="P174" i="1"/>
  <c r="M174" i="1"/>
  <c r="N174" i="1" s="1"/>
  <c r="AC173" i="1"/>
  <c r="W173" i="1"/>
  <c r="U173" i="1"/>
  <c r="S173" i="1"/>
  <c r="Q173" i="1" s="1"/>
  <c r="P173" i="1"/>
  <c r="M173" i="1"/>
  <c r="N173" i="1" s="1"/>
  <c r="AC172" i="1"/>
  <c r="W172" i="1"/>
  <c r="U172" i="1"/>
  <c r="S172" i="1"/>
  <c r="Q172" i="1" s="1"/>
  <c r="P172" i="1"/>
  <c r="M172" i="1"/>
  <c r="N172" i="1" s="1"/>
  <c r="AC171" i="1"/>
  <c r="W171" i="1"/>
  <c r="U171" i="1"/>
  <c r="S171" i="1"/>
  <c r="Q171" i="1"/>
  <c r="P171" i="1"/>
  <c r="M171" i="1"/>
  <c r="N171" i="1" s="1"/>
  <c r="AC170" i="1"/>
  <c r="Z170" i="1"/>
  <c r="W170" i="1"/>
  <c r="U170" i="1"/>
  <c r="S170" i="1"/>
  <c r="Q170" i="1"/>
  <c r="P170" i="1"/>
  <c r="M170" i="1"/>
  <c r="N170" i="1" s="1"/>
  <c r="AC169" i="1"/>
  <c r="Z169" i="1"/>
  <c r="W169" i="1"/>
  <c r="U169" i="1"/>
  <c r="S169" i="1"/>
  <c r="Y169" i="1" s="1"/>
  <c r="Q169" i="1"/>
  <c r="P169" i="1"/>
  <c r="N169" i="1"/>
  <c r="M169" i="1"/>
  <c r="AC168" i="1"/>
  <c r="W168" i="1"/>
  <c r="U168" i="1"/>
  <c r="S168" i="1"/>
  <c r="Q168" i="1" s="1"/>
  <c r="P168" i="1"/>
  <c r="M168" i="1"/>
  <c r="N168" i="1" s="1"/>
  <c r="AC167" i="1"/>
  <c r="W167" i="1"/>
  <c r="U167" i="1"/>
  <c r="S167" i="1"/>
  <c r="Q167" i="1"/>
  <c r="P167" i="1"/>
  <c r="M167" i="1"/>
  <c r="N167" i="1" s="1"/>
  <c r="AC166" i="1"/>
  <c r="Z166" i="1"/>
  <c r="W166" i="1"/>
  <c r="U166" i="1"/>
  <c r="S166" i="1"/>
  <c r="Y165" i="1" s="1"/>
  <c r="Q166" i="1"/>
  <c r="P166" i="1"/>
  <c r="M166" i="1"/>
  <c r="N166" i="1" s="1"/>
  <c r="AC165" i="1"/>
  <c r="W165" i="1"/>
  <c r="U165" i="1"/>
  <c r="S165" i="1"/>
  <c r="Q165" i="1" s="1"/>
  <c r="P165" i="1"/>
  <c r="M165" i="1"/>
  <c r="N165" i="1" s="1"/>
  <c r="AC164" i="1"/>
  <c r="W164" i="1"/>
  <c r="U164" i="1"/>
  <c r="S164" i="1"/>
  <c r="Q164" i="1" s="1"/>
  <c r="P164" i="1"/>
  <c r="M164" i="1"/>
  <c r="N164" i="1" s="1"/>
  <c r="AC163" i="1"/>
  <c r="W163" i="1"/>
  <c r="U163" i="1"/>
  <c r="S163" i="1"/>
  <c r="Q163" i="1"/>
  <c r="P163" i="1"/>
  <c r="M163" i="1"/>
  <c r="N163" i="1" s="1"/>
  <c r="AC162" i="1"/>
  <c r="Z162" i="1"/>
  <c r="W162" i="1"/>
  <c r="U162" i="1"/>
  <c r="S162" i="1"/>
  <c r="Q162" i="1"/>
  <c r="P162" i="1"/>
  <c r="M162" i="1"/>
  <c r="N162" i="1" s="1"/>
  <c r="AC161" i="1"/>
  <c r="Z161" i="1"/>
  <c r="Y161" i="1"/>
  <c r="W161" i="1"/>
  <c r="U161" i="1"/>
  <c r="S161" i="1"/>
  <c r="Q161" i="1" s="1"/>
  <c r="P161" i="1"/>
  <c r="M161" i="1"/>
  <c r="N161" i="1" s="1"/>
  <c r="AC160" i="1"/>
  <c r="W160" i="1"/>
  <c r="U160" i="1"/>
  <c r="S160" i="1"/>
  <c r="Q160" i="1" s="1"/>
  <c r="P160" i="1"/>
  <c r="M160" i="1"/>
  <c r="N160" i="1" s="1"/>
  <c r="AC159" i="1"/>
  <c r="W159" i="1"/>
  <c r="U159" i="1"/>
  <c r="S159" i="1"/>
  <c r="Q159" i="1"/>
  <c r="P159" i="1"/>
  <c r="M159" i="1"/>
  <c r="N159" i="1" s="1"/>
  <c r="AC158" i="1"/>
  <c r="Z158" i="1"/>
  <c r="W158" i="1"/>
  <c r="U158" i="1"/>
  <c r="S158" i="1"/>
  <c r="Q158" i="1"/>
  <c r="P158" i="1"/>
  <c r="M158" i="1"/>
  <c r="N158" i="1" s="1"/>
  <c r="AC157" i="1"/>
  <c r="Z157" i="1"/>
  <c r="Y157" i="1"/>
  <c r="W157" i="1"/>
  <c r="U157" i="1"/>
  <c r="S157" i="1"/>
  <c r="Q157" i="1" s="1"/>
  <c r="P157" i="1"/>
  <c r="M157" i="1"/>
  <c r="N157" i="1" s="1"/>
  <c r="AC156" i="1"/>
  <c r="W156" i="1"/>
  <c r="U156" i="1"/>
  <c r="S156" i="1"/>
  <c r="Q156" i="1" s="1"/>
  <c r="P156" i="1"/>
  <c r="N156" i="1"/>
  <c r="M156" i="1"/>
  <c r="AC155" i="1"/>
  <c r="W155" i="1"/>
  <c r="U155" i="1"/>
  <c r="S155" i="1"/>
  <c r="Z154" i="1" s="1"/>
  <c r="P155" i="1"/>
  <c r="M155" i="1"/>
  <c r="N155" i="1" s="1"/>
  <c r="AC154" i="1"/>
  <c r="W154" i="1"/>
  <c r="U154" i="1"/>
  <c r="S154" i="1"/>
  <c r="Q154" i="1" s="1"/>
  <c r="P154" i="1"/>
  <c r="M154" i="1"/>
  <c r="N154" i="1" s="1"/>
  <c r="AC153" i="1"/>
  <c r="W153" i="1"/>
  <c r="U153" i="1"/>
  <c r="S153" i="1"/>
  <c r="Q153" i="1" s="1"/>
  <c r="P153" i="1"/>
  <c r="M153" i="1"/>
  <c r="N153" i="1" s="1"/>
  <c r="AC152" i="1"/>
  <c r="W152" i="1"/>
  <c r="U152" i="1"/>
  <c r="S152" i="1"/>
  <c r="Q152" i="1" s="1"/>
  <c r="P152" i="1"/>
  <c r="N152" i="1"/>
  <c r="M152" i="1"/>
  <c r="AC151" i="1"/>
  <c r="W151" i="1"/>
  <c r="U151" i="1"/>
  <c r="S151" i="1"/>
  <c r="Y150" i="1" s="1"/>
  <c r="P151" i="1"/>
  <c r="N151" i="1"/>
  <c r="M151" i="1"/>
  <c r="AC150" i="1"/>
  <c r="W150" i="1"/>
  <c r="U150" i="1"/>
  <c r="S150" i="1"/>
  <c r="Q150" i="1" s="1"/>
  <c r="P150" i="1"/>
  <c r="M150" i="1"/>
  <c r="N150" i="1" s="1"/>
  <c r="AC149" i="1"/>
  <c r="Z149" i="1"/>
  <c r="Y149" i="1"/>
  <c r="W149" i="1"/>
  <c r="U149" i="1"/>
  <c r="S149" i="1"/>
  <c r="Q149" i="1" s="1"/>
  <c r="P149" i="1"/>
  <c r="M149" i="1"/>
  <c r="N149" i="1" s="1"/>
  <c r="AC148" i="1"/>
  <c r="W148" i="1"/>
  <c r="U148" i="1"/>
  <c r="S148" i="1"/>
  <c r="Q148" i="1" s="1"/>
  <c r="P148" i="1"/>
  <c r="M148" i="1"/>
  <c r="N148" i="1" s="1"/>
  <c r="AC147" i="1"/>
  <c r="W147" i="1"/>
  <c r="U147" i="1"/>
  <c r="S147" i="1"/>
  <c r="Q147" i="1" s="1"/>
  <c r="P147" i="1"/>
  <c r="M147" i="1"/>
  <c r="N147" i="1" s="1"/>
  <c r="AC146" i="1"/>
  <c r="W146" i="1"/>
  <c r="U146" i="1"/>
  <c r="S146" i="1"/>
  <c r="Z145" i="1" s="1"/>
  <c r="Q146" i="1"/>
  <c r="M146" i="1"/>
  <c r="N146" i="1" s="1"/>
  <c r="P146" i="1" s="1"/>
  <c r="AC145" i="1"/>
  <c r="W145" i="1"/>
  <c r="U145" i="1"/>
  <c r="S145" i="1"/>
  <c r="Q145" i="1"/>
  <c r="P145" i="1"/>
  <c r="N145" i="1"/>
  <c r="M145" i="1"/>
  <c r="AC144" i="1"/>
  <c r="W144" i="1"/>
  <c r="P144" i="1"/>
  <c r="AC143" i="1"/>
  <c r="W143" i="1"/>
  <c r="AC142" i="1"/>
  <c r="W142" i="1"/>
  <c r="U142" i="1"/>
  <c r="S142" i="1"/>
  <c r="Q142" i="1"/>
  <c r="P142" i="1"/>
  <c r="M142" i="1"/>
  <c r="N142" i="1" s="1"/>
  <c r="AC141" i="1"/>
  <c r="Z141" i="1"/>
  <c r="W141" i="1"/>
  <c r="U141" i="1"/>
  <c r="S141" i="1"/>
  <c r="Q141" i="1"/>
  <c r="P141" i="1"/>
  <c r="M141" i="1"/>
  <c r="N141" i="1" s="1"/>
  <c r="AC140" i="1"/>
  <c r="Z140" i="1"/>
  <c r="Y140" i="1"/>
  <c r="W140" i="1"/>
  <c r="U140" i="1"/>
  <c r="S140" i="1"/>
  <c r="Q140" i="1" s="1"/>
  <c r="P140" i="1"/>
  <c r="M140" i="1"/>
  <c r="N140" i="1" s="1"/>
  <c r="AC139" i="1"/>
  <c r="W139" i="1"/>
  <c r="U139" i="1"/>
  <c r="S139" i="1"/>
  <c r="Q139" i="1" s="1"/>
  <c r="P139" i="1"/>
  <c r="N139" i="1"/>
  <c r="M139" i="1"/>
  <c r="AC138" i="1"/>
  <c r="W138" i="1"/>
  <c r="U138" i="1"/>
  <c r="S138" i="1"/>
  <c r="Y137" i="1" s="1"/>
  <c r="P138" i="1"/>
  <c r="M138" i="1"/>
  <c r="N138" i="1" s="1"/>
  <c r="AC137" i="1"/>
  <c r="W137" i="1"/>
  <c r="U137" i="1"/>
  <c r="S137" i="1"/>
  <c r="Q137" i="1" s="1"/>
  <c r="P137" i="1"/>
  <c r="M137" i="1"/>
  <c r="N137" i="1" s="1"/>
  <c r="AC136" i="1"/>
  <c r="W136" i="1"/>
  <c r="U136" i="1"/>
  <c r="S136" i="1"/>
  <c r="Q136" i="1"/>
  <c r="P136" i="1"/>
  <c r="M136" i="1"/>
  <c r="N136" i="1" s="1"/>
  <c r="AC135" i="1"/>
  <c r="W135" i="1"/>
  <c r="U135" i="1"/>
  <c r="S135" i="1"/>
  <c r="Q135" i="1" s="1"/>
  <c r="P135" i="1"/>
  <c r="N135" i="1"/>
  <c r="M135" i="1"/>
  <c r="AC134" i="1"/>
  <c r="W134" i="1"/>
  <c r="U134" i="1"/>
  <c r="S134" i="1"/>
  <c r="Y133" i="1" s="1"/>
  <c r="P134" i="1"/>
  <c r="M134" i="1"/>
  <c r="N134" i="1" s="1"/>
  <c r="AC133" i="1"/>
  <c r="W133" i="1"/>
  <c r="U133" i="1"/>
  <c r="S133" i="1"/>
  <c r="Q133" i="1" s="1"/>
  <c r="P133" i="1"/>
  <c r="M133" i="1"/>
  <c r="N133" i="1" s="1"/>
  <c r="AC132" i="1"/>
  <c r="W132" i="1"/>
  <c r="U132" i="1"/>
  <c r="S132" i="1"/>
  <c r="Q132" i="1" s="1"/>
  <c r="P132" i="1"/>
  <c r="M132" i="1"/>
  <c r="N132" i="1" s="1"/>
  <c r="AC131" i="1"/>
  <c r="W131" i="1"/>
  <c r="U131" i="1"/>
  <c r="S131" i="1"/>
  <c r="Q131" i="1" s="1"/>
  <c r="P131" i="1"/>
  <c r="M131" i="1"/>
  <c r="N131" i="1" s="1"/>
  <c r="AC130" i="1"/>
  <c r="W130" i="1"/>
  <c r="U130" i="1"/>
  <c r="S130" i="1"/>
  <c r="Q130" i="1"/>
  <c r="P130" i="1"/>
  <c r="M130" i="1"/>
  <c r="N130" i="1" s="1"/>
  <c r="AC129" i="1"/>
  <c r="Z129" i="1"/>
  <c r="W129" i="1"/>
  <c r="U129" i="1"/>
  <c r="S129" i="1"/>
  <c r="Y128" i="1" s="1"/>
  <c r="Q129" i="1"/>
  <c r="P129" i="1"/>
  <c r="M129" i="1"/>
  <c r="N129" i="1" s="1"/>
  <c r="AC128" i="1"/>
  <c r="W128" i="1"/>
  <c r="U128" i="1"/>
  <c r="S128" i="1"/>
  <c r="Z128" i="1" s="1"/>
  <c r="Q128" i="1"/>
  <c r="P128" i="1"/>
  <c r="M128" i="1"/>
  <c r="N128" i="1" s="1"/>
  <c r="AC127" i="1"/>
  <c r="W127" i="1"/>
  <c r="U127" i="1"/>
  <c r="S127" i="1"/>
  <c r="P127" i="1"/>
  <c r="M127" i="1"/>
  <c r="N127" i="1" s="1"/>
  <c r="AC126" i="1"/>
  <c r="W126" i="1"/>
  <c r="U126" i="1"/>
  <c r="S126" i="1"/>
  <c r="Q126" i="1"/>
  <c r="P126" i="1"/>
  <c r="M126" i="1"/>
  <c r="N126" i="1" s="1"/>
  <c r="AC125" i="1"/>
  <c r="Z125" i="1"/>
  <c r="W125" i="1"/>
  <c r="U125" i="1"/>
  <c r="S125" i="1"/>
  <c r="Y124" i="1" s="1"/>
  <c r="Q125" i="1"/>
  <c r="P125" i="1"/>
  <c r="M125" i="1"/>
  <c r="N125" i="1" s="1"/>
  <c r="AC124" i="1"/>
  <c r="W124" i="1"/>
  <c r="U124" i="1"/>
  <c r="S124" i="1"/>
  <c r="Q124" i="1" s="1"/>
  <c r="P124" i="1"/>
  <c r="M124" i="1"/>
  <c r="N124" i="1" s="1"/>
  <c r="AC123" i="1"/>
  <c r="W123" i="1"/>
  <c r="U123" i="1"/>
  <c r="S123" i="1"/>
  <c r="Q123" i="1" s="1"/>
  <c r="P123" i="1"/>
  <c r="M123" i="1"/>
  <c r="N123" i="1" s="1"/>
  <c r="AC122" i="1"/>
  <c r="W122" i="1"/>
  <c r="U122" i="1"/>
  <c r="S122" i="1"/>
  <c r="Q122" i="1"/>
  <c r="P122" i="1"/>
  <c r="M122" i="1"/>
  <c r="N122" i="1" s="1"/>
  <c r="AC121" i="1"/>
  <c r="Z121" i="1"/>
  <c r="W121" i="1"/>
  <c r="U121" i="1"/>
  <c r="S121" i="1"/>
  <c r="Q121" i="1"/>
  <c r="P121" i="1"/>
  <c r="M121" i="1"/>
  <c r="N121" i="1" s="1"/>
  <c r="AC120" i="1"/>
  <c r="W120" i="1"/>
  <c r="U120" i="1"/>
  <c r="S120" i="1"/>
  <c r="Z120" i="1" s="1"/>
  <c r="Q120" i="1"/>
  <c r="P120" i="1"/>
  <c r="N120" i="1"/>
  <c r="M120" i="1"/>
  <c r="AC119" i="1"/>
  <c r="Y119" i="1"/>
  <c r="W119" i="1"/>
  <c r="U119" i="1"/>
  <c r="S119" i="1"/>
  <c r="P119" i="1"/>
  <c r="N119" i="1"/>
  <c r="M119" i="1"/>
  <c r="AC118" i="1"/>
  <c r="W118" i="1"/>
  <c r="U118" i="1"/>
  <c r="S118" i="1"/>
  <c r="Q118" i="1"/>
  <c r="P118" i="1"/>
  <c r="M118" i="1"/>
  <c r="N118" i="1" s="1"/>
  <c r="AC117" i="1"/>
  <c r="W117" i="1"/>
  <c r="U117" i="1"/>
  <c r="S117" i="1"/>
  <c r="Z116" i="1" s="1"/>
  <c r="Q117" i="1"/>
  <c r="P117" i="1"/>
  <c r="M117" i="1"/>
  <c r="N117" i="1" s="1"/>
  <c r="AC116" i="1"/>
  <c r="Y116" i="1"/>
  <c r="W116" i="1"/>
  <c r="U116" i="1"/>
  <c r="S116" i="1"/>
  <c r="Q116" i="1" s="1"/>
  <c r="P116" i="1"/>
  <c r="M116" i="1"/>
  <c r="N116" i="1" s="1"/>
  <c r="AC115" i="1"/>
  <c r="W115" i="1"/>
  <c r="U115" i="1"/>
  <c r="S115" i="1"/>
  <c r="P115" i="1"/>
  <c r="M115" i="1"/>
  <c r="N115" i="1" s="1"/>
  <c r="AC114" i="1"/>
  <c r="W114" i="1"/>
  <c r="U114" i="1"/>
  <c r="S114" i="1"/>
  <c r="Q114" i="1" s="1"/>
  <c r="P114" i="1"/>
  <c r="M114" i="1"/>
  <c r="N114" i="1" s="1"/>
  <c r="AC113" i="1"/>
  <c r="Z113" i="1"/>
  <c r="W113" i="1"/>
  <c r="U113" i="1"/>
  <c r="S113" i="1"/>
  <c r="Y112" i="1" s="1"/>
  <c r="P113" i="1"/>
  <c r="M113" i="1"/>
  <c r="N113" i="1" s="1"/>
  <c r="AC112" i="1"/>
  <c r="Z112" i="1"/>
  <c r="W112" i="1"/>
  <c r="U112" i="1"/>
  <c r="S112" i="1"/>
  <c r="Q112" i="1"/>
  <c r="P112" i="1"/>
  <c r="M112" i="1"/>
  <c r="N112" i="1" s="1"/>
  <c r="AC111" i="1"/>
  <c r="W111" i="1"/>
  <c r="U111" i="1"/>
  <c r="S111" i="1"/>
  <c r="Y111" i="1" s="1"/>
  <c r="P111" i="1"/>
  <c r="M111" i="1"/>
  <c r="N111" i="1" s="1"/>
  <c r="AC110" i="1"/>
  <c r="W110" i="1"/>
  <c r="U110" i="1"/>
  <c r="S110" i="1"/>
  <c r="Q110" i="1"/>
  <c r="P110" i="1"/>
  <c r="M110" i="1"/>
  <c r="N110" i="1" s="1"/>
  <c r="AC109" i="1"/>
  <c r="W109" i="1"/>
  <c r="U109" i="1"/>
  <c r="S109" i="1"/>
  <c r="Z109" i="1" s="1"/>
  <c r="Q109" i="1"/>
  <c r="P109" i="1"/>
  <c r="M109" i="1"/>
  <c r="N109" i="1" s="1"/>
  <c r="AC108" i="1"/>
  <c r="W108" i="1"/>
  <c r="U108" i="1"/>
  <c r="S108" i="1"/>
  <c r="Q108" i="1" s="1"/>
  <c r="P108" i="1"/>
  <c r="M108" i="1"/>
  <c r="N108" i="1" s="1"/>
  <c r="AC107" i="1"/>
  <c r="W107" i="1"/>
  <c r="U107" i="1"/>
  <c r="S107" i="1"/>
  <c r="P107" i="1"/>
  <c r="M107" i="1"/>
  <c r="N107" i="1" s="1"/>
  <c r="AC106" i="1"/>
  <c r="W106" i="1"/>
  <c r="U106" i="1"/>
  <c r="S106" i="1"/>
  <c r="Y105" i="1" s="1"/>
  <c r="P106" i="1"/>
  <c r="M106" i="1"/>
  <c r="N106" i="1" s="1"/>
  <c r="AC105" i="1"/>
  <c r="W105" i="1"/>
  <c r="U105" i="1"/>
  <c r="S105" i="1"/>
  <c r="Q105" i="1"/>
  <c r="M105" i="1"/>
  <c r="N105" i="1" s="1"/>
  <c r="P105" i="1" s="1"/>
  <c r="AC104" i="1"/>
  <c r="Z104" i="1"/>
  <c r="Y104" i="1"/>
  <c r="W104" i="1"/>
  <c r="U104" i="1"/>
  <c r="S104" i="1"/>
  <c r="Q104" i="1"/>
  <c r="P104" i="1"/>
  <c r="N104" i="1"/>
  <c r="M104" i="1"/>
  <c r="AC103" i="1"/>
  <c r="Y103" i="1"/>
  <c r="W103" i="1"/>
  <c r="U103" i="1"/>
  <c r="S103" i="1"/>
  <c r="P103" i="1"/>
  <c r="N103" i="1"/>
  <c r="M103" i="1"/>
  <c r="AC102" i="1"/>
  <c r="W102" i="1"/>
  <c r="U102" i="1"/>
  <c r="S102" i="1"/>
  <c r="Y101" i="1" s="1"/>
  <c r="P102" i="1"/>
  <c r="M102" i="1"/>
  <c r="N102" i="1" s="1"/>
  <c r="AC101" i="1"/>
  <c r="Z101" i="1"/>
  <c r="W101" i="1"/>
  <c r="U101" i="1"/>
  <c r="S101" i="1"/>
  <c r="Q101" i="1"/>
  <c r="P101" i="1"/>
  <c r="M101" i="1"/>
  <c r="N101" i="1" s="1"/>
  <c r="AC100" i="1"/>
  <c r="Z100" i="1"/>
  <c r="Y100" i="1"/>
  <c r="W100" i="1"/>
  <c r="U100" i="1"/>
  <c r="S100" i="1"/>
  <c r="Q100" i="1" s="1"/>
  <c r="P100" i="1"/>
  <c r="M100" i="1"/>
  <c r="N100" i="1" s="1"/>
  <c r="AC99" i="1"/>
  <c r="Y99" i="1"/>
  <c r="W99" i="1"/>
  <c r="U99" i="1"/>
  <c r="S99" i="1"/>
  <c r="P99" i="1"/>
  <c r="M99" i="1"/>
  <c r="N99" i="1" s="1"/>
  <c r="AC98" i="1"/>
  <c r="W98" i="1"/>
  <c r="U98" i="1"/>
  <c r="S98" i="1"/>
  <c r="P98" i="1"/>
  <c r="M98" i="1"/>
  <c r="N98" i="1" s="1"/>
  <c r="AC97" i="1"/>
  <c r="W97" i="1"/>
  <c r="P97" i="1"/>
  <c r="AC96" i="1"/>
  <c r="W96" i="1"/>
  <c r="A96" i="1"/>
  <c r="S96" i="1" s="1"/>
  <c r="Q96" i="1" s="1"/>
  <c r="AC95" i="1"/>
  <c r="W95" i="1"/>
  <c r="U95" i="1"/>
  <c r="S95" i="1"/>
  <c r="Y94" i="1" s="1"/>
  <c r="P95" i="1"/>
  <c r="N95" i="1"/>
  <c r="M95" i="1"/>
  <c r="AC94" i="1"/>
  <c r="W94" i="1"/>
  <c r="U94" i="1"/>
  <c r="S94" i="1"/>
  <c r="Z94" i="1" s="1"/>
  <c r="P94" i="1"/>
  <c r="N94" i="1"/>
  <c r="M94" i="1"/>
  <c r="AC93" i="1"/>
  <c r="W93" i="1"/>
  <c r="U93" i="1"/>
  <c r="S93" i="1"/>
  <c r="Q93" i="1"/>
  <c r="P93" i="1"/>
  <c r="M93" i="1"/>
  <c r="N93" i="1" s="1"/>
  <c r="AC92" i="1"/>
  <c r="Z92" i="1"/>
  <c r="W92" i="1"/>
  <c r="U92" i="1"/>
  <c r="S92" i="1"/>
  <c r="Q92" i="1"/>
  <c r="P92" i="1"/>
  <c r="M92" i="1"/>
  <c r="N92" i="1" s="1"/>
  <c r="AC91" i="1"/>
  <c r="Y91" i="1"/>
  <c r="W91" i="1"/>
  <c r="U91" i="1"/>
  <c r="S91" i="1"/>
  <c r="P91" i="1"/>
  <c r="M91" i="1"/>
  <c r="N91" i="1" s="1"/>
  <c r="AC90" i="1"/>
  <c r="W90" i="1"/>
  <c r="U90" i="1"/>
  <c r="S90" i="1"/>
  <c r="Y89" i="1" s="1"/>
  <c r="P90" i="1"/>
  <c r="M90" i="1"/>
  <c r="N90" i="1" s="1"/>
  <c r="AC89" i="1"/>
  <c r="W89" i="1"/>
  <c r="U89" i="1"/>
  <c r="S89" i="1"/>
  <c r="Q89" i="1" s="1"/>
  <c r="P89" i="1"/>
  <c r="M89" i="1"/>
  <c r="N89" i="1" s="1"/>
  <c r="AC88" i="1"/>
  <c r="Z88" i="1"/>
  <c r="W88" i="1"/>
  <c r="U88" i="1"/>
  <c r="S88" i="1"/>
  <c r="Q88" i="1" s="1"/>
  <c r="P88" i="1"/>
  <c r="M88" i="1"/>
  <c r="N88" i="1" s="1"/>
  <c r="AC87" i="1"/>
  <c r="W87" i="1"/>
  <c r="U87" i="1"/>
  <c r="S87" i="1"/>
  <c r="Q87" i="1" s="1"/>
  <c r="P87" i="1"/>
  <c r="M87" i="1"/>
  <c r="N87" i="1" s="1"/>
  <c r="AC86" i="1"/>
  <c r="W86" i="1"/>
  <c r="U86" i="1"/>
  <c r="S86" i="1"/>
  <c r="Y85" i="1" s="1"/>
  <c r="Q86" i="1"/>
  <c r="P86" i="1"/>
  <c r="M86" i="1"/>
  <c r="N86" i="1" s="1"/>
  <c r="U85" i="1"/>
  <c r="S85" i="1"/>
  <c r="Q85" i="1" s="1"/>
  <c r="P85" i="1"/>
  <c r="M85" i="1"/>
  <c r="N85" i="1" s="1"/>
  <c r="AC84" i="1"/>
  <c r="W84" i="1"/>
  <c r="U84" i="1"/>
  <c r="S84" i="1"/>
  <c r="Z83" i="1" s="1"/>
  <c r="P84" i="1"/>
  <c r="M84" i="1"/>
  <c r="N84" i="1" s="1"/>
  <c r="AC83" i="1"/>
  <c r="W83" i="1"/>
  <c r="U83" i="1"/>
  <c r="S83" i="1"/>
  <c r="Q83" i="1" s="1"/>
  <c r="P83" i="1"/>
  <c r="M83" i="1"/>
  <c r="N83" i="1" s="1"/>
  <c r="AC82" i="1"/>
  <c r="W82" i="1"/>
  <c r="U82" i="1"/>
  <c r="S82" i="1"/>
  <c r="P82" i="1"/>
  <c r="M82" i="1"/>
  <c r="N82" i="1" s="1"/>
  <c r="AC81" i="1"/>
  <c r="W81" i="1"/>
  <c r="U81" i="1"/>
  <c r="S81" i="1"/>
  <c r="Z80" i="1" s="1"/>
  <c r="P81" i="1"/>
  <c r="M81" i="1"/>
  <c r="N81" i="1" s="1"/>
  <c r="AC80" i="1"/>
  <c r="W80" i="1"/>
  <c r="U80" i="1"/>
  <c r="S80" i="1"/>
  <c r="Q80" i="1" s="1"/>
  <c r="P80" i="1"/>
  <c r="M80" i="1"/>
  <c r="N80" i="1" s="1"/>
  <c r="AC79" i="1"/>
  <c r="W79" i="1"/>
  <c r="U79" i="1"/>
  <c r="S79" i="1"/>
  <c r="Q79" i="1" s="1"/>
  <c r="P79" i="1"/>
  <c r="M79" i="1"/>
  <c r="N79" i="1" s="1"/>
  <c r="AC78" i="1"/>
  <c r="W78" i="1"/>
  <c r="U78" i="1"/>
  <c r="S78" i="1"/>
  <c r="Y77" i="1" s="1"/>
  <c r="P78" i="1"/>
  <c r="M78" i="1"/>
  <c r="N78" i="1" s="1"/>
  <c r="AC77" i="1"/>
  <c r="W77" i="1"/>
  <c r="U77" i="1"/>
  <c r="S77" i="1"/>
  <c r="Q77" i="1" s="1"/>
  <c r="P77" i="1"/>
  <c r="M77" i="1"/>
  <c r="N77" i="1" s="1"/>
  <c r="AC76" i="1"/>
  <c r="Y76" i="1"/>
  <c r="W76" i="1"/>
  <c r="U76" i="1"/>
  <c r="S76" i="1"/>
  <c r="Q76" i="1" s="1"/>
  <c r="P76" i="1"/>
  <c r="M76" i="1"/>
  <c r="N76" i="1" s="1"/>
  <c r="AC75" i="1"/>
  <c r="Z75" i="1"/>
  <c r="W75" i="1"/>
  <c r="U75" i="1"/>
  <c r="S75" i="1"/>
  <c r="Q75" i="1" s="1"/>
  <c r="P75" i="1"/>
  <c r="M75" i="1"/>
  <c r="N75" i="1" s="1"/>
  <c r="AC74" i="1"/>
  <c r="Y74" i="1"/>
  <c r="W74" i="1"/>
  <c r="U74" i="1"/>
  <c r="S74" i="1"/>
  <c r="Y73" i="1" s="1"/>
  <c r="P74" i="1"/>
  <c r="M74" i="1"/>
  <c r="N74" i="1" s="1"/>
  <c r="AC73" i="1"/>
  <c r="W73" i="1"/>
  <c r="U73" i="1"/>
  <c r="S73" i="1"/>
  <c r="Y72" i="1" s="1"/>
  <c r="P73" i="1"/>
  <c r="M73" i="1"/>
  <c r="N73" i="1" s="1"/>
  <c r="AC72" i="1"/>
  <c r="Z72" i="1"/>
  <c r="W72" i="1"/>
  <c r="U72" i="1"/>
  <c r="S72" i="1"/>
  <c r="Q72" i="1"/>
  <c r="P72" i="1"/>
  <c r="M72" i="1"/>
  <c r="N72" i="1" s="1"/>
  <c r="AC71" i="1"/>
  <c r="W71" i="1"/>
  <c r="U71" i="1"/>
  <c r="S71" i="1"/>
  <c r="Q71" i="1" s="1"/>
  <c r="P71" i="1"/>
  <c r="N71" i="1"/>
  <c r="M71" i="1"/>
  <c r="AC70" i="1"/>
  <c r="W70" i="1"/>
  <c r="U70" i="1"/>
  <c r="S70" i="1"/>
  <c r="Y69" i="1" s="1"/>
  <c r="P70" i="1"/>
  <c r="N70" i="1"/>
  <c r="M70" i="1"/>
  <c r="AC69" i="1"/>
  <c r="W69" i="1"/>
  <c r="U69" i="1"/>
  <c r="S69" i="1"/>
  <c r="Q69" i="1" s="1"/>
  <c r="P69" i="1"/>
  <c r="M69" i="1"/>
  <c r="N69" i="1" s="1"/>
  <c r="AC68" i="1"/>
  <c r="W68" i="1"/>
  <c r="U68" i="1"/>
  <c r="S68" i="1"/>
  <c r="Q68" i="1" s="1"/>
  <c r="P68" i="1"/>
  <c r="M68" i="1"/>
  <c r="N68" i="1" s="1"/>
  <c r="AC67" i="1"/>
  <c r="W67" i="1"/>
  <c r="U67" i="1"/>
  <c r="S67" i="1"/>
  <c r="Q67" i="1" s="1"/>
  <c r="P67" i="1"/>
  <c r="M67" i="1"/>
  <c r="N67" i="1" s="1"/>
  <c r="AC66" i="1"/>
  <c r="W66" i="1"/>
  <c r="U66" i="1"/>
  <c r="S66" i="1"/>
  <c r="Y65" i="1" s="1"/>
  <c r="P66" i="1"/>
  <c r="M66" i="1"/>
  <c r="N66" i="1" s="1"/>
  <c r="AC65" i="1"/>
  <c r="W65" i="1"/>
  <c r="U65" i="1"/>
  <c r="S65" i="1"/>
  <c r="Q65" i="1"/>
  <c r="P65" i="1"/>
  <c r="N65" i="1"/>
  <c r="M65" i="1"/>
  <c r="AC64" i="1"/>
  <c r="W64" i="1"/>
  <c r="U64" i="1"/>
  <c r="S64" i="1"/>
  <c r="Q64" i="1"/>
  <c r="P64" i="1"/>
  <c r="M64" i="1"/>
  <c r="N64" i="1" s="1"/>
  <c r="AC63" i="1"/>
  <c r="W63" i="1"/>
  <c r="U63" i="1"/>
  <c r="S63" i="1"/>
  <c r="Q63" i="1" s="1"/>
  <c r="P63" i="1"/>
  <c r="N63" i="1"/>
  <c r="M63" i="1"/>
  <c r="AC62" i="1"/>
  <c r="W62" i="1"/>
  <c r="U62" i="1"/>
  <c r="S62" i="1"/>
  <c r="Q62" i="1" s="1"/>
  <c r="P62" i="1"/>
  <c r="N62" i="1"/>
  <c r="M62" i="1"/>
  <c r="AC61" i="1"/>
  <c r="Z61" i="1"/>
  <c r="W61" i="1"/>
  <c r="U61" i="1"/>
  <c r="S61" i="1"/>
  <c r="Q61" i="1" s="1"/>
  <c r="P61" i="1"/>
  <c r="M61" i="1"/>
  <c r="N61" i="1" s="1"/>
  <c r="AC60" i="1"/>
  <c r="W60" i="1"/>
  <c r="U60" i="1"/>
  <c r="S60" i="1"/>
  <c r="Z59" i="1" s="1"/>
  <c r="P60" i="1"/>
  <c r="M60" i="1"/>
  <c r="N60" i="1" s="1"/>
  <c r="AC59" i="1"/>
  <c r="W59" i="1"/>
  <c r="U59" i="1"/>
  <c r="S59" i="1"/>
  <c r="Q59" i="1" s="1"/>
  <c r="P59" i="1"/>
  <c r="M59" i="1"/>
  <c r="N59" i="1" s="1"/>
  <c r="AC58" i="1"/>
  <c r="W58" i="1"/>
  <c r="U58" i="1"/>
  <c r="S58" i="1"/>
  <c r="P58" i="1"/>
  <c r="M58" i="1"/>
  <c r="N58" i="1" s="1"/>
  <c r="AC57" i="1"/>
  <c r="W57" i="1"/>
  <c r="U57" i="1"/>
  <c r="S57" i="1"/>
  <c r="Y56" i="1" s="1"/>
  <c r="P57" i="1"/>
  <c r="M57" i="1"/>
  <c r="N57" i="1" s="1"/>
  <c r="AC56" i="1"/>
  <c r="W56" i="1"/>
  <c r="U56" i="1"/>
  <c r="S56" i="1"/>
  <c r="Q56" i="1"/>
  <c r="P56" i="1"/>
  <c r="M56" i="1"/>
  <c r="N56" i="1" s="1"/>
  <c r="AC55" i="1"/>
  <c r="W55" i="1"/>
  <c r="U55" i="1"/>
  <c r="S55" i="1"/>
  <c r="Q55" i="1" s="1"/>
  <c r="N55" i="1"/>
  <c r="P55" i="1" s="1"/>
  <c r="M55" i="1"/>
  <c r="AC54" i="1"/>
  <c r="W54" i="1"/>
  <c r="U54" i="1"/>
  <c r="S54" i="1"/>
  <c r="Q54" i="1"/>
  <c r="P54" i="1"/>
  <c r="N54" i="1"/>
  <c r="M54" i="1"/>
  <c r="AC53" i="1"/>
  <c r="Z53" i="1"/>
  <c r="W53" i="1"/>
  <c r="U53" i="1"/>
  <c r="S53" i="1"/>
  <c r="Q53" i="1" s="1"/>
  <c r="M53" i="1"/>
  <c r="N53" i="1" s="1"/>
  <c r="P53" i="1" s="1"/>
  <c r="AC52" i="1"/>
  <c r="W52" i="1"/>
  <c r="U52" i="1"/>
  <c r="S52" i="1"/>
  <c r="Q52" i="1" s="1"/>
  <c r="M52" i="1"/>
  <c r="N52" i="1" s="1"/>
  <c r="P52" i="1" s="1"/>
  <c r="AC51" i="1"/>
  <c r="W51" i="1"/>
  <c r="U51" i="1"/>
  <c r="S51" i="1"/>
  <c r="Q51" i="1" s="1"/>
  <c r="P51" i="1"/>
  <c r="M51" i="1"/>
  <c r="N51" i="1" s="1"/>
  <c r="AC50" i="1"/>
  <c r="W50" i="1"/>
  <c r="U50" i="1"/>
  <c r="S50" i="1"/>
  <c r="Y49" i="1" s="1"/>
  <c r="P50" i="1"/>
  <c r="M50" i="1"/>
  <c r="N50" i="1" s="1"/>
  <c r="AC49" i="1"/>
  <c r="W49" i="1"/>
  <c r="U49" i="1"/>
  <c r="S49" i="1"/>
  <c r="Q49" i="1"/>
  <c r="P49" i="1"/>
  <c r="N49" i="1"/>
  <c r="M49" i="1"/>
  <c r="AC48" i="1"/>
  <c r="W48" i="1"/>
  <c r="U48" i="1"/>
  <c r="S48" i="1"/>
  <c r="Q48" i="1"/>
  <c r="P48" i="1"/>
  <c r="M48" i="1"/>
  <c r="N48" i="1" s="1"/>
  <c r="AC47" i="1"/>
  <c r="W47" i="1"/>
  <c r="U47" i="1"/>
  <c r="S47" i="1"/>
  <c r="Q47" i="1" s="1"/>
  <c r="P47" i="1"/>
  <c r="N47" i="1"/>
  <c r="M47" i="1"/>
  <c r="AC46" i="1"/>
  <c r="W46" i="1"/>
  <c r="U46" i="1"/>
  <c r="S46" i="1"/>
  <c r="Q46" i="1" s="1"/>
  <c r="P46" i="1"/>
  <c r="N46" i="1"/>
  <c r="M46" i="1"/>
  <c r="AC45" i="1"/>
  <c r="Z45" i="1"/>
  <c r="W45" i="1"/>
  <c r="U45" i="1"/>
  <c r="S45" i="1"/>
  <c r="Q45" i="1" s="1"/>
  <c r="P45" i="1"/>
  <c r="M45" i="1"/>
  <c r="N45" i="1" s="1"/>
  <c r="AC44" i="1"/>
  <c r="W44" i="1"/>
  <c r="U44" i="1"/>
  <c r="S44" i="1"/>
  <c r="Z43" i="1" s="1"/>
  <c r="P44" i="1"/>
  <c r="M44" i="1"/>
  <c r="N44" i="1" s="1"/>
  <c r="AC43" i="1"/>
  <c r="W43" i="1"/>
  <c r="U43" i="1"/>
  <c r="S43" i="1"/>
  <c r="Q43" i="1" s="1"/>
  <c r="P43" i="1"/>
  <c r="M43" i="1"/>
  <c r="N43" i="1" s="1"/>
  <c r="AC42" i="1"/>
  <c r="W42" i="1"/>
  <c r="U42" i="1"/>
  <c r="S42" i="1"/>
  <c r="P42" i="1"/>
  <c r="M42" i="1"/>
  <c r="N42" i="1" s="1"/>
  <c r="AC41" i="1"/>
  <c r="W41" i="1"/>
  <c r="U41" i="1"/>
  <c r="S41" i="1"/>
  <c r="Y40" i="1" s="1"/>
  <c r="P41" i="1"/>
  <c r="M41" i="1"/>
  <c r="N41" i="1" s="1"/>
  <c r="AC40" i="1"/>
  <c r="W40" i="1"/>
  <c r="U40" i="1"/>
  <c r="S40" i="1"/>
  <c r="Q40" i="1"/>
  <c r="P40" i="1"/>
  <c r="M40" i="1"/>
  <c r="N40" i="1" s="1"/>
  <c r="AC39" i="1"/>
  <c r="W39" i="1"/>
  <c r="U39" i="1"/>
  <c r="S39" i="1"/>
  <c r="Q39" i="1" s="1"/>
  <c r="P39" i="1"/>
  <c r="N39" i="1"/>
  <c r="M39" i="1"/>
  <c r="AC38" i="1"/>
  <c r="W38" i="1"/>
  <c r="U38" i="1"/>
  <c r="T38" i="1"/>
  <c r="S38" i="1"/>
  <c r="Q38" i="1" s="1"/>
  <c r="N38" i="1"/>
  <c r="P38" i="1" s="1"/>
  <c r="M38" i="1"/>
  <c r="AC37" i="1"/>
  <c r="W37" i="1"/>
  <c r="U37" i="1"/>
  <c r="T37" i="1"/>
  <c r="S37" i="1"/>
  <c r="Q37" i="1" s="1"/>
  <c r="P37" i="1"/>
  <c r="N37" i="1"/>
  <c r="M37" i="1"/>
  <c r="AC36" i="1"/>
  <c r="W36" i="1"/>
  <c r="U36" i="1"/>
  <c r="T36" i="1"/>
  <c r="S36" i="1"/>
  <c r="Q36" i="1" s="1"/>
  <c r="P36" i="1"/>
  <c r="N36" i="1"/>
  <c r="M36" i="1"/>
  <c r="AC35" i="1"/>
  <c r="W35" i="1"/>
  <c r="U35" i="1"/>
  <c r="T35" i="1"/>
  <c r="S35" i="1"/>
  <c r="Q35" i="1" s="1"/>
  <c r="N35" i="1"/>
  <c r="P35" i="1" s="1"/>
  <c r="M35" i="1"/>
  <c r="AC34" i="1"/>
  <c r="W34" i="1"/>
  <c r="U34" i="1"/>
  <c r="T34" i="1"/>
  <c r="S34" i="1"/>
  <c r="Q34" i="1" s="1"/>
  <c r="M34" i="1"/>
  <c r="N34" i="1" s="1"/>
  <c r="P34" i="1" s="1"/>
  <c r="U33" i="1"/>
  <c r="T33" i="1"/>
  <c r="S33" i="1"/>
  <c r="Q33" i="1" s="1"/>
  <c r="P33" i="1"/>
  <c r="N33" i="1"/>
  <c r="M33" i="1"/>
  <c r="AC32" i="1"/>
  <c r="W32" i="1"/>
  <c r="U32" i="1"/>
  <c r="T32" i="1"/>
  <c r="S32" i="1"/>
  <c r="Q32" i="1" s="1"/>
  <c r="P32" i="1"/>
  <c r="N32" i="1"/>
  <c r="M32" i="1"/>
  <c r="AC31" i="1"/>
  <c r="W31" i="1"/>
  <c r="U31" i="1"/>
  <c r="T31" i="1"/>
  <c r="S31" i="1"/>
  <c r="Q31" i="1" s="1"/>
  <c r="P31" i="1"/>
  <c r="N31" i="1"/>
  <c r="M31" i="1"/>
  <c r="AC30" i="1"/>
  <c r="W30" i="1"/>
  <c r="S30" i="1"/>
  <c r="P30" i="1"/>
  <c r="AC29" i="1"/>
  <c r="W29" i="1"/>
  <c r="S29" i="1"/>
  <c r="Q29" i="1" s="1"/>
  <c r="AC28" i="1"/>
  <c r="Y28" i="1"/>
  <c r="W28" i="1"/>
  <c r="U28" i="1"/>
  <c r="T28" i="1"/>
  <c r="S28" i="1"/>
  <c r="Y27" i="1" s="1"/>
  <c r="P28" i="1"/>
  <c r="M28" i="1"/>
  <c r="N28" i="1" s="1"/>
  <c r="AC27" i="1"/>
  <c r="Z27" i="1"/>
  <c r="W27" i="1"/>
  <c r="U27" i="1"/>
  <c r="T27" i="1"/>
  <c r="S27" i="1"/>
  <c r="Z26" i="1" s="1"/>
  <c r="Q27" i="1"/>
  <c r="P27" i="1"/>
  <c r="M27" i="1"/>
  <c r="N27" i="1" s="1"/>
  <c r="AC26" i="1"/>
  <c r="W26" i="1"/>
  <c r="U26" i="1"/>
  <c r="T26" i="1"/>
  <c r="S26" i="1"/>
  <c r="Y26" i="1" s="1"/>
  <c r="Q26" i="1"/>
  <c r="P26" i="1"/>
  <c r="M26" i="1"/>
  <c r="N26" i="1" s="1"/>
  <c r="AC25" i="1"/>
  <c r="W25" i="1"/>
  <c r="U25" i="1"/>
  <c r="T25" i="1"/>
  <c r="S25" i="1"/>
  <c r="Q25" i="1"/>
  <c r="P25" i="1"/>
  <c r="M25" i="1"/>
  <c r="N25" i="1" s="1"/>
  <c r="AC24" i="1"/>
  <c r="Y24" i="1"/>
  <c r="W24" i="1"/>
  <c r="U24" i="1"/>
  <c r="T24" i="1"/>
  <c r="S24" i="1"/>
  <c r="Q24" i="1" s="1"/>
  <c r="P24" i="1"/>
  <c r="M24" i="1"/>
  <c r="N24" i="1" s="1"/>
  <c r="Z23" i="1"/>
  <c r="Y23" i="1"/>
  <c r="U23" i="1"/>
  <c r="T23" i="1"/>
  <c r="S23" i="1"/>
  <c r="Y22" i="1" s="1"/>
  <c r="P23" i="1"/>
  <c r="M23" i="1"/>
  <c r="N23" i="1" s="1"/>
  <c r="AC22" i="1"/>
  <c r="Z22" i="1"/>
  <c r="W22" i="1"/>
  <c r="U22" i="1"/>
  <c r="T22" i="1"/>
  <c r="S22" i="1"/>
  <c r="Z21" i="1" s="1"/>
  <c r="Q22" i="1"/>
  <c r="P22" i="1"/>
  <c r="M22" i="1"/>
  <c r="N22" i="1" s="1"/>
  <c r="AC21" i="1"/>
  <c r="W21" i="1"/>
  <c r="U21" i="1"/>
  <c r="T21" i="1"/>
  <c r="S21" i="1"/>
  <c r="Y21" i="1" s="1"/>
  <c r="Q21" i="1"/>
  <c r="P21" i="1"/>
  <c r="M21" i="1"/>
  <c r="N21" i="1" s="1"/>
  <c r="AC20" i="1"/>
  <c r="W20" i="1"/>
  <c r="U20" i="1"/>
  <c r="T20" i="1"/>
  <c r="S20" i="1"/>
  <c r="Q20" i="1"/>
  <c r="P20" i="1"/>
  <c r="M20" i="1"/>
  <c r="N20" i="1" s="1"/>
  <c r="AC19" i="1"/>
  <c r="Z19" i="1"/>
  <c r="Y19" i="1"/>
  <c r="W19" i="1"/>
  <c r="U19" i="1"/>
  <c r="T19" i="1"/>
  <c r="S19" i="1"/>
  <c r="Y18" i="1" s="1"/>
  <c r="P19" i="1"/>
  <c r="M19" i="1"/>
  <c r="N19" i="1" s="1"/>
  <c r="AC18" i="1"/>
  <c r="Z18" i="1"/>
  <c r="W18" i="1"/>
  <c r="U18" i="1"/>
  <c r="T18" i="1"/>
  <c r="S18" i="1"/>
  <c r="Z17" i="1" s="1"/>
  <c r="Q18" i="1"/>
  <c r="P18" i="1"/>
  <c r="M18" i="1"/>
  <c r="N18" i="1" s="1"/>
  <c r="AC17" i="1"/>
  <c r="W17" i="1"/>
  <c r="U17" i="1"/>
  <c r="T17" i="1"/>
  <c r="S17" i="1"/>
  <c r="Y17" i="1" s="1"/>
  <c r="Q17" i="1"/>
  <c r="P17" i="1"/>
  <c r="M17" i="1"/>
  <c r="N17" i="1" s="1"/>
  <c r="AC16" i="1"/>
  <c r="W16" i="1"/>
  <c r="U16" i="1"/>
  <c r="T16" i="1"/>
  <c r="S16" i="1"/>
  <c r="Q16" i="1"/>
  <c r="P16" i="1"/>
  <c r="M16" i="1"/>
  <c r="N16" i="1" s="1"/>
  <c r="AC15" i="1"/>
  <c r="Z15" i="1"/>
  <c r="Y15" i="1"/>
  <c r="W15" i="1"/>
  <c r="U15" i="1"/>
  <c r="T15" i="1"/>
  <c r="S15" i="1"/>
  <c r="Y14" i="1" s="1"/>
  <c r="P15" i="1"/>
  <c r="M15" i="1"/>
  <c r="N15" i="1" s="1"/>
  <c r="AC14" i="1"/>
  <c r="Z14" i="1"/>
  <c r="W14" i="1"/>
  <c r="U14" i="1"/>
  <c r="T14" i="1"/>
  <c r="S14" i="1"/>
  <c r="Y13" i="1" s="1"/>
  <c r="Q14" i="1"/>
  <c r="P14" i="1"/>
  <c r="M14" i="1"/>
  <c r="N14" i="1" s="1"/>
  <c r="U13" i="1"/>
  <c r="T13" i="1"/>
  <c r="S13" i="1"/>
  <c r="P13" i="1"/>
  <c r="M13" i="1"/>
  <c r="N13" i="1" s="1"/>
  <c r="AC12" i="1"/>
  <c r="W12" i="1"/>
  <c r="U12" i="1"/>
  <c r="T12" i="1"/>
  <c r="S12" i="1"/>
  <c r="Q12" i="1" s="1"/>
  <c r="P12" i="1"/>
  <c r="M12" i="1"/>
  <c r="N12" i="1" s="1"/>
  <c r="AC11" i="1"/>
  <c r="W11" i="1"/>
  <c r="U11" i="1"/>
  <c r="T11" i="1"/>
  <c r="S11" i="1"/>
  <c r="Q11" i="1" s="1"/>
  <c r="P11" i="1"/>
  <c r="M11" i="1"/>
  <c r="N11" i="1" s="1"/>
  <c r="AC10" i="1"/>
  <c r="W10" i="1"/>
  <c r="U10" i="1"/>
  <c r="T10" i="1"/>
  <c r="S10" i="1"/>
  <c r="Q10" i="1" s="1"/>
  <c r="P10" i="1"/>
  <c r="M10" i="1"/>
  <c r="N10" i="1" s="1"/>
  <c r="AC9" i="1"/>
  <c r="W9" i="1"/>
  <c r="U9" i="1"/>
  <c r="T9" i="1"/>
  <c r="S9" i="1"/>
  <c r="Q9" i="1" s="1"/>
  <c r="P9" i="1"/>
  <c r="M9" i="1"/>
  <c r="N9" i="1" s="1"/>
  <c r="AC8" i="1"/>
  <c r="W8" i="1"/>
  <c r="S8" i="1"/>
  <c r="Q8" i="1" s="1"/>
  <c r="P8" i="1"/>
  <c r="N8" i="1"/>
  <c r="AC7" i="1"/>
  <c r="W7" i="1"/>
  <c r="S7" i="1"/>
  <c r="Y6" i="1" s="1"/>
  <c r="N7" i="1"/>
  <c r="AC6" i="1"/>
  <c r="Z6" i="1"/>
  <c r="W6" i="1"/>
  <c r="U6" i="1"/>
  <c r="AA8" i="1" s="1"/>
  <c r="T6" i="1"/>
  <c r="S6" i="1"/>
  <c r="Q6" i="1"/>
  <c r="M6" i="1"/>
  <c r="N6" i="1" s="1"/>
  <c r="P6" i="1" s="1"/>
  <c r="AC5" i="1"/>
  <c r="Z5" i="1"/>
  <c r="Y5" i="1"/>
  <c r="W5" i="1"/>
  <c r="U5" i="1"/>
  <c r="T5" i="1"/>
  <c r="S5" i="1"/>
  <c r="Q5" i="1" s="1"/>
  <c r="P5" i="1"/>
  <c r="M5" i="1"/>
  <c r="N5" i="1" s="1"/>
  <c r="AC4" i="1"/>
  <c r="AA4" i="1"/>
  <c r="W4" i="1"/>
  <c r="U4" i="1"/>
  <c r="T4" i="1"/>
  <c r="S4" i="1"/>
  <c r="M4" i="1"/>
  <c r="N4" i="1" s="1"/>
  <c r="Q1" i="1"/>
  <c r="U1" i="1" s="1"/>
  <c r="Y258" i="1" l="1"/>
  <c r="Y287" i="1"/>
  <c r="Y334" i="1"/>
  <c r="Y340" i="1"/>
  <c r="Z382" i="1"/>
  <c r="Q399" i="1"/>
  <c r="Y398" i="1"/>
  <c r="Z620" i="1"/>
  <c r="Y620" i="1"/>
  <c r="Q621" i="1"/>
  <c r="Q652" i="1"/>
  <c r="Z651" i="1"/>
  <c r="Y651" i="1"/>
  <c r="Y682" i="1"/>
  <c r="Q683" i="1"/>
  <c r="Y734" i="1"/>
  <c r="Z734" i="1"/>
  <c r="Q735" i="1"/>
  <c r="Z735" i="1"/>
  <c r="Y735" i="1"/>
  <c r="Z765" i="1"/>
  <c r="Z764" i="1"/>
  <c r="Y764" i="1"/>
  <c r="Q765" i="1"/>
  <c r="T1" i="1"/>
  <c r="Z24" i="1"/>
  <c r="Z28" i="1"/>
  <c r="Q44" i="1"/>
  <c r="Y48" i="1"/>
  <c r="Y52" i="1"/>
  <c r="Q60" i="1"/>
  <c r="Y64" i="1"/>
  <c r="Z69" i="1"/>
  <c r="Q84" i="1"/>
  <c r="Y92" i="1"/>
  <c r="Q95" i="1"/>
  <c r="Y125" i="1"/>
  <c r="Y129" i="1"/>
  <c r="Y132" i="1"/>
  <c r="Y136" i="1"/>
  <c r="Z150" i="1"/>
  <c r="Y153" i="1"/>
  <c r="Y174" i="1"/>
  <c r="Y178" i="1"/>
  <c r="Y181" i="1"/>
  <c r="Y185" i="1"/>
  <c r="Y215" i="1"/>
  <c r="Y222" i="1"/>
  <c r="Z273" i="1"/>
  <c r="Y286" i="1"/>
  <c r="Y304" i="1"/>
  <c r="Y305" i="1"/>
  <c r="Y310" i="1"/>
  <c r="Y339" i="1"/>
  <c r="Z367" i="1"/>
  <c r="Y369" i="1"/>
  <c r="Z381" i="1"/>
  <c r="Z450" i="1"/>
  <c r="Q451" i="1"/>
  <c r="Z563" i="1"/>
  <c r="Y563" i="1"/>
  <c r="Q564" i="1"/>
  <c r="Q628" i="1"/>
  <c r="Z627" i="1"/>
  <c r="Y656" i="1"/>
  <c r="Z656" i="1"/>
  <c r="Q657" i="1"/>
  <c r="Z751" i="1"/>
  <c r="Y751" i="1"/>
  <c r="Q751" i="1"/>
  <c r="Y16" i="1"/>
  <c r="Y20" i="1"/>
  <c r="Y25" i="1"/>
  <c r="Y41" i="1"/>
  <c r="Y45" i="1"/>
  <c r="Y50" i="1"/>
  <c r="Z51" i="1"/>
  <c r="Y57" i="1"/>
  <c r="Y61" i="1"/>
  <c r="Y66" i="1"/>
  <c r="Z67" i="1"/>
  <c r="Y68" i="1"/>
  <c r="Y81" i="1"/>
  <c r="Y117" i="1"/>
  <c r="Z132" i="1"/>
  <c r="Z133" i="1"/>
  <c r="Z136" i="1"/>
  <c r="Z137" i="1"/>
  <c r="Z153" i="1"/>
  <c r="Z181" i="1"/>
  <c r="Z182" i="1"/>
  <c r="Z185" i="1"/>
  <c r="Z186" i="1"/>
  <c r="Y198" i="1"/>
  <c r="Y202" i="1"/>
  <c r="Q211" i="1"/>
  <c r="Q218" i="1"/>
  <c r="Z225" i="1"/>
  <c r="Z235" i="1"/>
  <c r="Y238" i="1"/>
  <c r="Z240" i="1"/>
  <c r="Y246" i="1"/>
  <c r="Z286" i="1"/>
  <c r="Z287" i="1"/>
  <c r="Y303" i="1"/>
  <c r="Y313" i="1"/>
  <c r="Y326" i="1"/>
  <c r="Q330" i="1"/>
  <c r="Y338" i="1"/>
  <c r="Z339" i="1"/>
  <c r="Z340" i="1"/>
  <c r="Y360" i="1"/>
  <c r="Z366" i="1"/>
  <c r="Y371" i="1"/>
  <c r="Y391" i="1"/>
  <c r="Z391" i="1"/>
  <c r="Y433" i="1"/>
  <c r="Y432" i="1"/>
  <c r="Q433" i="1"/>
  <c r="Z596" i="1"/>
  <c r="Z650" i="1"/>
  <c r="Y650" i="1"/>
  <c r="Q651" i="1"/>
  <c r="Z733" i="1"/>
  <c r="Q733" i="1"/>
  <c r="Y733" i="1"/>
  <c r="Q459" i="1"/>
  <c r="Z458" i="1"/>
  <c r="Z4" i="1"/>
  <c r="Z13" i="1"/>
  <c r="Q15" i="1"/>
  <c r="Z16" i="1"/>
  <c r="Q19" i="1"/>
  <c r="Z20" i="1"/>
  <c r="Q23" i="1"/>
  <c r="Z25" i="1"/>
  <c r="Q28" i="1"/>
  <c r="Q41" i="1"/>
  <c r="Z48" i="1"/>
  <c r="Q57" i="1"/>
  <c r="Z64" i="1"/>
  <c r="Q78" i="1"/>
  <c r="Q81" i="1"/>
  <c r="Z85" i="1"/>
  <c r="Y109" i="1"/>
  <c r="Q113" i="1"/>
  <c r="Y121" i="1"/>
  <c r="Y166" i="1"/>
  <c r="Y170" i="1"/>
  <c r="Y173" i="1"/>
  <c r="Y177" i="1"/>
  <c r="Q190" i="1"/>
  <c r="Q194" i="1"/>
  <c r="Y211" i="1"/>
  <c r="Y214" i="1"/>
  <c r="Z233" i="1"/>
  <c r="Z258" i="1"/>
  <c r="Q276" i="1"/>
  <c r="Y292" i="1"/>
  <c r="Q295" i="1"/>
  <c r="Q297" i="1"/>
  <c r="Z305" i="1"/>
  <c r="Q319" i="1"/>
  <c r="Q321" i="1"/>
  <c r="Q325" i="1"/>
  <c r="Z348" i="1"/>
  <c r="Y353" i="1"/>
  <c r="Q357" i="1"/>
  <c r="Y370" i="1"/>
  <c r="Y382" i="1"/>
  <c r="Y450" i="1"/>
  <c r="Z449" i="1"/>
  <c r="Y449" i="1"/>
  <c r="Q450" i="1"/>
  <c r="Y458" i="1"/>
  <c r="Z595" i="1"/>
  <c r="Y595" i="1"/>
  <c r="Q596" i="1"/>
  <c r="Y686" i="1"/>
  <c r="Z687" i="1"/>
  <c r="Y687" i="1"/>
  <c r="Z686" i="1"/>
  <c r="Q687" i="1"/>
  <c r="Z693" i="1"/>
  <c r="Y693" i="1"/>
  <c r="Q694" i="1"/>
  <c r="Y113" i="1"/>
  <c r="Z124" i="1"/>
  <c r="Z174" i="1"/>
  <c r="Z178" i="1"/>
  <c r="Y190" i="1"/>
  <c r="Y194" i="1"/>
  <c r="Y197" i="1"/>
  <c r="Y201" i="1"/>
  <c r="Z215" i="1"/>
  <c r="Y216" i="1"/>
  <c r="Z245" i="1"/>
  <c r="Z248" i="1"/>
  <c r="Z262" i="1"/>
  <c r="Y311" i="1"/>
  <c r="Z312" i="1"/>
  <c r="Z315" i="1"/>
  <c r="Y328" i="1"/>
  <c r="Y332" i="1"/>
  <c r="Y361" i="1"/>
  <c r="Y363" i="1"/>
  <c r="Z370" i="1"/>
  <c r="Y393" i="1"/>
  <c r="Q394" i="1"/>
  <c r="Z398" i="1"/>
  <c r="Y406" i="1"/>
  <c r="Z405" i="1"/>
  <c r="Y405" i="1"/>
  <c r="Q406" i="1"/>
  <c r="Q432" i="1"/>
  <c r="Y431" i="1"/>
  <c r="Y436" i="1"/>
  <c r="Q437" i="1"/>
  <c r="Z466" i="1"/>
  <c r="Q467" i="1"/>
  <c r="Y513" i="1"/>
  <c r="Y574" i="1"/>
  <c r="Z574" i="1"/>
  <c r="Q575" i="1"/>
  <c r="Y582" i="1"/>
  <c r="Q583" i="1"/>
  <c r="Y756" i="1"/>
  <c r="Z757" i="1"/>
  <c r="Z756" i="1"/>
  <c r="Q757" i="1"/>
  <c r="Y154" i="1"/>
  <c r="Y42" i="1"/>
  <c r="Y44" i="1"/>
  <c r="Y53" i="1"/>
  <c r="Y58" i="1"/>
  <c r="Y60" i="1"/>
  <c r="Q73" i="1"/>
  <c r="Y80" i="1"/>
  <c r="Y82" i="1"/>
  <c r="Y84" i="1"/>
  <c r="Y108" i="1"/>
  <c r="Z117" i="1"/>
  <c r="Y120" i="1"/>
  <c r="Y141" i="1"/>
  <c r="Y145" i="1"/>
  <c r="Y158" i="1"/>
  <c r="Y162" i="1"/>
  <c r="Z197" i="1"/>
  <c r="Z229" i="1"/>
  <c r="Y230" i="1"/>
  <c r="Z241" i="1"/>
  <c r="Y257" i="1"/>
  <c r="Y279" i="1"/>
  <c r="Y294" i="1"/>
  <c r="Y296" i="1"/>
  <c r="Y297" i="1"/>
  <c r="Y314" i="1"/>
  <c r="Y321" i="1"/>
  <c r="Y327" i="1"/>
  <c r="Z328" i="1"/>
  <c r="Z362" i="1"/>
  <c r="Z363" i="1"/>
  <c r="Z374" i="1"/>
  <c r="Z373" i="1"/>
  <c r="Y373" i="1"/>
  <c r="Y390" i="1"/>
  <c r="Z389" i="1"/>
  <c r="Y389" i="1"/>
  <c r="Q390" i="1"/>
  <c r="Q416" i="1"/>
  <c r="Y416" i="1"/>
  <c r="Y415" i="1"/>
  <c r="Y452" i="1"/>
  <c r="Q453" i="1"/>
  <c r="Q465" i="1"/>
  <c r="Y465" i="1"/>
  <c r="Q587" i="1"/>
  <c r="Z587" i="1"/>
  <c r="Y587" i="1"/>
  <c r="Q606" i="1"/>
  <c r="Y605" i="1"/>
  <c r="Y627" i="1"/>
  <c r="Q667" i="1"/>
  <c r="Z667" i="1"/>
  <c r="Y666" i="1"/>
  <c r="Y667" i="1"/>
  <c r="Q670" i="1"/>
  <c r="Y669" i="1"/>
  <c r="Q686" i="1"/>
  <c r="Y685" i="1"/>
  <c r="Y690" i="1"/>
  <c r="Q691" i="1"/>
  <c r="Y691" i="1"/>
  <c r="Z40" i="1"/>
  <c r="Z56" i="1"/>
  <c r="Q70" i="1"/>
  <c r="Z77" i="1"/>
  <c r="Y107" i="1"/>
  <c r="Z108" i="1"/>
  <c r="Q134" i="1"/>
  <c r="Q138" i="1"/>
  <c r="Q151" i="1"/>
  <c r="Q155" i="1"/>
  <c r="Z165" i="1"/>
  <c r="Q183" i="1"/>
  <c r="Q187" i="1"/>
  <c r="Z217" i="1"/>
  <c r="Y254" i="1"/>
  <c r="Q268" i="1"/>
  <c r="Y268" i="1"/>
  <c r="Y271" i="1"/>
  <c r="Q303" i="1"/>
  <c r="Q346" i="1"/>
  <c r="Z356" i="1"/>
  <c r="Q368" i="1"/>
  <c r="Y399" i="1"/>
  <c r="Q400" i="1"/>
  <c r="Z399" i="1"/>
  <c r="Z485" i="1"/>
  <c r="Y485" i="1"/>
  <c r="Q486" i="1"/>
  <c r="Z572" i="1"/>
  <c r="Q605" i="1"/>
  <c r="Z604" i="1"/>
  <c r="Q636" i="1"/>
  <c r="Z636" i="1"/>
  <c r="Q648" i="1"/>
  <c r="Z647" i="1"/>
  <c r="Z658" i="1"/>
  <c r="Q659" i="1"/>
  <c r="Q677" i="1"/>
  <c r="Y676" i="1"/>
  <c r="Z474" i="1"/>
  <c r="Y474" i="1"/>
  <c r="Q475" i="1"/>
  <c r="Q572" i="1"/>
  <c r="Y571" i="1"/>
  <c r="Q622" i="1"/>
  <c r="Y621" i="1"/>
  <c r="Y664" i="1"/>
  <c r="Q665" i="1"/>
  <c r="Y777" i="1"/>
  <c r="Y807" i="1"/>
  <c r="Q808" i="1"/>
  <c r="Z807" i="1"/>
  <c r="Y839" i="1"/>
  <c r="Q840" i="1"/>
  <c r="Z971" i="1"/>
  <c r="Y971" i="1"/>
  <c r="Q996" i="1"/>
  <c r="Y996" i="1"/>
  <c r="Y995" i="1"/>
  <c r="Z1035" i="1"/>
  <c r="Y426" i="1"/>
  <c r="Y442" i="1"/>
  <c r="Y468" i="1"/>
  <c r="Y501" i="1"/>
  <c r="Y568" i="1"/>
  <c r="Y606" i="1"/>
  <c r="Y658" i="1"/>
  <c r="Y670" i="1"/>
  <c r="Z732" i="1"/>
  <c r="Y738" i="1"/>
  <c r="Q739" i="1"/>
  <c r="Z738" i="1"/>
  <c r="Y763" i="1"/>
  <c r="Y769" i="1"/>
  <c r="Z850" i="1"/>
  <c r="Q851" i="1"/>
  <c r="Z854" i="1"/>
  <c r="Q855" i="1"/>
  <c r="Q871" i="1"/>
  <c r="Y870" i="1"/>
  <c r="Y875" i="1"/>
  <c r="Q876" i="1"/>
  <c r="Y895" i="1"/>
  <c r="Z901" i="1"/>
  <c r="Y901" i="1"/>
  <c r="Q902" i="1"/>
  <c r="Q935" i="1"/>
  <c r="Y934" i="1"/>
  <c r="Q988" i="1"/>
  <c r="Y987" i="1"/>
  <c r="Z988" i="1"/>
  <c r="Z993" i="1"/>
  <c r="Q994" i="1"/>
  <c r="Q1016" i="1"/>
  <c r="Z1015" i="1"/>
  <c r="Y1040" i="1"/>
  <c r="Z1038" i="1"/>
  <c r="Z1039" i="1"/>
  <c r="Y1039" i="1"/>
  <c r="Z817" i="1"/>
  <c r="Y878" i="1"/>
  <c r="Z926" i="1"/>
  <c r="Y926" i="1"/>
  <c r="Q949" i="1"/>
  <c r="Z948" i="1"/>
  <c r="Y476" i="1"/>
  <c r="Y487" i="1"/>
  <c r="Y572" i="1"/>
  <c r="Z606" i="1"/>
  <c r="Y619" i="1"/>
  <c r="Y622" i="1"/>
  <c r="Y646" i="1"/>
  <c r="Z664" i="1"/>
  <c r="Z665" i="1"/>
  <c r="Z670" i="1"/>
  <c r="Y677" i="1"/>
  <c r="Z737" i="1"/>
  <c r="Q738" i="1"/>
  <c r="Z750" i="1"/>
  <c r="Y774" i="1"/>
  <c r="Z774" i="1"/>
  <c r="Z777" i="1"/>
  <c r="Z826" i="1"/>
  <c r="Y827" i="1"/>
  <c r="Z828" i="1"/>
  <c r="Q848" i="1"/>
  <c r="Q854" i="1"/>
  <c r="Y853" i="1"/>
  <c r="Z869" i="1"/>
  <c r="Z877" i="1"/>
  <c r="Z878" i="1"/>
  <c r="Y890" i="1"/>
  <c r="Q901" i="1"/>
  <c r="Y942" i="1"/>
  <c r="Z1021" i="1"/>
  <c r="Q1022" i="1"/>
  <c r="Y1037" i="1"/>
  <c r="Q1039" i="1"/>
  <c r="Y528" i="1"/>
  <c r="Y536" i="1"/>
  <c r="Y544" i="1"/>
  <c r="Y552" i="1"/>
  <c r="Y566" i="1"/>
  <c r="Y573" i="1"/>
  <c r="Y598" i="1"/>
  <c r="Y643" i="1"/>
  <c r="Y653" i="1"/>
  <c r="Q662" i="1"/>
  <c r="Q674" i="1"/>
  <c r="Z677" i="1"/>
  <c r="Y678" i="1"/>
  <c r="Y684" i="1"/>
  <c r="Y742" i="1"/>
  <c r="Y752" i="1"/>
  <c r="Z752" i="1"/>
  <c r="Z773" i="1"/>
  <c r="Y773" i="1"/>
  <c r="Y781" i="1"/>
  <c r="Y830" i="1"/>
  <c r="Q831" i="1"/>
  <c r="Y850" i="1"/>
  <c r="Q869" i="1"/>
  <c r="Z868" i="1"/>
  <c r="Y876" i="1"/>
  <c r="Z895" i="1"/>
  <c r="Z909" i="1"/>
  <c r="Q910" i="1"/>
  <c r="Y935" i="1"/>
  <c r="Y992" i="1"/>
  <c r="Q992" i="1"/>
  <c r="Z1032" i="1"/>
  <c r="Z1031" i="1"/>
  <c r="Y1031" i="1"/>
  <c r="Y420" i="1"/>
  <c r="Y509" i="1"/>
  <c r="Z528" i="1"/>
  <c r="Z536" i="1"/>
  <c r="Z544" i="1"/>
  <c r="Z552" i="1"/>
  <c r="Y564" i="1"/>
  <c r="Q591" i="1"/>
  <c r="Y596" i="1"/>
  <c r="Z622" i="1"/>
  <c r="Z643" i="1"/>
  <c r="Y652" i="1"/>
  <c r="Y657" i="1"/>
  <c r="Y659" i="1"/>
  <c r="Y665" i="1"/>
  <c r="Y683" i="1"/>
  <c r="Y694" i="1"/>
  <c r="Y704" i="1"/>
  <c r="Q704" i="1"/>
  <c r="Z704" i="1"/>
  <c r="Y725" i="1"/>
  <c r="Z726" i="1"/>
  <c r="Q727" i="1"/>
  <c r="Y727" i="1"/>
  <c r="Y736" i="1"/>
  <c r="Z780" i="1"/>
  <c r="Q798" i="1"/>
  <c r="Z847" i="1"/>
  <c r="Z852" i="1"/>
  <c r="Q853" i="1"/>
  <c r="Q868" i="1"/>
  <c r="Y867" i="1"/>
  <c r="Z935" i="1"/>
  <c r="Q1010" i="1"/>
  <c r="Z1009" i="1"/>
  <c r="Y1009" i="1"/>
  <c r="Y385" i="1"/>
  <c r="Y401" i="1"/>
  <c r="Y404" i="1"/>
  <c r="Y407" i="1"/>
  <c r="Y434" i="1"/>
  <c r="Y460" i="1"/>
  <c r="Y473" i="1"/>
  <c r="Y484" i="1"/>
  <c r="Y495" i="1"/>
  <c r="Y503" i="1"/>
  <c r="Y506" i="1"/>
  <c r="Y519" i="1"/>
  <c r="Y520" i="1"/>
  <c r="Q524" i="1"/>
  <c r="Y529" i="1"/>
  <c r="Q532" i="1"/>
  <c r="Y537" i="1"/>
  <c r="Q540" i="1"/>
  <c r="Y545" i="1"/>
  <c r="Q548" i="1"/>
  <c r="Y553" i="1"/>
  <c r="Q556" i="1"/>
  <c r="Y565" i="1"/>
  <c r="Z566" i="1"/>
  <c r="Y597" i="1"/>
  <c r="Z598" i="1"/>
  <c r="Y611" i="1"/>
  <c r="Q615" i="1"/>
  <c r="Y638" i="1"/>
  <c r="Y645" i="1"/>
  <c r="Z646" i="1"/>
  <c r="Z652" i="1"/>
  <c r="Z659" i="1"/>
  <c r="Y660" i="1"/>
  <c r="Z694" i="1"/>
  <c r="Y695" i="1"/>
  <c r="Y699" i="1"/>
  <c r="Q708" i="1"/>
  <c r="Z714" i="1"/>
  <c r="Q715" i="1"/>
  <c r="Y715" i="1"/>
  <c r="Y737" i="1"/>
  <c r="Y744" i="1"/>
  <c r="Z744" i="1"/>
  <c r="Y791" i="1"/>
  <c r="Q792" i="1"/>
  <c r="Z791" i="1"/>
  <c r="Y798" i="1"/>
  <c r="Z799" i="1"/>
  <c r="Y803" i="1"/>
  <c r="Y885" i="1"/>
  <c r="Y899" i="1"/>
  <c r="Q899" i="1"/>
  <c r="Z922" i="1"/>
  <c r="Y922" i="1"/>
  <c r="Y947" i="1"/>
  <c r="Y983" i="1"/>
  <c r="Q983" i="1"/>
  <c r="Y1008" i="1"/>
  <c r="Y1021" i="1"/>
  <c r="Z1030" i="1"/>
  <c r="Y1030" i="1"/>
  <c r="Y375" i="1"/>
  <c r="Y388" i="1"/>
  <c r="Z418" i="1"/>
  <c r="Y428" i="1"/>
  <c r="Y444" i="1"/>
  <c r="Z506" i="1"/>
  <c r="Z660" i="1"/>
  <c r="Y692" i="1"/>
  <c r="Z695" i="1"/>
  <c r="Y722" i="1"/>
  <c r="Q770" i="1"/>
  <c r="Q778" i="1"/>
  <c r="Z781" i="1"/>
  <c r="Z782" i="1"/>
  <c r="Q789" i="1"/>
  <c r="Y789" i="1"/>
  <c r="Z790" i="1"/>
  <c r="Z803" i="1"/>
  <c r="Z804" i="1"/>
  <c r="Q852" i="1"/>
  <c r="Y851" i="1"/>
  <c r="Y866" i="1"/>
  <c r="Q867" i="1"/>
  <c r="Q872" i="1"/>
  <c r="Y900" i="1"/>
  <c r="Y902" i="1"/>
  <c r="Z902" i="1"/>
  <c r="Q914" i="1"/>
  <c r="Y913" i="1"/>
  <c r="Y916" i="1"/>
  <c r="Z943" i="1"/>
  <c r="Y943" i="1"/>
  <c r="Z947" i="1"/>
  <c r="Q972" i="1"/>
  <c r="Y972" i="1"/>
  <c r="Q1036" i="1"/>
  <c r="Z724" i="1"/>
  <c r="Z729" i="1"/>
  <c r="Y822" i="1"/>
  <c r="Y849" i="1"/>
  <c r="Z856" i="1"/>
  <c r="Y859" i="1"/>
  <c r="Z860" i="1"/>
  <c r="Y861" i="1"/>
  <c r="Z862" i="1"/>
  <c r="Y873" i="1"/>
  <c r="Z882" i="1"/>
  <c r="Y892" i="1"/>
  <c r="Z917" i="1"/>
  <c r="Z960" i="1"/>
  <c r="Y967" i="1"/>
  <c r="Z979" i="1"/>
  <c r="Y984" i="1"/>
  <c r="Z1005" i="1"/>
  <c r="Y1022" i="1"/>
  <c r="Z1000" i="1"/>
  <c r="Y1019" i="1"/>
  <c r="Y712" i="1"/>
  <c r="Y749" i="1"/>
  <c r="Y765" i="1"/>
  <c r="Y782" i="1"/>
  <c r="Y794" i="1"/>
  <c r="Q800" i="1"/>
  <c r="Y841" i="1"/>
  <c r="Z864" i="1"/>
  <c r="Z891" i="1"/>
  <c r="Q918" i="1"/>
  <c r="Q967" i="1"/>
  <c r="Y975" i="1"/>
  <c r="Q980" i="1"/>
  <c r="Q986" i="1"/>
  <c r="Q989" i="1"/>
  <c r="Z1004" i="1"/>
  <c r="Q1005" i="1"/>
  <c r="Y1011" i="1"/>
  <c r="Y1033" i="1"/>
  <c r="Z1081" i="1"/>
  <c r="Z783" i="1"/>
  <c r="Y858" i="1"/>
  <c r="Z884" i="1"/>
  <c r="Z1075" i="1"/>
  <c r="Y1077" i="1"/>
  <c r="Z1078" i="1"/>
  <c r="Y1032" i="1"/>
  <c r="Z1036" i="1"/>
  <c r="Z1041" i="1"/>
  <c r="Z1051" i="1"/>
  <c r="Z1059" i="1"/>
  <c r="Z1067" i="1"/>
  <c r="Y1071" i="1"/>
  <c r="Z1073" i="1"/>
  <c r="Z1076" i="1"/>
  <c r="Q1084" i="1"/>
  <c r="Y718" i="1"/>
  <c r="Y719" i="1"/>
  <c r="Y746" i="1"/>
  <c r="Y757" i="1"/>
  <c r="Z794" i="1"/>
  <c r="Z839" i="1"/>
  <c r="Y883" i="1"/>
  <c r="Y958" i="1"/>
  <c r="Y1042" i="1"/>
  <c r="Z1044" i="1"/>
  <c r="Z1049" i="1"/>
  <c r="Z1052" i="1"/>
  <c r="Z1057" i="1"/>
  <c r="Z1060" i="1"/>
  <c r="Z1065" i="1"/>
  <c r="Z1068" i="1"/>
  <c r="P4" i="1"/>
  <c r="O4" i="1"/>
  <c r="O5" i="1" s="1"/>
  <c r="O6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O512" i="1" s="1"/>
  <c r="O513" i="1" s="1"/>
  <c r="O514" i="1" s="1"/>
  <c r="O515" i="1" s="1"/>
  <c r="O516" i="1" s="1"/>
  <c r="O517" i="1" s="1"/>
  <c r="O518" i="1" s="1"/>
  <c r="O519" i="1" s="1"/>
  <c r="O520" i="1" s="1"/>
  <c r="O521" i="1" s="1"/>
  <c r="O522" i="1" s="1"/>
  <c r="O523" i="1" s="1"/>
  <c r="O524" i="1" s="1"/>
  <c r="O525" i="1" s="1"/>
  <c r="O526" i="1" s="1"/>
  <c r="O527" i="1" s="1"/>
  <c r="O528" i="1" s="1"/>
  <c r="O529" i="1" s="1"/>
  <c r="O530" i="1" s="1"/>
  <c r="O531" i="1" s="1"/>
  <c r="O532" i="1" s="1"/>
  <c r="O533" i="1" s="1"/>
  <c r="O534" i="1" s="1"/>
  <c r="O535" i="1" s="1"/>
  <c r="O536" i="1" s="1"/>
  <c r="O537" i="1" s="1"/>
  <c r="O538" i="1" s="1"/>
  <c r="O539" i="1" s="1"/>
  <c r="O540" i="1" s="1"/>
  <c r="O541" i="1" s="1"/>
  <c r="O542" i="1" s="1"/>
  <c r="O543" i="1" s="1"/>
  <c r="O544" i="1" s="1"/>
  <c r="O545" i="1" s="1"/>
  <c r="O546" i="1" s="1"/>
  <c r="O547" i="1" s="1"/>
  <c r="O548" i="1" s="1"/>
  <c r="O549" i="1" s="1"/>
  <c r="O550" i="1" s="1"/>
  <c r="O551" i="1" s="1"/>
  <c r="O552" i="1" s="1"/>
  <c r="O553" i="1" s="1"/>
  <c r="O554" i="1" s="1"/>
  <c r="O555" i="1" s="1"/>
  <c r="O556" i="1" s="1"/>
  <c r="O559" i="1" s="1"/>
  <c r="O560" i="1" s="1"/>
  <c r="O561" i="1" s="1"/>
  <c r="O562" i="1" s="1"/>
  <c r="O563" i="1" s="1"/>
  <c r="O564" i="1" s="1"/>
  <c r="O565" i="1" s="1"/>
  <c r="O566" i="1" s="1"/>
  <c r="O567" i="1" s="1"/>
  <c r="O568" i="1" s="1"/>
  <c r="O569" i="1" s="1"/>
  <c r="O570" i="1" s="1"/>
  <c r="O571" i="1" s="1"/>
  <c r="O572" i="1" s="1"/>
  <c r="O573" i="1" s="1"/>
  <c r="O574" i="1" s="1"/>
  <c r="O575" i="1" s="1"/>
  <c r="O576" i="1" s="1"/>
  <c r="O577" i="1" s="1"/>
  <c r="O578" i="1" s="1"/>
  <c r="O579" i="1" s="1"/>
  <c r="O580" i="1" s="1"/>
  <c r="O581" i="1" s="1"/>
  <c r="O582" i="1" s="1"/>
  <c r="O583" i="1" s="1"/>
  <c r="O584" i="1" s="1"/>
  <c r="O585" i="1" s="1"/>
  <c r="O586" i="1" s="1"/>
  <c r="O587" i="1" s="1"/>
  <c r="O588" i="1" s="1"/>
  <c r="O589" i="1" s="1"/>
  <c r="O590" i="1" s="1"/>
  <c r="O591" i="1" s="1"/>
  <c r="O592" i="1" s="1"/>
  <c r="O593" i="1" s="1"/>
  <c r="O594" i="1" s="1"/>
  <c r="O595" i="1" s="1"/>
  <c r="O596" i="1" s="1"/>
  <c r="O597" i="1" s="1"/>
  <c r="O598" i="1" s="1"/>
  <c r="O599" i="1" s="1"/>
  <c r="O600" i="1" s="1"/>
  <c r="O601" i="1" s="1"/>
  <c r="O602" i="1" s="1"/>
  <c r="O603" i="1" s="1"/>
  <c r="O604" i="1" s="1"/>
  <c r="O605" i="1" s="1"/>
  <c r="O606" i="1" s="1"/>
  <c r="O607" i="1" s="1"/>
  <c r="O608" i="1" s="1"/>
  <c r="O609" i="1" s="1"/>
  <c r="O610" i="1" s="1"/>
  <c r="O611" i="1" s="1"/>
  <c r="O612" i="1" s="1"/>
  <c r="O613" i="1" s="1"/>
  <c r="O614" i="1" s="1"/>
  <c r="O615" i="1" s="1"/>
  <c r="O616" i="1" s="1"/>
  <c r="O617" i="1" s="1"/>
  <c r="O618" i="1" s="1"/>
  <c r="O619" i="1" s="1"/>
  <c r="O620" i="1" s="1"/>
  <c r="O621" i="1" s="1"/>
  <c r="O622" i="1" s="1"/>
  <c r="O623" i="1" s="1"/>
  <c r="O624" i="1" s="1"/>
  <c r="O625" i="1" s="1"/>
  <c r="O626" i="1" s="1"/>
  <c r="O627" i="1" s="1"/>
  <c r="O628" i="1" s="1"/>
  <c r="O629" i="1" s="1"/>
  <c r="O630" i="1" s="1"/>
  <c r="O631" i="1" s="1"/>
  <c r="O632" i="1" s="1"/>
  <c r="O633" i="1" s="1"/>
  <c r="O636" i="1" s="1"/>
  <c r="O637" i="1" s="1"/>
  <c r="O638" i="1" s="1"/>
  <c r="O639" i="1" s="1"/>
  <c r="O640" i="1" s="1"/>
  <c r="O641" i="1" s="1"/>
  <c r="O642" i="1" s="1"/>
  <c r="O643" i="1" s="1"/>
  <c r="O644" i="1" s="1"/>
  <c r="O645" i="1" s="1"/>
  <c r="O646" i="1" s="1"/>
  <c r="O647" i="1" s="1"/>
  <c r="O648" i="1" s="1"/>
  <c r="O649" i="1" s="1"/>
  <c r="O650" i="1" s="1"/>
  <c r="O651" i="1" s="1"/>
  <c r="O652" i="1" s="1"/>
  <c r="O653" i="1" s="1"/>
  <c r="O654" i="1" s="1"/>
  <c r="O655" i="1" s="1"/>
  <c r="O656" i="1" s="1"/>
  <c r="O657" i="1" s="1"/>
  <c r="O658" i="1" s="1"/>
  <c r="O659" i="1" s="1"/>
  <c r="O660" i="1" s="1"/>
  <c r="O661" i="1" s="1"/>
  <c r="O662" i="1" s="1"/>
  <c r="O663" i="1" s="1"/>
  <c r="O664" i="1" s="1"/>
  <c r="O665" i="1" s="1"/>
  <c r="O666" i="1" s="1"/>
  <c r="O667" i="1" s="1"/>
  <c r="O668" i="1" s="1"/>
  <c r="O669" i="1" s="1"/>
  <c r="O670" i="1" s="1"/>
  <c r="O671" i="1" s="1"/>
  <c r="O672" i="1" s="1"/>
  <c r="O673" i="1" s="1"/>
  <c r="O674" i="1" s="1"/>
  <c r="O675" i="1" s="1"/>
  <c r="O676" i="1" s="1"/>
  <c r="O677" i="1" s="1"/>
  <c r="O678" i="1" s="1"/>
  <c r="O679" i="1" s="1"/>
  <c r="O680" i="1" s="1"/>
  <c r="O681" i="1" s="1"/>
  <c r="O682" i="1" s="1"/>
  <c r="O683" i="1" s="1"/>
  <c r="O684" i="1" s="1"/>
  <c r="O685" i="1" s="1"/>
  <c r="O686" i="1" s="1"/>
  <c r="O687" i="1" s="1"/>
  <c r="O688" i="1" s="1"/>
  <c r="O689" i="1" s="1"/>
  <c r="O690" i="1" s="1"/>
  <c r="O691" i="1" s="1"/>
  <c r="O692" i="1" s="1"/>
  <c r="O693" i="1" s="1"/>
  <c r="O694" i="1" s="1"/>
  <c r="O695" i="1" s="1"/>
  <c r="O696" i="1" s="1"/>
  <c r="O699" i="1" s="1"/>
  <c r="O700" i="1" s="1"/>
  <c r="O701" i="1" s="1"/>
  <c r="O702" i="1" s="1"/>
  <c r="O703" i="1" s="1"/>
  <c r="O704" i="1" s="1"/>
  <c r="O705" i="1" s="1"/>
  <c r="O706" i="1" s="1"/>
  <c r="O707" i="1" s="1"/>
  <c r="O708" i="1" s="1"/>
  <c r="O709" i="1" s="1"/>
  <c r="O710" i="1" s="1"/>
  <c r="O711" i="1" s="1"/>
  <c r="O712" i="1" s="1"/>
  <c r="O713" i="1" s="1"/>
  <c r="O714" i="1" s="1"/>
  <c r="O715" i="1" s="1"/>
  <c r="O716" i="1" s="1"/>
  <c r="O717" i="1" s="1"/>
  <c r="O718" i="1" s="1"/>
  <c r="O719" i="1" s="1"/>
  <c r="O720" i="1" s="1"/>
  <c r="O721" i="1" s="1"/>
  <c r="O722" i="1" s="1"/>
  <c r="O723" i="1" s="1"/>
  <c r="O724" i="1" s="1"/>
  <c r="O725" i="1" s="1"/>
  <c r="O726" i="1" s="1"/>
  <c r="O727" i="1" s="1"/>
  <c r="O728" i="1" s="1"/>
  <c r="O729" i="1" s="1"/>
  <c r="O730" i="1" s="1"/>
  <c r="O731" i="1" s="1"/>
  <c r="O732" i="1" s="1"/>
  <c r="O733" i="1" s="1"/>
  <c r="O734" i="1" s="1"/>
  <c r="O735" i="1" s="1"/>
  <c r="O736" i="1" s="1"/>
  <c r="O737" i="1" s="1"/>
  <c r="O738" i="1" s="1"/>
  <c r="O739" i="1" s="1"/>
  <c r="O740" i="1" s="1"/>
  <c r="O741" i="1" s="1"/>
  <c r="O742" i="1" s="1"/>
  <c r="O743" i="1" s="1"/>
  <c r="O744" i="1" s="1"/>
  <c r="O745" i="1" s="1"/>
  <c r="O746" i="1" s="1"/>
  <c r="O747" i="1" s="1"/>
  <c r="O748" i="1" s="1"/>
  <c r="O749" i="1" s="1"/>
  <c r="O750" i="1" s="1"/>
  <c r="O751" i="1" s="1"/>
  <c r="O752" i="1" s="1"/>
  <c r="O753" i="1" s="1"/>
  <c r="O756" i="1" s="1"/>
  <c r="O757" i="1" s="1"/>
  <c r="O758" i="1" s="1"/>
  <c r="O759" i="1" s="1"/>
  <c r="O760" i="1" s="1"/>
  <c r="O761" i="1" s="1"/>
  <c r="O762" i="1" s="1"/>
  <c r="O763" i="1" s="1"/>
  <c r="O764" i="1" s="1"/>
  <c r="O765" i="1" s="1"/>
  <c r="O766" i="1" s="1"/>
  <c r="O767" i="1" s="1"/>
  <c r="O768" i="1" s="1"/>
  <c r="O769" i="1" s="1"/>
  <c r="O770" i="1" s="1"/>
  <c r="O771" i="1" s="1"/>
  <c r="O772" i="1" s="1"/>
  <c r="O773" i="1" s="1"/>
  <c r="O774" i="1" s="1"/>
  <c r="O775" i="1" s="1"/>
  <c r="O776" i="1" s="1"/>
  <c r="O777" i="1" s="1"/>
  <c r="O778" i="1" s="1"/>
  <c r="O779" i="1" s="1"/>
  <c r="O780" i="1" s="1"/>
  <c r="O781" i="1" s="1"/>
  <c r="O782" i="1" s="1"/>
  <c r="O783" i="1" s="1"/>
  <c r="O784" i="1" s="1"/>
  <c r="O785" i="1" s="1"/>
  <c r="O786" i="1" s="1"/>
  <c r="O787" i="1" s="1"/>
  <c r="O788" i="1" s="1"/>
  <c r="O789" i="1" s="1"/>
  <c r="O790" i="1" s="1"/>
  <c r="O791" i="1" s="1"/>
  <c r="O792" i="1" s="1"/>
  <c r="O793" i="1" s="1"/>
  <c r="O794" i="1" s="1"/>
  <c r="O795" i="1" s="1"/>
  <c r="O796" i="1" s="1"/>
  <c r="O797" i="1" s="1"/>
  <c r="O798" i="1" s="1"/>
  <c r="O799" i="1" s="1"/>
  <c r="O800" i="1" s="1"/>
  <c r="O801" i="1" s="1"/>
  <c r="O802" i="1" s="1"/>
  <c r="O803" i="1" s="1"/>
  <c r="O804" i="1" s="1"/>
  <c r="O805" i="1" s="1"/>
  <c r="O806" i="1" s="1"/>
  <c r="O807" i="1" s="1"/>
  <c r="O808" i="1" s="1"/>
  <c r="O809" i="1" s="1"/>
  <c r="O810" i="1" s="1"/>
  <c r="O811" i="1" s="1"/>
  <c r="O812" i="1" s="1"/>
  <c r="O813" i="1" s="1"/>
  <c r="O814" i="1" s="1"/>
  <c r="O815" i="1" s="1"/>
  <c r="O816" i="1" s="1"/>
  <c r="O817" i="1" s="1"/>
  <c r="O818" i="1" s="1"/>
  <c r="O819" i="1" s="1"/>
  <c r="O820" i="1" s="1"/>
  <c r="O821" i="1" s="1"/>
  <c r="O822" i="1" s="1"/>
  <c r="O823" i="1" s="1"/>
  <c r="O826" i="1" s="1"/>
  <c r="O827" i="1" s="1"/>
  <c r="O828" i="1" s="1"/>
  <c r="O829" i="1" s="1"/>
  <c r="O830" i="1" s="1"/>
  <c r="O831" i="1" s="1"/>
  <c r="O832" i="1" s="1"/>
  <c r="O833" i="1" s="1"/>
  <c r="O834" i="1" s="1"/>
  <c r="O835" i="1" s="1"/>
  <c r="O836" i="1" s="1"/>
  <c r="O837" i="1" s="1"/>
  <c r="O838" i="1" s="1"/>
  <c r="O839" i="1" s="1"/>
  <c r="O840" i="1" s="1"/>
  <c r="O841" i="1" s="1"/>
  <c r="O842" i="1" s="1"/>
  <c r="O843" i="1" s="1"/>
  <c r="O844" i="1" s="1"/>
  <c r="O845" i="1" s="1"/>
  <c r="O846" i="1" s="1"/>
  <c r="O847" i="1" s="1"/>
  <c r="O848" i="1" s="1"/>
  <c r="O849" i="1" s="1"/>
  <c r="O850" i="1" s="1"/>
  <c r="O851" i="1" s="1"/>
  <c r="O852" i="1" s="1"/>
  <c r="O853" i="1" s="1"/>
  <c r="O854" i="1" s="1"/>
  <c r="O855" i="1" s="1"/>
  <c r="O856" i="1" s="1"/>
  <c r="O857" i="1" s="1"/>
  <c r="O858" i="1" s="1"/>
  <c r="O859" i="1" s="1"/>
  <c r="O860" i="1" s="1"/>
  <c r="O861" i="1" s="1"/>
  <c r="O862" i="1" s="1"/>
  <c r="O863" i="1" s="1"/>
  <c r="O864" i="1" s="1"/>
  <c r="O865" i="1" s="1"/>
  <c r="O866" i="1" s="1"/>
  <c r="O867" i="1" s="1"/>
  <c r="O868" i="1" s="1"/>
  <c r="O869" i="1" s="1"/>
  <c r="O870" i="1" s="1"/>
  <c r="O871" i="1" s="1"/>
  <c r="O872" i="1" s="1"/>
  <c r="O873" i="1" s="1"/>
  <c r="O874" i="1" s="1"/>
  <c r="O875" i="1" s="1"/>
  <c r="O876" i="1" s="1"/>
  <c r="O877" i="1" s="1"/>
  <c r="O878" i="1" s="1"/>
  <c r="O879" i="1" s="1"/>
  <c r="O880" i="1" s="1"/>
  <c r="O881" i="1" s="1"/>
  <c r="O882" i="1" s="1"/>
  <c r="O883" i="1" s="1"/>
  <c r="O884" i="1" s="1"/>
  <c r="O885" i="1" s="1"/>
  <c r="O886" i="1" s="1"/>
  <c r="O887" i="1" s="1"/>
  <c r="O888" i="1" s="1"/>
  <c r="O889" i="1" s="1"/>
  <c r="O890" i="1" s="1"/>
  <c r="O891" i="1" s="1"/>
  <c r="O892" i="1" s="1"/>
  <c r="O893" i="1" s="1"/>
  <c r="O894" i="1" s="1"/>
  <c r="O895" i="1" s="1"/>
  <c r="O896" i="1" s="1"/>
  <c r="O899" i="1" s="1"/>
  <c r="O900" i="1" s="1"/>
  <c r="O901" i="1" s="1"/>
  <c r="O902" i="1" s="1"/>
  <c r="O903" i="1" s="1"/>
  <c r="O904" i="1" s="1"/>
  <c r="O905" i="1" s="1"/>
  <c r="O906" i="1" s="1"/>
  <c r="O907" i="1" s="1"/>
  <c r="O908" i="1" s="1"/>
  <c r="O909" i="1" s="1"/>
  <c r="O910" i="1" s="1"/>
  <c r="O911" i="1" s="1"/>
  <c r="O912" i="1" s="1"/>
  <c r="O913" i="1" s="1"/>
  <c r="O914" i="1" s="1"/>
  <c r="O915" i="1" s="1"/>
  <c r="O916" i="1" s="1"/>
  <c r="O917" i="1" s="1"/>
  <c r="O918" i="1" s="1"/>
  <c r="O919" i="1" s="1"/>
  <c r="O920" i="1" s="1"/>
  <c r="O921" i="1" s="1"/>
  <c r="O922" i="1" s="1"/>
  <c r="O923" i="1" s="1"/>
  <c r="O924" i="1" s="1"/>
  <c r="O925" i="1" s="1"/>
  <c r="O926" i="1" s="1"/>
  <c r="O927" i="1" s="1"/>
  <c r="O928" i="1" s="1"/>
  <c r="O929" i="1" s="1"/>
  <c r="O930" i="1" s="1"/>
  <c r="O931" i="1" s="1"/>
  <c r="O932" i="1" s="1"/>
  <c r="O933" i="1" s="1"/>
  <c r="O934" i="1" s="1"/>
  <c r="O935" i="1" s="1"/>
  <c r="O936" i="1" s="1"/>
  <c r="O937" i="1" s="1"/>
  <c r="O938" i="1" s="1"/>
  <c r="O939" i="1" s="1"/>
  <c r="O940" i="1" s="1"/>
  <c r="O941" i="1" s="1"/>
  <c r="O942" i="1" s="1"/>
  <c r="O943" i="1" s="1"/>
  <c r="O944" i="1" s="1"/>
  <c r="O945" i="1" s="1"/>
  <c r="O946" i="1" s="1"/>
  <c r="O947" i="1" s="1"/>
  <c r="O948" i="1" s="1"/>
  <c r="O949" i="1" s="1"/>
  <c r="O950" i="1" s="1"/>
  <c r="O951" i="1" s="1"/>
  <c r="O952" i="1" s="1"/>
  <c r="O953" i="1" s="1"/>
  <c r="O954" i="1" s="1"/>
  <c r="O955" i="1" s="1"/>
  <c r="O956" i="1" s="1"/>
  <c r="O957" i="1" s="1"/>
  <c r="O958" i="1" s="1"/>
  <c r="O959" i="1" s="1"/>
  <c r="O960" i="1" s="1"/>
  <c r="O961" i="1" s="1"/>
  <c r="O962" i="1" s="1"/>
  <c r="O963" i="1" s="1"/>
  <c r="O964" i="1" s="1"/>
  <c r="O965" i="1" s="1"/>
  <c r="O966" i="1" s="1"/>
  <c r="O967" i="1" s="1"/>
  <c r="O968" i="1" s="1"/>
  <c r="O969" i="1" s="1"/>
  <c r="O970" i="1" s="1"/>
  <c r="O971" i="1" s="1"/>
  <c r="O972" i="1" s="1"/>
  <c r="O973" i="1" s="1"/>
  <c r="O974" i="1" s="1"/>
  <c r="O975" i="1" s="1"/>
  <c r="O976" i="1" s="1"/>
  <c r="O977" i="1" s="1"/>
  <c r="O978" i="1" s="1"/>
  <c r="O979" i="1" s="1"/>
  <c r="O980" i="1" s="1"/>
  <c r="O981" i="1" s="1"/>
  <c r="O982" i="1" s="1"/>
  <c r="O983" i="1" s="1"/>
  <c r="O984" i="1" s="1"/>
  <c r="O985" i="1" s="1"/>
  <c r="O986" i="1" s="1"/>
  <c r="O987" i="1" s="1"/>
  <c r="O988" i="1" s="1"/>
  <c r="O989" i="1" s="1"/>
  <c r="O990" i="1" s="1"/>
  <c r="O991" i="1" s="1"/>
  <c r="O992" i="1" s="1"/>
  <c r="O993" i="1" s="1"/>
  <c r="O994" i="1" s="1"/>
  <c r="O995" i="1" s="1"/>
  <c r="O996" i="1" s="1"/>
  <c r="O997" i="1" s="1"/>
  <c r="O998" i="1" s="1"/>
  <c r="O999" i="1" s="1"/>
  <c r="O1000" i="1" s="1"/>
  <c r="O1001" i="1" s="1"/>
  <c r="O1002" i="1" s="1"/>
  <c r="O1003" i="1" s="1"/>
  <c r="O1004" i="1" s="1"/>
  <c r="O1005" i="1" s="1"/>
  <c r="O1006" i="1" s="1"/>
  <c r="O1007" i="1" s="1"/>
  <c r="O1008" i="1" s="1"/>
  <c r="O1009" i="1" s="1"/>
  <c r="O1010" i="1" s="1"/>
  <c r="O1011" i="1" s="1"/>
  <c r="O1012" i="1" s="1"/>
  <c r="O1013" i="1" s="1"/>
  <c r="O1014" i="1" s="1"/>
  <c r="O1015" i="1" s="1"/>
  <c r="O1016" i="1" s="1"/>
  <c r="O1017" i="1" s="1"/>
  <c r="O1018" i="1" s="1"/>
  <c r="O1019" i="1" s="1"/>
  <c r="O1020" i="1" s="1"/>
  <c r="O1021" i="1" s="1"/>
  <c r="O1022" i="1" s="1"/>
  <c r="O1023" i="1" s="1"/>
  <c r="O1024" i="1" s="1"/>
  <c r="O1025" i="1" s="1"/>
  <c r="O1026" i="1" s="1"/>
  <c r="O1027" i="1" s="1"/>
  <c r="O1028" i="1" s="1"/>
  <c r="O1029" i="1" s="1"/>
  <c r="O1030" i="1" s="1"/>
  <c r="O1031" i="1" s="1"/>
  <c r="O1032" i="1" s="1"/>
  <c r="O1033" i="1" s="1"/>
  <c r="O1034" i="1" s="1"/>
  <c r="O1035" i="1" s="1"/>
  <c r="O1036" i="1" s="1"/>
  <c r="O1037" i="1" s="1"/>
  <c r="O1038" i="1" s="1"/>
  <c r="O1039" i="1" s="1"/>
  <c r="O1040" i="1" s="1"/>
  <c r="O1041" i="1" s="1"/>
  <c r="O1042" i="1" s="1"/>
  <c r="O1043" i="1" s="1"/>
  <c r="O1044" i="1" s="1"/>
  <c r="O1045" i="1" s="1"/>
  <c r="O1046" i="1" s="1"/>
  <c r="O1047" i="1" s="1"/>
  <c r="O1048" i="1" s="1"/>
  <c r="O1049" i="1" s="1"/>
  <c r="O1050" i="1" s="1"/>
  <c r="O1051" i="1" s="1"/>
  <c r="O1052" i="1" s="1"/>
  <c r="O1053" i="1" s="1"/>
  <c r="O1054" i="1" s="1"/>
  <c r="O1055" i="1" s="1"/>
  <c r="O1056" i="1" s="1"/>
  <c r="O1057" i="1" s="1"/>
  <c r="O1058" i="1" s="1"/>
  <c r="O1059" i="1" s="1"/>
  <c r="O1060" i="1" s="1"/>
  <c r="O1061" i="1" s="1"/>
  <c r="O1062" i="1" s="1"/>
  <c r="O1063" i="1" s="1"/>
  <c r="O1064" i="1" s="1"/>
  <c r="O1065" i="1" s="1"/>
  <c r="O1066" i="1" s="1"/>
  <c r="O1067" i="1" s="1"/>
  <c r="O1068" i="1" s="1"/>
  <c r="O1069" i="1" s="1"/>
  <c r="O1070" i="1" s="1"/>
  <c r="O1071" i="1" s="1"/>
  <c r="O1072" i="1" s="1"/>
  <c r="O1073" i="1" s="1"/>
  <c r="O1074" i="1" s="1"/>
  <c r="O1075" i="1" s="1"/>
  <c r="O1076" i="1" s="1"/>
  <c r="O1077" i="1" s="1"/>
  <c r="O1078" i="1" s="1"/>
  <c r="O1079" i="1" s="1"/>
  <c r="O1080" i="1" s="1"/>
  <c r="O1081" i="1" s="1"/>
  <c r="O1082" i="1" s="1"/>
  <c r="O1083" i="1" s="1"/>
  <c r="O1084" i="1" s="1"/>
  <c r="O1085" i="1" s="1"/>
  <c r="O1086" i="1" s="1"/>
  <c r="O1087" i="1" s="1"/>
  <c r="O1088" i="1" s="1"/>
  <c r="AB1087" i="1"/>
  <c r="AA1086" i="1"/>
  <c r="AB1079" i="1"/>
  <c r="V1079" i="1" s="1"/>
  <c r="X1079" i="1" s="1"/>
  <c r="AA1078" i="1"/>
  <c r="AB1071" i="1"/>
  <c r="V1071" i="1" s="1"/>
  <c r="X1071" i="1" s="1"/>
  <c r="AA1070" i="1"/>
  <c r="AB1063" i="1"/>
  <c r="AA1062" i="1"/>
  <c r="AB1055" i="1"/>
  <c r="AA1054" i="1"/>
  <c r="AB1047" i="1"/>
  <c r="AA1046" i="1"/>
  <c r="AB1039" i="1"/>
  <c r="AA1038" i="1"/>
  <c r="AB1031" i="1"/>
  <c r="AA1030" i="1"/>
  <c r="AB1022" i="1"/>
  <c r="AA1021" i="1"/>
  <c r="AB1014" i="1"/>
  <c r="AA1013" i="1"/>
  <c r="AB1005" i="1"/>
  <c r="V1005" i="1" s="1"/>
  <c r="X1005" i="1" s="1"/>
  <c r="AA1004" i="1"/>
  <c r="AB997" i="1"/>
  <c r="AA1088" i="1"/>
  <c r="AB1081" i="1"/>
  <c r="AA1080" i="1"/>
  <c r="AB1073" i="1"/>
  <c r="AA1072" i="1"/>
  <c r="AB1065" i="1"/>
  <c r="V1065" i="1" s="1"/>
  <c r="X1065" i="1" s="1"/>
  <c r="AA1064" i="1"/>
  <c r="AB1057" i="1"/>
  <c r="AA1056" i="1"/>
  <c r="AB1049" i="1"/>
  <c r="V1049" i="1" s="1"/>
  <c r="X1049" i="1" s="1"/>
  <c r="AA1048" i="1"/>
  <c r="AB1041" i="1"/>
  <c r="AA1040" i="1"/>
  <c r="AB1033" i="1"/>
  <c r="V1033" i="1" s="1"/>
  <c r="X1033" i="1" s="1"/>
  <c r="AB1082" i="1"/>
  <c r="V1082" i="1" s="1"/>
  <c r="X1082" i="1" s="1"/>
  <c r="AA1081" i="1"/>
  <c r="AB1074" i="1"/>
  <c r="AA1073" i="1"/>
  <c r="AB1066" i="1"/>
  <c r="AA1065" i="1"/>
  <c r="AB1058" i="1"/>
  <c r="V1058" i="1" s="1"/>
  <c r="X1058" i="1" s="1"/>
  <c r="AA1057" i="1"/>
  <c r="AB1050" i="1"/>
  <c r="AA1049" i="1"/>
  <c r="AB1083" i="1"/>
  <c r="AA1082" i="1"/>
  <c r="AB1075" i="1"/>
  <c r="V1075" i="1" s="1"/>
  <c r="X1075" i="1" s="1"/>
  <c r="AA1074" i="1"/>
  <c r="AB1067" i="1"/>
  <c r="AA1066" i="1"/>
  <c r="AB1059" i="1"/>
  <c r="AA1058" i="1"/>
  <c r="AB1051" i="1"/>
  <c r="AA1050" i="1"/>
  <c r="AB1043" i="1"/>
  <c r="AA1042" i="1"/>
  <c r="AB1084" i="1"/>
  <c r="AA1083" i="1"/>
  <c r="AB1076" i="1"/>
  <c r="AA1075" i="1"/>
  <c r="AB1068" i="1"/>
  <c r="AA1067" i="1"/>
  <c r="AB1060" i="1"/>
  <c r="AA1059" i="1"/>
  <c r="AB1052" i="1"/>
  <c r="V1052" i="1" s="1"/>
  <c r="X1052" i="1" s="1"/>
  <c r="AA1051" i="1"/>
  <c r="AB1044" i="1"/>
  <c r="AA1043" i="1"/>
  <c r="AB1036" i="1"/>
  <c r="AA1035" i="1"/>
  <c r="AB1028" i="1"/>
  <c r="V1028" i="1" s="1"/>
  <c r="X1028" i="1" s="1"/>
  <c r="AB1027" i="1"/>
  <c r="V1027" i="1" s="1"/>
  <c r="X1027" i="1" s="1"/>
  <c r="AA1026" i="1"/>
  <c r="AB1019" i="1"/>
  <c r="V1019" i="1" s="1"/>
  <c r="X1019" i="1" s="1"/>
  <c r="AA1018" i="1"/>
  <c r="AB1011" i="1"/>
  <c r="AA1010" i="1"/>
  <c r="AA1009" i="1"/>
  <c r="AB1085" i="1"/>
  <c r="AA1084" i="1"/>
  <c r="AB1077" i="1"/>
  <c r="AA1076" i="1"/>
  <c r="AB1069" i="1"/>
  <c r="AA1068" i="1"/>
  <c r="AB1061" i="1"/>
  <c r="AA1060" i="1"/>
  <c r="AB1053" i="1"/>
  <c r="AA1052" i="1"/>
  <c r="AB1086" i="1"/>
  <c r="V1086" i="1" s="1"/>
  <c r="X1086" i="1" s="1"/>
  <c r="AA1085" i="1"/>
  <c r="AB1078" i="1"/>
  <c r="V1078" i="1" s="1"/>
  <c r="X1078" i="1" s="1"/>
  <c r="AA1077" i="1"/>
  <c r="AB1070" i="1"/>
  <c r="AA1069" i="1"/>
  <c r="AB1062" i="1"/>
  <c r="V1062" i="1" s="1"/>
  <c r="X1062" i="1" s="1"/>
  <c r="AA1061" i="1"/>
  <c r="AB1054" i="1"/>
  <c r="V1054" i="1" s="1"/>
  <c r="X1054" i="1" s="1"/>
  <c r="AA1053" i="1"/>
  <c r="AB1046" i="1"/>
  <c r="V1046" i="1" s="1"/>
  <c r="X1046" i="1" s="1"/>
  <c r="AA1045" i="1"/>
  <c r="AB1038" i="1"/>
  <c r="AA1037" i="1"/>
  <c r="AB1030" i="1"/>
  <c r="V1030" i="1" s="1"/>
  <c r="X1030" i="1" s="1"/>
  <c r="AA1029" i="1"/>
  <c r="AB1080" i="1"/>
  <c r="AB1064" i="1"/>
  <c r="AB1040" i="1"/>
  <c r="V1040" i="1" s="1"/>
  <c r="X1040" i="1" s="1"/>
  <c r="AA1034" i="1"/>
  <c r="AA1032" i="1"/>
  <c r="AA1028" i="1"/>
  <c r="AA1025" i="1"/>
  <c r="AB1023" i="1"/>
  <c r="AA1020" i="1"/>
  <c r="AB1006" i="1"/>
  <c r="AB1002" i="1"/>
  <c r="AA998" i="1"/>
  <c r="AB991" i="1"/>
  <c r="AA990" i="1"/>
  <c r="AB982" i="1"/>
  <c r="AA1047" i="1"/>
  <c r="AB1042" i="1"/>
  <c r="AB1037" i="1"/>
  <c r="V1037" i="1" s="1"/>
  <c r="X1037" i="1" s="1"/>
  <c r="AA1023" i="1"/>
  <c r="AB1018" i="1"/>
  <c r="V1018" i="1" s="1"/>
  <c r="X1018" i="1" s="1"/>
  <c r="AB1013" i="1"/>
  <c r="V1013" i="1" s="1"/>
  <c r="X1013" i="1" s="1"/>
  <c r="AA1006" i="1"/>
  <c r="AA1002" i="1"/>
  <c r="AB999" i="1"/>
  <c r="AB992" i="1"/>
  <c r="V992" i="1" s="1"/>
  <c r="X992" i="1" s="1"/>
  <c r="AA991" i="1"/>
  <c r="AB984" i="1"/>
  <c r="AB983" i="1"/>
  <c r="V983" i="1" s="1"/>
  <c r="X983" i="1" s="1"/>
  <c r="AA982" i="1"/>
  <c r="AB975" i="1"/>
  <c r="AA974" i="1"/>
  <c r="AB967" i="1"/>
  <c r="AA966" i="1"/>
  <c r="AB956" i="1"/>
  <c r="AA955" i="1"/>
  <c r="AB948" i="1"/>
  <c r="AB947" i="1"/>
  <c r="V947" i="1" s="1"/>
  <c r="X947" i="1" s="1"/>
  <c r="AA1071" i="1"/>
  <c r="AB1048" i="1"/>
  <c r="AA1039" i="1"/>
  <c r="AB1016" i="1"/>
  <c r="AB1003" i="1"/>
  <c r="AB1000" i="1"/>
  <c r="AA999" i="1"/>
  <c r="AB993" i="1"/>
  <c r="AA992" i="1"/>
  <c r="AB985" i="1"/>
  <c r="AA984" i="1"/>
  <c r="AA983" i="1"/>
  <c r="AB976" i="1"/>
  <c r="V976" i="1" s="1"/>
  <c r="X976" i="1" s="1"/>
  <c r="AA975" i="1"/>
  <c r="AB1072" i="1"/>
  <c r="AA1036" i="1"/>
  <c r="AA1031" i="1"/>
  <c r="AA1027" i="1"/>
  <c r="AB1021" i="1"/>
  <c r="AA1016" i="1"/>
  <c r="AA1014" i="1"/>
  <c r="AA1011" i="1"/>
  <c r="AB1009" i="1"/>
  <c r="V1009" i="1" s="1"/>
  <c r="X1009" i="1" s="1"/>
  <c r="AA1003" i="1"/>
  <c r="AA1000" i="1"/>
  <c r="AB994" i="1"/>
  <c r="AA993" i="1"/>
  <c r="AB986" i="1"/>
  <c r="AA985" i="1"/>
  <c r="AB977" i="1"/>
  <c r="V977" i="1" s="1"/>
  <c r="X977" i="1" s="1"/>
  <c r="AA976" i="1"/>
  <c r="AB969" i="1"/>
  <c r="AA968" i="1"/>
  <c r="AB958" i="1"/>
  <c r="AA957" i="1"/>
  <c r="AA1087" i="1"/>
  <c r="AA1055" i="1"/>
  <c r="AA1033" i="1"/>
  <c r="AB1029" i="1"/>
  <c r="AB1024" i="1"/>
  <c r="V1024" i="1" s="1"/>
  <c r="X1024" i="1" s="1"/>
  <c r="AB1017" i="1"/>
  <c r="AB1007" i="1"/>
  <c r="AB996" i="1"/>
  <c r="AB995" i="1"/>
  <c r="V995" i="1" s="1"/>
  <c r="X995" i="1" s="1"/>
  <c r="AA994" i="1"/>
  <c r="AB987" i="1"/>
  <c r="AA986" i="1"/>
  <c r="AB1088" i="1"/>
  <c r="V1088" i="1" s="1"/>
  <c r="X1088" i="1" s="1"/>
  <c r="AB1056" i="1"/>
  <c r="V1056" i="1" s="1"/>
  <c r="X1056" i="1" s="1"/>
  <c r="AB1045" i="1"/>
  <c r="AA1041" i="1"/>
  <c r="AA1024" i="1"/>
  <c r="AA1022" i="1"/>
  <c r="AA1019" i="1"/>
  <c r="AA1017" i="1"/>
  <c r="AB1012" i="1"/>
  <c r="AA1007" i="1"/>
  <c r="AB1004" i="1"/>
  <c r="AB1001" i="1"/>
  <c r="V1001" i="1" s="1"/>
  <c r="X1001" i="1" s="1"/>
  <c r="AA996" i="1"/>
  <c r="AA995" i="1"/>
  <c r="AB988" i="1"/>
  <c r="AA987" i="1"/>
  <c r="AB979" i="1"/>
  <c r="V979" i="1" s="1"/>
  <c r="X979" i="1" s="1"/>
  <c r="AA978" i="1"/>
  <c r="AB971" i="1"/>
  <c r="V971" i="1" s="1"/>
  <c r="X971" i="1" s="1"/>
  <c r="AA970" i="1"/>
  <c r="AB961" i="1"/>
  <c r="AA1079" i="1"/>
  <c r="AA1044" i="1"/>
  <c r="AB1026" i="1"/>
  <c r="AB1015" i="1"/>
  <c r="V1015" i="1" s="1"/>
  <c r="X1015" i="1" s="1"/>
  <c r="AA1012" i="1"/>
  <c r="AB1008" i="1"/>
  <c r="V1008" i="1" s="1"/>
  <c r="X1008" i="1" s="1"/>
  <c r="AA1001" i="1"/>
  <c r="AA997" i="1"/>
  <c r="AB989" i="1"/>
  <c r="V989" i="1" s="1"/>
  <c r="X989" i="1" s="1"/>
  <c r="AA988" i="1"/>
  <c r="AB980" i="1"/>
  <c r="AA979" i="1"/>
  <c r="AB972" i="1"/>
  <c r="V972" i="1" s="1"/>
  <c r="X972" i="1" s="1"/>
  <c r="AA971" i="1"/>
  <c r="AB962" i="1"/>
  <c r="V962" i="1" s="1"/>
  <c r="X962" i="1" s="1"/>
  <c r="AA961" i="1"/>
  <c r="AA960" i="1"/>
  <c r="AA989" i="1"/>
  <c r="AA981" i="1"/>
  <c r="AA980" i="1"/>
  <c r="AB965" i="1"/>
  <c r="V965" i="1" s="1"/>
  <c r="X965" i="1" s="1"/>
  <c r="AA954" i="1"/>
  <c r="AA951" i="1"/>
  <c r="AB946" i="1"/>
  <c r="V946" i="1" s="1"/>
  <c r="X946" i="1" s="1"/>
  <c r="AA945" i="1"/>
  <c r="AB938" i="1"/>
  <c r="AA937" i="1"/>
  <c r="AB929" i="1"/>
  <c r="V929" i="1" s="1"/>
  <c r="X929" i="1" s="1"/>
  <c r="AA928" i="1"/>
  <c r="AB921" i="1"/>
  <c r="AA920" i="1"/>
  <c r="AA919" i="1"/>
  <c r="AB912" i="1"/>
  <c r="AA911" i="1"/>
  <c r="AB990" i="1"/>
  <c r="AB978" i="1"/>
  <c r="AB974" i="1"/>
  <c r="AB968" i="1"/>
  <c r="V968" i="1" s="1"/>
  <c r="X968" i="1" s="1"/>
  <c r="AA965" i="1"/>
  <c r="AA962" i="1"/>
  <c r="AB959" i="1"/>
  <c r="AA946" i="1"/>
  <c r="AB939" i="1"/>
  <c r="V939" i="1" s="1"/>
  <c r="X939" i="1" s="1"/>
  <c r="AA938" i="1"/>
  <c r="AB930" i="1"/>
  <c r="AA929" i="1"/>
  <c r="AB922" i="1"/>
  <c r="AA921" i="1"/>
  <c r="AB913" i="1"/>
  <c r="AA912" i="1"/>
  <c r="AB1010" i="1"/>
  <c r="AA967" i="1"/>
  <c r="AA959" i="1"/>
  <c r="AB957" i="1"/>
  <c r="V957" i="1" s="1"/>
  <c r="X957" i="1" s="1"/>
  <c r="AB952" i="1"/>
  <c r="AA947" i="1"/>
  <c r="AB940" i="1"/>
  <c r="V940" i="1" s="1"/>
  <c r="X940" i="1" s="1"/>
  <c r="AA939" i="1"/>
  <c r="AB931" i="1"/>
  <c r="AA930" i="1"/>
  <c r="AB923" i="1"/>
  <c r="AA922" i="1"/>
  <c r="AB914" i="1"/>
  <c r="AA913" i="1"/>
  <c r="AB905" i="1"/>
  <c r="AA904" i="1"/>
  <c r="AB973" i="1"/>
  <c r="AB970" i="1"/>
  <c r="V970" i="1" s="1"/>
  <c r="X970" i="1" s="1"/>
  <c r="AB964" i="1"/>
  <c r="V964" i="1" s="1"/>
  <c r="X964" i="1" s="1"/>
  <c r="AB955" i="1"/>
  <c r="V955" i="1" s="1"/>
  <c r="X955" i="1" s="1"/>
  <c r="AA952" i="1"/>
  <c r="AA948" i="1"/>
  <c r="AB941" i="1"/>
  <c r="AA940" i="1"/>
  <c r="AB933" i="1"/>
  <c r="AB932" i="1"/>
  <c r="V932" i="1" s="1"/>
  <c r="X932" i="1" s="1"/>
  <c r="AA931" i="1"/>
  <c r="AB924" i="1"/>
  <c r="V924" i="1" s="1"/>
  <c r="X924" i="1" s="1"/>
  <c r="AA923" i="1"/>
  <c r="AB915" i="1"/>
  <c r="V915" i="1" s="1"/>
  <c r="X915" i="1" s="1"/>
  <c r="AA914" i="1"/>
  <c r="AB907" i="1"/>
  <c r="V907" i="1" s="1"/>
  <c r="X907" i="1" s="1"/>
  <c r="AB906" i="1"/>
  <c r="V906" i="1" s="1"/>
  <c r="X906" i="1" s="1"/>
  <c r="AA905" i="1"/>
  <c r="AB898" i="1"/>
  <c r="V898" i="1" s="1"/>
  <c r="X898" i="1" s="1"/>
  <c r="AB895" i="1"/>
  <c r="AA894" i="1"/>
  <c r="AA977" i="1"/>
  <c r="AA973" i="1"/>
  <c r="AA964" i="1"/>
  <c r="AB949" i="1"/>
  <c r="AB942" i="1"/>
  <c r="AA941" i="1"/>
  <c r="AB934" i="1"/>
  <c r="V934" i="1" s="1"/>
  <c r="X934" i="1" s="1"/>
  <c r="AA933" i="1"/>
  <c r="AA932" i="1"/>
  <c r="AB925" i="1"/>
  <c r="AA924" i="1"/>
  <c r="AB916" i="1"/>
  <c r="V916" i="1" s="1"/>
  <c r="X916" i="1" s="1"/>
  <c r="AA915" i="1"/>
  <c r="AB908" i="1"/>
  <c r="AA907" i="1"/>
  <c r="AA906" i="1"/>
  <c r="AB899" i="1"/>
  <c r="V899" i="1" s="1"/>
  <c r="X899" i="1" s="1"/>
  <c r="AA898" i="1"/>
  <c r="AB896" i="1"/>
  <c r="AA895" i="1"/>
  <c r="AB888" i="1"/>
  <c r="V888" i="1" s="1"/>
  <c r="X888" i="1" s="1"/>
  <c r="AA887" i="1"/>
  <c r="AA886" i="1"/>
  <c r="AB879" i="1"/>
  <c r="AA878" i="1"/>
  <c r="AA1063" i="1"/>
  <c r="AA1008" i="1"/>
  <c r="AA1005" i="1"/>
  <c r="AA956" i="1"/>
  <c r="AB953" i="1"/>
  <c r="V953" i="1" s="1"/>
  <c r="X953" i="1" s="1"/>
  <c r="AA949" i="1"/>
  <c r="AB943" i="1"/>
  <c r="AA942" i="1"/>
  <c r="AB935" i="1"/>
  <c r="AA934" i="1"/>
  <c r="AB926" i="1"/>
  <c r="V926" i="1" s="1"/>
  <c r="X926" i="1" s="1"/>
  <c r="AA925" i="1"/>
  <c r="AB917" i="1"/>
  <c r="AA916" i="1"/>
  <c r="AB909" i="1"/>
  <c r="AA908" i="1"/>
  <c r="AB900" i="1"/>
  <c r="V900" i="1" s="1"/>
  <c r="X900" i="1" s="1"/>
  <c r="AA899" i="1"/>
  <c r="AA896" i="1"/>
  <c r="AB1035" i="1"/>
  <c r="AB1034" i="1"/>
  <c r="V1034" i="1" s="1"/>
  <c r="X1034" i="1" s="1"/>
  <c r="AB1025" i="1"/>
  <c r="V1025" i="1" s="1"/>
  <c r="X1025" i="1" s="1"/>
  <c r="AA1015" i="1"/>
  <c r="AA972" i="1"/>
  <c r="AB966" i="1"/>
  <c r="V966" i="1" s="1"/>
  <c r="X966" i="1" s="1"/>
  <c r="AB963" i="1"/>
  <c r="AA953" i="1"/>
  <c r="AB950" i="1"/>
  <c r="AB944" i="1"/>
  <c r="V944" i="1" s="1"/>
  <c r="X944" i="1" s="1"/>
  <c r="AA943" i="1"/>
  <c r="AB936" i="1"/>
  <c r="AA935" i="1"/>
  <c r="AB927" i="1"/>
  <c r="AA926" i="1"/>
  <c r="AB918" i="1"/>
  <c r="V918" i="1" s="1"/>
  <c r="X918" i="1" s="1"/>
  <c r="AA917" i="1"/>
  <c r="AB910" i="1"/>
  <c r="AA909" i="1"/>
  <c r="AB901" i="1"/>
  <c r="V901" i="1" s="1"/>
  <c r="X901" i="1" s="1"/>
  <c r="AA900" i="1"/>
  <c r="AB890" i="1"/>
  <c r="V890" i="1" s="1"/>
  <c r="X890" i="1" s="1"/>
  <c r="AA889" i="1"/>
  <c r="AB1032" i="1"/>
  <c r="V1032" i="1" s="1"/>
  <c r="X1032" i="1" s="1"/>
  <c r="AB1020" i="1"/>
  <c r="AB998" i="1"/>
  <c r="AB981" i="1"/>
  <c r="AA969" i="1"/>
  <c r="AA963" i="1"/>
  <c r="AB960" i="1"/>
  <c r="AA958" i="1"/>
  <c r="AB954" i="1"/>
  <c r="AB951" i="1"/>
  <c r="V951" i="1" s="1"/>
  <c r="X951" i="1" s="1"/>
  <c r="AA950" i="1"/>
  <c r="AB919" i="1"/>
  <c r="V919" i="1" s="1"/>
  <c r="X919" i="1" s="1"/>
  <c r="AA918" i="1"/>
  <c r="AB904" i="1"/>
  <c r="V904" i="1" s="1"/>
  <c r="X904" i="1" s="1"/>
  <c r="AA892" i="1"/>
  <c r="AA891" i="1"/>
  <c r="AA880" i="1"/>
  <c r="AB875" i="1"/>
  <c r="V875" i="1" s="1"/>
  <c r="X875" i="1" s="1"/>
  <c r="AA874" i="1"/>
  <c r="AB866" i="1"/>
  <c r="V866" i="1" s="1"/>
  <c r="X866" i="1" s="1"/>
  <c r="AA865" i="1"/>
  <c r="AB858" i="1"/>
  <c r="AA857" i="1"/>
  <c r="AB849" i="1"/>
  <c r="AA848" i="1"/>
  <c r="AB841" i="1"/>
  <c r="AA840" i="1"/>
  <c r="AB832" i="1"/>
  <c r="V832" i="1" s="1"/>
  <c r="X832" i="1" s="1"/>
  <c r="AA831" i="1"/>
  <c r="AB911" i="1"/>
  <c r="V911" i="1" s="1"/>
  <c r="X911" i="1" s="1"/>
  <c r="AA910" i="1"/>
  <c r="AB903" i="1"/>
  <c r="AA888" i="1"/>
  <c r="AB881" i="1"/>
  <c r="V881" i="1" s="1"/>
  <c r="X881" i="1" s="1"/>
  <c r="AB876" i="1"/>
  <c r="AA875" i="1"/>
  <c r="AB867" i="1"/>
  <c r="V867" i="1" s="1"/>
  <c r="X867" i="1" s="1"/>
  <c r="AA866" i="1"/>
  <c r="AB859" i="1"/>
  <c r="AA858" i="1"/>
  <c r="AB851" i="1"/>
  <c r="AB850" i="1"/>
  <c r="V850" i="1" s="1"/>
  <c r="X850" i="1" s="1"/>
  <c r="AA849" i="1"/>
  <c r="AB842" i="1"/>
  <c r="V842" i="1" s="1"/>
  <c r="X842" i="1" s="1"/>
  <c r="AA841" i="1"/>
  <c r="AB833" i="1"/>
  <c r="AA832" i="1"/>
  <c r="AB825" i="1"/>
  <c r="V825" i="1" s="1"/>
  <c r="X825" i="1" s="1"/>
  <c r="AB822" i="1"/>
  <c r="AA821" i="1"/>
  <c r="AB813" i="1"/>
  <c r="AA812" i="1"/>
  <c r="AB945" i="1"/>
  <c r="AA944" i="1"/>
  <c r="AB937" i="1"/>
  <c r="V937" i="1" s="1"/>
  <c r="X937" i="1" s="1"/>
  <c r="AA936" i="1"/>
  <c r="AA903" i="1"/>
  <c r="AA890" i="1"/>
  <c r="AB886" i="1"/>
  <c r="V886" i="1" s="1"/>
  <c r="AA884" i="1"/>
  <c r="AB882" i="1"/>
  <c r="AA881" i="1"/>
  <c r="AB877" i="1"/>
  <c r="AA876" i="1"/>
  <c r="AB869" i="1"/>
  <c r="V869" i="1" s="1"/>
  <c r="X869" i="1" s="1"/>
  <c r="AB868" i="1"/>
  <c r="V868" i="1" s="1"/>
  <c r="X868" i="1" s="1"/>
  <c r="AA867" i="1"/>
  <c r="AB860" i="1"/>
  <c r="AA859" i="1"/>
  <c r="AB852" i="1"/>
  <c r="AA851" i="1"/>
  <c r="AA850" i="1"/>
  <c r="AB843" i="1"/>
  <c r="AA842" i="1"/>
  <c r="AA833" i="1"/>
  <c r="AB826" i="1"/>
  <c r="AA825" i="1"/>
  <c r="AB823" i="1"/>
  <c r="AA822" i="1"/>
  <c r="AA813" i="1"/>
  <c r="AB902" i="1"/>
  <c r="V902" i="1" s="1"/>
  <c r="X902" i="1" s="1"/>
  <c r="AA882" i="1"/>
  <c r="AA877" i="1"/>
  <c r="AB870" i="1"/>
  <c r="AA869" i="1"/>
  <c r="AA868" i="1"/>
  <c r="AB861" i="1"/>
  <c r="V861" i="1" s="1"/>
  <c r="X861" i="1" s="1"/>
  <c r="AA860" i="1"/>
  <c r="AB853" i="1"/>
  <c r="V853" i="1" s="1"/>
  <c r="X853" i="1" s="1"/>
  <c r="AA852" i="1"/>
  <c r="AB844" i="1"/>
  <c r="AA843" i="1"/>
  <c r="AB835" i="1"/>
  <c r="AA834" i="1"/>
  <c r="AB827" i="1"/>
  <c r="V827" i="1" s="1"/>
  <c r="X827" i="1" s="1"/>
  <c r="AA826" i="1"/>
  <c r="AA823" i="1"/>
  <c r="AB815" i="1"/>
  <c r="AA814" i="1"/>
  <c r="AB807" i="1"/>
  <c r="AA902" i="1"/>
  <c r="AB878" i="1"/>
  <c r="V878" i="1" s="1"/>
  <c r="X878" i="1" s="1"/>
  <c r="AB871" i="1"/>
  <c r="V871" i="1" s="1"/>
  <c r="X871" i="1" s="1"/>
  <c r="AA870" i="1"/>
  <c r="AB862" i="1"/>
  <c r="V862" i="1" s="1"/>
  <c r="X862" i="1" s="1"/>
  <c r="AA861" i="1"/>
  <c r="AB854" i="1"/>
  <c r="AA853" i="1"/>
  <c r="AB845" i="1"/>
  <c r="V845" i="1" s="1"/>
  <c r="X845" i="1" s="1"/>
  <c r="AA844" i="1"/>
  <c r="AB837" i="1"/>
  <c r="V837" i="1" s="1"/>
  <c r="X837" i="1" s="1"/>
  <c r="AB836" i="1"/>
  <c r="V836" i="1" s="1"/>
  <c r="X836" i="1" s="1"/>
  <c r="AA835" i="1"/>
  <c r="AB828" i="1"/>
  <c r="AA827" i="1"/>
  <c r="AB928" i="1"/>
  <c r="V928" i="1" s="1"/>
  <c r="X928" i="1" s="1"/>
  <c r="AA927" i="1"/>
  <c r="AA901" i="1"/>
  <c r="AB894" i="1"/>
  <c r="V894" i="1" s="1"/>
  <c r="X894" i="1" s="1"/>
  <c r="AB893" i="1"/>
  <c r="V893" i="1" s="1"/>
  <c r="X893" i="1" s="1"/>
  <c r="AB885" i="1"/>
  <c r="AB872" i="1"/>
  <c r="V872" i="1" s="1"/>
  <c r="X872" i="1" s="1"/>
  <c r="AA871" i="1"/>
  <c r="AB863" i="1"/>
  <c r="AA862" i="1"/>
  <c r="AB855" i="1"/>
  <c r="AA854" i="1"/>
  <c r="AB846" i="1"/>
  <c r="AA845" i="1"/>
  <c r="AB838" i="1"/>
  <c r="AA837" i="1"/>
  <c r="AA836" i="1"/>
  <c r="AB829" i="1"/>
  <c r="AA828" i="1"/>
  <c r="AB818" i="1"/>
  <c r="AB817" i="1"/>
  <c r="AA816" i="1"/>
  <c r="AB809" i="1"/>
  <c r="AB897" i="1"/>
  <c r="V897" i="1" s="1"/>
  <c r="X897" i="1" s="1"/>
  <c r="AA893" i="1"/>
  <c r="AB889" i="1"/>
  <c r="V889" i="1" s="1"/>
  <c r="X889" i="1" s="1"/>
  <c r="AB887" i="1"/>
  <c r="V887" i="1" s="1"/>
  <c r="X887" i="1" s="1"/>
  <c r="AA885" i="1"/>
  <c r="AA883" i="1"/>
  <c r="AA879" i="1"/>
  <c r="AB873" i="1"/>
  <c r="V873" i="1" s="1"/>
  <c r="X873" i="1" s="1"/>
  <c r="AA872" i="1"/>
  <c r="AA863" i="1"/>
  <c r="AB856" i="1"/>
  <c r="AA855" i="1"/>
  <c r="AB847" i="1"/>
  <c r="V847" i="1" s="1"/>
  <c r="X847" i="1" s="1"/>
  <c r="AA846" i="1"/>
  <c r="AB839" i="1"/>
  <c r="V839" i="1" s="1"/>
  <c r="X839" i="1" s="1"/>
  <c r="AA838" i="1"/>
  <c r="AB830" i="1"/>
  <c r="AB920" i="1"/>
  <c r="AA897" i="1"/>
  <c r="AB892" i="1"/>
  <c r="V892" i="1" s="1"/>
  <c r="X892" i="1" s="1"/>
  <c r="AB891" i="1"/>
  <c r="V891" i="1" s="1"/>
  <c r="X891" i="1" s="1"/>
  <c r="AB880" i="1"/>
  <c r="V880" i="1" s="1"/>
  <c r="X880" i="1" s="1"/>
  <c r="AB874" i="1"/>
  <c r="V874" i="1" s="1"/>
  <c r="X874" i="1" s="1"/>
  <c r="AA873" i="1"/>
  <c r="AA864" i="1"/>
  <c r="AB857" i="1"/>
  <c r="V857" i="1" s="1"/>
  <c r="X857" i="1" s="1"/>
  <c r="AA856" i="1"/>
  <c r="AA847" i="1"/>
  <c r="AB840" i="1"/>
  <c r="AA839" i="1"/>
  <c r="AB831" i="1"/>
  <c r="V831" i="1" s="1"/>
  <c r="X831" i="1" s="1"/>
  <c r="AA830" i="1"/>
  <c r="AA824" i="1"/>
  <c r="AB820" i="1"/>
  <c r="V820" i="1" s="1"/>
  <c r="X820" i="1" s="1"/>
  <c r="AA819" i="1"/>
  <c r="AB811" i="1"/>
  <c r="AA829" i="1"/>
  <c r="AB821" i="1"/>
  <c r="AA810" i="1"/>
  <c r="AB806" i="1"/>
  <c r="V806" i="1" s="1"/>
  <c r="X806" i="1" s="1"/>
  <c r="AA805" i="1"/>
  <c r="AA796" i="1"/>
  <c r="AB789" i="1"/>
  <c r="AA788" i="1"/>
  <c r="AA779" i="1"/>
  <c r="AB772" i="1"/>
  <c r="AA771" i="1"/>
  <c r="AB763" i="1"/>
  <c r="V763" i="1" s="1"/>
  <c r="X763" i="1" s="1"/>
  <c r="AA762" i="1"/>
  <c r="AB755" i="1"/>
  <c r="V755" i="1" s="1"/>
  <c r="X755" i="1" s="1"/>
  <c r="AB752" i="1"/>
  <c r="AA751" i="1"/>
  <c r="AB743" i="1"/>
  <c r="AA742" i="1"/>
  <c r="AB734" i="1"/>
  <c r="V734" i="1" s="1"/>
  <c r="X734" i="1" s="1"/>
  <c r="AA733" i="1"/>
  <c r="AB726" i="1"/>
  <c r="AA725" i="1"/>
  <c r="AB715" i="1"/>
  <c r="AA714" i="1"/>
  <c r="AB706" i="1"/>
  <c r="V706" i="1" s="1"/>
  <c r="X706" i="1" s="1"/>
  <c r="AA705" i="1"/>
  <c r="AB698" i="1"/>
  <c r="V698" i="1" s="1"/>
  <c r="X698" i="1" s="1"/>
  <c r="AB695" i="1"/>
  <c r="V695" i="1" s="1"/>
  <c r="X695" i="1" s="1"/>
  <c r="AA694" i="1"/>
  <c r="AA693" i="1"/>
  <c r="AB686" i="1"/>
  <c r="AA685" i="1"/>
  <c r="AB677" i="1"/>
  <c r="AA676" i="1"/>
  <c r="AB669" i="1"/>
  <c r="V669" i="1" s="1"/>
  <c r="X669" i="1" s="1"/>
  <c r="AA668" i="1"/>
  <c r="AB660" i="1"/>
  <c r="V660" i="1" s="1"/>
  <c r="X660" i="1" s="1"/>
  <c r="AA659" i="1"/>
  <c r="AB652" i="1"/>
  <c r="V652" i="1" s="1"/>
  <c r="X652" i="1" s="1"/>
  <c r="AA651" i="1"/>
  <c r="AB812" i="1"/>
  <c r="V812" i="1" s="1"/>
  <c r="X812" i="1" s="1"/>
  <c r="AA806" i="1"/>
  <c r="AB798" i="1"/>
  <c r="V798" i="1" s="1"/>
  <c r="X798" i="1" s="1"/>
  <c r="AA797" i="1"/>
  <c r="AB790" i="1"/>
  <c r="V790" i="1" s="1"/>
  <c r="X790" i="1" s="1"/>
  <c r="AA789" i="1"/>
  <c r="AA780" i="1"/>
  <c r="AB773" i="1"/>
  <c r="AA772" i="1"/>
  <c r="AA763" i="1"/>
  <c r="AB756" i="1"/>
  <c r="AA755" i="1"/>
  <c r="AB753" i="1"/>
  <c r="AA752" i="1"/>
  <c r="AB744" i="1"/>
  <c r="AA743" i="1"/>
  <c r="AB735" i="1"/>
  <c r="V735" i="1" s="1"/>
  <c r="X735" i="1" s="1"/>
  <c r="AA734" i="1"/>
  <c r="AB727" i="1"/>
  <c r="V727" i="1" s="1"/>
  <c r="X727" i="1" s="1"/>
  <c r="AA726" i="1"/>
  <c r="AB716" i="1"/>
  <c r="AA715" i="1"/>
  <c r="AA706" i="1"/>
  <c r="AB699" i="1"/>
  <c r="AA698" i="1"/>
  <c r="AB696" i="1"/>
  <c r="AA695" i="1"/>
  <c r="AB687" i="1"/>
  <c r="AA686" i="1"/>
  <c r="AB679" i="1"/>
  <c r="AB678" i="1"/>
  <c r="V678" i="1" s="1"/>
  <c r="X678" i="1" s="1"/>
  <c r="AA677" i="1"/>
  <c r="AB670" i="1"/>
  <c r="V670" i="1" s="1"/>
  <c r="X670" i="1" s="1"/>
  <c r="AA669" i="1"/>
  <c r="AB661" i="1"/>
  <c r="AA660" i="1"/>
  <c r="AB653" i="1"/>
  <c r="AA652" i="1"/>
  <c r="AA820" i="1"/>
  <c r="AB819" i="1"/>
  <c r="V819" i="1" s="1"/>
  <c r="X819" i="1" s="1"/>
  <c r="AB816" i="1"/>
  <c r="V816" i="1" s="1"/>
  <c r="X816" i="1" s="1"/>
  <c r="AA807" i="1"/>
  <c r="AB800" i="1"/>
  <c r="AB799" i="1"/>
  <c r="V799" i="1" s="1"/>
  <c r="X799" i="1" s="1"/>
  <c r="AA798" i="1"/>
  <c r="AB791" i="1"/>
  <c r="AA790" i="1"/>
  <c r="AB782" i="1"/>
  <c r="AA781" i="1"/>
  <c r="AB774" i="1"/>
  <c r="V774" i="1" s="1"/>
  <c r="X774" i="1" s="1"/>
  <c r="AA773" i="1"/>
  <c r="AB765" i="1"/>
  <c r="AA764" i="1"/>
  <c r="AB757" i="1"/>
  <c r="V757" i="1" s="1"/>
  <c r="X757" i="1" s="1"/>
  <c r="AA756" i="1"/>
  <c r="AA753" i="1"/>
  <c r="AB745" i="1"/>
  <c r="V745" i="1" s="1"/>
  <c r="X745" i="1" s="1"/>
  <c r="AA744" i="1"/>
  <c r="AB737" i="1"/>
  <c r="V737" i="1" s="1"/>
  <c r="X737" i="1" s="1"/>
  <c r="AB736" i="1"/>
  <c r="AA735" i="1"/>
  <c r="AB728" i="1"/>
  <c r="AA727" i="1"/>
  <c r="AB717" i="1"/>
  <c r="V717" i="1" s="1"/>
  <c r="X717" i="1" s="1"/>
  <c r="AA716" i="1"/>
  <c r="AB708" i="1"/>
  <c r="V708" i="1" s="1"/>
  <c r="X708" i="1" s="1"/>
  <c r="AA707" i="1"/>
  <c r="AB700" i="1"/>
  <c r="V700" i="1" s="1"/>
  <c r="X700" i="1" s="1"/>
  <c r="AA699" i="1"/>
  <c r="AA696" i="1"/>
  <c r="AB688" i="1"/>
  <c r="V688" i="1" s="1"/>
  <c r="X688" i="1" s="1"/>
  <c r="AA687" i="1"/>
  <c r="AB680" i="1"/>
  <c r="AA679" i="1"/>
  <c r="AA678" i="1"/>
  <c r="AB671" i="1"/>
  <c r="AA670" i="1"/>
  <c r="AA661" i="1"/>
  <c r="AB654" i="1"/>
  <c r="AA653" i="1"/>
  <c r="AB808" i="1"/>
  <c r="AB801" i="1"/>
  <c r="AA800" i="1"/>
  <c r="AA799" i="1"/>
  <c r="AB792" i="1"/>
  <c r="AA791" i="1"/>
  <c r="AB784" i="1"/>
  <c r="AB783" i="1"/>
  <c r="V783" i="1" s="1"/>
  <c r="X783" i="1" s="1"/>
  <c r="AA782" i="1"/>
  <c r="AB775" i="1"/>
  <c r="AA774" i="1"/>
  <c r="AB766" i="1"/>
  <c r="AA765" i="1"/>
  <c r="AB758" i="1"/>
  <c r="AA757" i="1"/>
  <c r="AA745" i="1"/>
  <c r="AB738" i="1"/>
  <c r="AA737" i="1"/>
  <c r="AA736" i="1"/>
  <c r="AB729" i="1"/>
  <c r="AA728" i="1"/>
  <c r="AA719" i="1"/>
  <c r="AB718" i="1"/>
  <c r="AA717" i="1"/>
  <c r="AB710" i="1"/>
  <c r="AB709" i="1"/>
  <c r="AA708" i="1"/>
  <c r="AB701" i="1"/>
  <c r="AA700" i="1"/>
  <c r="AA688" i="1"/>
  <c r="AB681" i="1"/>
  <c r="AA680" i="1"/>
  <c r="AB672" i="1"/>
  <c r="AA671" i="1"/>
  <c r="AB663" i="1"/>
  <c r="AA662" i="1"/>
  <c r="AA818" i="1"/>
  <c r="AA815" i="1"/>
  <c r="AA811" i="1"/>
  <c r="AA808" i="1"/>
  <c r="AB802" i="1"/>
  <c r="AA801" i="1"/>
  <c r="AB793" i="1"/>
  <c r="V793" i="1" s="1"/>
  <c r="X793" i="1" s="1"/>
  <c r="AA792" i="1"/>
  <c r="AB785" i="1"/>
  <c r="AA784" i="1"/>
  <c r="AA783" i="1"/>
  <c r="AB776" i="1"/>
  <c r="AA775" i="1"/>
  <c r="AB768" i="1"/>
  <c r="AB767" i="1"/>
  <c r="V767" i="1" s="1"/>
  <c r="X767" i="1" s="1"/>
  <c r="AA766" i="1"/>
  <c r="AB759" i="1"/>
  <c r="AA758" i="1"/>
  <c r="AB747" i="1"/>
  <c r="AA746" i="1"/>
  <c r="AB739" i="1"/>
  <c r="AA738" i="1"/>
  <c r="AB730" i="1"/>
  <c r="V730" i="1" s="1"/>
  <c r="X730" i="1" s="1"/>
  <c r="AA729" i="1"/>
  <c r="AB721" i="1"/>
  <c r="V721" i="1" s="1"/>
  <c r="X721" i="1" s="1"/>
  <c r="AA720" i="1"/>
  <c r="AA718" i="1"/>
  <c r="AB711" i="1"/>
  <c r="AA710" i="1"/>
  <c r="AA709" i="1"/>
  <c r="AB702" i="1"/>
  <c r="V702" i="1" s="1"/>
  <c r="X702" i="1" s="1"/>
  <c r="AA701" i="1"/>
  <c r="AB690" i="1"/>
  <c r="AA689" i="1"/>
  <c r="AB682" i="1"/>
  <c r="AA681" i="1"/>
  <c r="AB673" i="1"/>
  <c r="AA672" i="1"/>
  <c r="AB664" i="1"/>
  <c r="V664" i="1" s="1"/>
  <c r="X664" i="1" s="1"/>
  <c r="AA663" i="1"/>
  <c r="AB656" i="1"/>
  <c r="AA655" i="1"/>
  <c r="AB648" i="1"/>
  <c r="AB824" i="1"/>
  <c r="V824" i="1" s="1"/>
  <c r="X824" i="1" s="1"/>
  <c r="AB803" i="1"/>
  <c r="V803" i="1" s="1"/>
  <c r="X803" i="1" s="1"/>
  <c r="AA802" i="1"/>
  <c r="AB794" i="1"/>
  <c r="V794" i="1" s="1"/>
  <c r="X794" i="1" s="1"/>
  <c r="AA793" i="1"/>
  <c r="AB786" i="1"/>
  <c r="AA785" i="1"/>
  <c r="AB777" i="1"/>
  <c r="AA776" i="1"/>
  <c r="AB769" i="1"/>
  <c r="V769" i="1" s="1"/>
  <c r="X769" i="1" s="1"/>
  <c r="AA768" i="1"/>
  <c r="AA767" i="1"/>
  <c r="AB760" i="1"/>
  <c r="AA759" i="1"/>
  <c r="AB754" i="1"/>
  <c r="V754" i="1" s="1"/>
  <c r="X754" i="1" s="1"/>
  <c r="AB749" i="1"/>
  <c r="AB748" i="1"/>
  <c r="AA747" i="1"/>
  <c r="AB740" i="1"/>
  <c r="V740" i="1" s="1"/>
  <c r="X740" i="1" s="1"/>
  <c r="AA739" i="1"/>
  <c r="AB731" i="1"/>
  <c r="AA730" i="1"/>
  <c r="AB723" i="1"/>
  <c r="AB722" i="1"/>
  <c r="AA721" i="1"/>
  <c r="AB712" i="1"/>
  <c r="AA711" i="1"/>
  <c r="AB703" i="1"/>
  <c r="V703" i="1" s="1"/>
  <c r="X703" i="1" s="1"/>
  <c r="AA702" i="1"/>
  <c r="AB697" i="1"/>
  <c r="V697" i="1" s="1"/>
  <c r="X697" i="1" s="1"/>
  <c r="AB691" i="1"/>
  <c r="V691" i="1" s="1"/>
  <c r="X691" i="1" s="1"/>
  <c r="AA690" i="1"/>
  <c r="AB683" i="1"/>
  <c r="V683" i="1" s="1"/>
  <c r="X683" i="1" s="1"/>
  <c r="AA682" i="1"/>
  <c r="AB674" i="1"/>
  <c r="AA673" i="1"/>
  <c r="AB666" i="1"/>
  <c r="AB665" i="1"/>
  <c r="V665" i="1" s="1"/>
  <c r="X665" i="1" s="1"/>
  <c r="AA664" i="1"/>
  <c r="AB657" i="1"/>
  <c r="AA656" i="1"/>
  <c r="AB649" i="1"/>
  <c r="AA809" i="1"/>
  <c r="AB804" i="1"/>
  <c r="V804" i="1" s="1"/>
  <c r="X804" i="1" s="1"/>
  <c r="AA803" i="1"/>
  <c r="AB795" i="1"/>
  <c r="AA794" i="1"/>
  <c r="AB787" i="1"/>
  <c r="AA786" i="1"/>
  <c r="AB778" i="1"/>
  <c r="V778" i="1" s="1"/>
  <c r="X778" i="1" s="1"/>
  <c r="AA777" i="1"/>
  <c r="AB770" i="1"/>
  <c r="V770" i="1" s="1"/>
  <c r="X770" i="1" s="1"/>
  <c r="AA769" i="1"/>
  <c r="AB761" i="1"/>
  <c r="V761" i="1" s="1"/>
  <c r="X761" i="1" s="1"/>
  <c r="AA760" i="1"/>
  <c r="AA754" i="1"/>
  <c r="AB750" i="1"/>
  <c r="V750" i="1" s="1"/>
  <c r="X750" i="1" s="1"/>
  <c r="AA749" i="1"/>
  <c r="AA748" i="1"/>
  <c r="AB741" i="1"/>
  <c r="V741" i="1" s="1"/>
  <c r="X741" i="1" s="1"/>
  <c r="AA740" i="1"/>
  <c r="AB732" i="1"/>
  <c r="V732" i="1" s="1"/>
  <c r="X732" i="1" s="1"/>
  <c r="AA731" i="1"/>
  <c r="AB724" i="1"/>
  <c r="AA723" i="1"/>
  <c r="AA722" i="1"/>
  <c r="AB713" i="1"/>
  <c r="AA712" i="1"/>
  <c r="AB704" i="1"/>
  <c r="AA703" i="1"/>
  <c r="AA697" i="1"/>
  <c r="AB692" i="1"/>
  <c r="AA691" i="1"/>
  <c r="AB684" i="1"/>
  <c r="AA683" i="1"/>
  <c r="AB675" i="1"/>
  <c r="V675" i="1" s="1"/>
  <c r="X675" i="1" s="1"/>
  <c r="AA674" i="1"/>
  <c r="AB667" i="1"/>
  <c r="AA666" i="1"/>
  <c r="AA665" i="1"/>
  <c r="AB658" i="1"/>
  <c r="AA657" i="1"/>
  <c r="AB650" i="1"/>
  <c r="AA817" i="1"/>
  <c r="AB810" i="1"/>
  <c r="V810" i="1" s="1"/>
  <c r="X810" i="1" s="1"/>
  <c r="AB805" i="1"/>
  <c r="V805" i="1" s="1"/>
  <c r="X805" i="1" s="1"/>
  <c r="AA804" i="1"/>
  <c r="AB796" i="1"/>
  <c r="AA795" i="1"/>
  <c r="AB788" i="1"/>
  <c r="V788" i="1" s="1"/>
  <c r="X788" i="1" s="1"/>
  <c r="AA787" i="1"/>
  <c r="AB779" i="1"/>
  <c r="V779" i="1" s="1"/>
  <c r="X779" i="1" s="1"/>
  <c r="AA778" i="1"/>
  <c r="AB771" i="1"/>
  <c r="V771" i="1" s="1"/>
  <c r="X771" i="1" s="1"/>
  <c r="AA770" i="1"/>
  <c r="AB762" i="1"/>
  <c r="AA761" i="1"/>
  <c r="AB751" i="1"/>
  <c r="V751" i="1" s="1"/>
  <c r="X751" i="1" s="1"/>
  <c r="AA750" i="1"/>
  <c r="AB742" i="1"/>
  <c r="V742" i="1" s="1"/>
  <c r="X742" i="1" s="1"/>
  <c r="AA741" i="1"/>
  <c r="AA732" i="1"/>
  <c r="AB725" i="1"/>
  <c r="V725" i="1" s="1"/>
  <c r="X725" i="1" s="1"/>
  <c r="AA724" i="1"/>
  <c r="AB714" i="1"/>
  <c r="V714" i="1" s="1"/>
  <c r="X714" i="1" s="1"/>
  <c r="AA713" i="1"/>
  <c r="AB705" i="1"/>
  <c r="V705" i="1" s="1"/>
  <c r="X705" i="1" s="1"/>
  <c r="AA704" i="1"/>
  <c r="AB694" i="1"/>
  <c r="V694" i="1" s="1"/>
  <c r="X694" i="1" s="1"/>
  <c r="AB693" i="1"/>
  <c r="AA692" i="1"/>
  <c r="AB685" i="1"/>
  <c r="V685" i="1" s="1"/>
  <c r="X685" i="1" s="1"/>
  <c r="AA684" i="1"/>
  <c r="AA675" i="1"/>
  <c r="AB668" i="1"/>
  <c r="AA667" i="1"/>
  <c r="AB659" i="1"/>
  <c r="V659" i="1" s="1"/>
  <c r="X659" i="1" s="1"/>
  <c r="AA658" i="1"/>
  <c r="AB651" i="1"/>
  <c r="V651" i="1" s="1"/>
  <c r="X651" i="1" s="1"/>
  <c r="AA650" i="1"/>
  <c r="AA647" i="1"/>
  <c r="AB641" i="1"/>
  <c r="V641" i="1" s="1"/>
  <c r="X641" i="1" s="1"/>
  <c r="AA640" i="1"/>
  <c r="AA634" i="1"/>
  <c r="AB630" i="1"/>
  <c r="V630" i="1" s="1"/>
  <c r="X630" i="1" s="1"/>
  <c r="AA629" i="1"/>
  <c r="AB622" i="1"/>
  <c r="V622" i="1" s="1"/>
  <c r="X622" i="1" s="1"/>
  <c r="AA621" i="1"/>
  <c r="AB614" i="1"/>
  <c r="AA613" i="1"/>
  <c r="AB606" i="1"/>
  <c r="AA605" i="1"/>
  <c r="AB598" i="1"/>
  <c r="V598" i="1" s="1"/>
  <c r="X598" i="1" s="1"/>
  <c r="AA597" i="1"/>
  <c r="AB590" i="1"/>
  <c r="AA589" i="1"/>
  <c r="AB582" i="1"/>
  <c r="AA581" i="1"/>
  <c r="AB574" i="1"/>
  <c r="V574" i="1" s="1"/>
  <c r="X574" i="1" s="1"/>
  <c r="AA573" i="1"/>
  <c r="AA565" i="1"/>
  <c r="AB558" i="1"/>
  <c r="V558" i="1" s="1"/>
  <c r="X558" i="1" s="1"/>
  <c r="AA554" i="1"/>
  <c r="AB547" i="1"/>
  <c r="AA546" i="1"/>
  <c r="AB539" i="1"/>
  <c r="V539" i="1" s="1"/>
  <c r="X539" i="1" s="1"/>
  <c r="AA538" i="1"/>
  <c r="AA530" i="1"/>
  <c r="AB642" i="1"/>
  <c r="AA641" i="1"/>
  <c r="AB631" i="1"/>
  <c r="V631" i="1" s="1"/>
  <c r="X631" i="1" s="1"/>
  <c r="AA630" i="1"/>
  <c r="AB623" i="1"/>
  <c r="V623" i="1" s="1"/>
  <c r="X623" i="1" s="1"/>
  <c r="AA622" i="1"/>
  <c r="AB615" i="1"/>
  <c r="AA614" i="1"/>
  <c r="AB607" i="1"/>
  <c r="AA606" i="1"/>
  <c r="AB599" i="1"/>
  <c r="AA598" i="1"/>
  <c r="AB591" i="1"/>
  <c r="AA590" i="1"/>
  <c r="AB583" i="1"/>
  <c r="V583" i="1" s="1"/>
  <c r="X583" i="1" s="1"/>
  <c r="AA582" i="1"/>
  <c r="AB575" i="1"/>
  <c r="AA574" i="1"/>
  <c r="AB567" i="1"/>
  <c r="AA566" i="1"/>
  <c r="AB559" i="1"/>
  <c r="AA558" i="1"/>
  <c r="AB556" i="1"/>
  <c r="AA555" i="1"/>
  <c r="AB548" i="1"/>
  <c r="AA547" i="1"/>
  <c r="AB540" i="1"/>
  <c r="AA539" i="1"/>
  <c r="AB532" i="1"/>
  <c r="AA531" i="1"/>
  <c r="AB643" i="1"/>
  <c r="AA642" i="1"/>
  <c r="AB635" i="1"/>
  <c r="V635" i="1" s="1"/>
  <c r="X635" i="1" s="1"/>
  <c r="AA631" i="1"/>
  <c r="AA623" i="1"/>
  <c r="AB616" i="1"/>
  <c r="AA615" i="1"/>
  <c r="AB608" i="1"/>
  <c r="AA607" i="1"/>
  <c r="AB600" i="1"/>
  <c r="V600" i="1" s="1"/>
  <c r="X600" i="1" s="1"/>
  <c r="AA599" i="1"/>
  <c r="AB592" i="1"/>
  <c r="AA591" i="1"/>
  <c r="AA583" i="1"/>
  <c r="AB576" i="1"/>
  <c r="AA575" i="1"/>
  <c r="AB568" i="1"/>
  <c r="AA567" i="1"/>
  <c r="AA559" i="1"/>
  <c r="AA556" i="1"/>
  <c r="AB549" i="1"/>
  <c r="AA548" i="1"/>
  <c r="AA648" i="1"/>
  <c r="AB644" i="1"/>
  <c r="V644" i="1" s="1"/>
  <c r="X644" i="1" s="1"/>
  <c r="AA643" i="1"/>
  <c r="AB636" i="1"/>
  <c r="V636" i="1" s="1"/>
  <c r="X636" i="1" s="1"/>
  <c r="AA635" i="1"/>
  <c r="AA632" i="1"/>
  <c r="AB625" i="1"/>
  <c r="V625" i="1" s="1"/>
  <c r="X625" i="1" s="1"/>
  <c r="AA624" i="1"/>
  <c r="AB617" i="1"/>
  <c r="V617" i="1" s="1"/>
  <c r="X617" i="1" s="1"/>
  <c r="AA616" i="1"/>
  <c r="AB609" i="1"/>
  <c r="AA608" i="1"/>
  <c r="AB601" i="1"/>
  <c r="V601" i="1" s="1"/>
  <c r="X601" i="1" s="1"/>
  <c r="AA600" i="1"/>
  <c r="AB593" i="1"/>
  <c r="AA592" i="1"/>
  <c r="AA584" i="1"/>
  <c r="AB577" i="1"/>
  <c r="AA576" i="1"/>
  <c r="AB569" i="1"/>
  <c r="V569" i="1" s="1"/>
  <c r="X569" i="1" s="1"/>
  <c r="AA568" i="1"/>
  <c r="AB561" i="1"/>
  <c r="V561" i="1" s="1"/>
  <c r="X561" i="1" s="1"/>
  <c r="AA560" i="1"/>
  <c r="AB550" i="1"/>
  <c r="V550" i="1" s="1"/>
  <c r="X550" i="1" s="1"/>
  <c r="AA549" i="1"/>
  <c r="AB542" i="1"/>
  <c r="AA541" i="1"/>
  <c r="AB534" i="1"/>
  <c r="V534" i="1" s="1"/>
  <c r="X534" i="1" s="1"/>
  <c r="AA533" i="1"/>
  <c r="AB526" i="1"/>
  <c r="AA525" i="1"/>
  <c r="AA517" i="1"/>
  <c r="AA515" i="1"/>
  <c r="AB512" i="1"/>
  <c r="AA511" i="1"/>
  <c r="AA644" i="1"/>
  <c r="AB637" i="1"/>
  <c r="AA636" i="1"/>
  <c r="AA633" i="1"/>
  <c r="AB626" i="1"/>
  <c r="V626" i="1" s="1"/>
  <c r="X626" i="1" s="1"/>
  <c r="AA625" i="1"/>
  <c r="AA617" i="1"/>
  <c r="AB610" i="1"/>
  <c r="AA609" i="1"/>
  <c r="AA601" i="1"/>
  <c r="AB594" i="1"/>
  <c r="AA593" i="1"/>
  <c r="AB586" i="1"/>
  <c r="AA585" i="1"/>
  <c r="AB578" i="1"/>
  <c r="V578" i="1" s="1"/>
  <c r="X578" i="1" s="1"/>
  <c r="AA577" i="1"/>
  <c r="AB570" i="1"/>
  <c r="AA569" i="1"/>
  <c r="AB562" i="1"/>
  <c r="AA561" i="1"/>
  <c r="AB551" i="1"/>
  <c r="AA550" i="1"/>
  <c r="AB543" i="1"/>
  <c r="AA542" i="1"/>
  <c r="AB535" i="1"/>
  <c r="AA534" i="1"/>
  <c r="AB527" i="1"/>
  <c r="AA654" i="1"/>
  <c r="AB646" i="1"/>
  <c r="V646" i="1" s="1"/>
  <c r="X646" i="1" s="1"/>
  <c r="AA645" i="1"/>
  <c r="AB638" i="1"/>
  <c r="V638" i="1" s="1"/>
  <c r="X638" i="1" s="1"/>
  <c r="AA637" i="1"/>
  <c r="AB627" i="1"/>
  <c r="V627" i="1" s="1"/>
  <c r="X627" i="1" s="1"/>
  <c r="AA626" i="1"/>
  <c r="AA618" i="1"/>
  <c r="AB611" i="1"/>
  <c r="V611" i="1" s="1"/>
  <c r="X611" i="1" s="1"/>
  <c r="AA610" i="1"/>
  <c r="AB603" i="1"/>
  <c r="AA602" i="1"/>
  <c r="AB595" i="1"/>
  <c r="V595" i="1" s="1"/>
  <c r="X595" i="1" s="1"/>
  <c r="AA594" i="1"/>
  <c r="AB587" i="1"/>
  <c r="AA586" i="1"/>
  <c r="AB579" i="1"/>
  <c r="V579" i="1" s="1"/>
  <c r="X579" i="1" s="1"/>
  <c r="AA578" i="1"/>
  <c r="AB571" i="1"/>
  <c r="AA570" i="1"/>
  <c r="AB563" i="1"/>
  <c r="AA562" i="1"/>
  <c r="AB557" i="1"/>
  <c r="V557" i="1" s="1"/>
  <c r="X557" i="1" s="1"/>
  <c r="AB552" i="1"/>
  <c r="AA551" i="1"/>
  <c r="AB544" i="1"/>
  <c r="AA543" i="1"/>
  <c r="AB536" i="1"/>
  <c r="V536" i="1" s="1"/>
  <c r="X536" i="1" s="1"/>
  <c r="AA535" i="1"/>
  <c r="AB528" i="1"/>
  <c r="AA527" i="1"/>
  <c r="AB520" i="1"/>
  <c r="AA519" i="1"/>
  <c r="AA513" i="1"/>
  <c r="AB506" i="1"/>
  <c r="AA505" i="1"/>
  <c r="AA649" i="1"/>
  <c r="AA646" i="1"/>
  <c r="AB639" i="1"/>
  <c r="V639" i="1" s="1"/>
  <c r="X639" i="1" s="1"/>
  <c r="AA638" i="1"/>
  <c r="AB628" i="1"/>
  <c r="AA627" i="1"/>
  <c r="AB620" i="1"/>
  <c r="AA619" i="1"/>
  <c r="AB612" i="1"/>
  <c r="V612" i="1" s="1"/>
  <c r="X612" i="1" s="1"/>
  <c r="AA611" i="1"/>
  <c r="AB604" i="1"/>
  <c r="AA603" i="1"/>
  <c r="AB596" i="1"/>
  <c r="AA595" i="1"/>
  <c r="AB588" i="1"/>
  <c r="AA587" i="1"/>
  <c r="AA579" i="1"/>
  <c r="AB572" i="1"/>
  <c r="AA571" i="1"/>
  <c r="AB564" i="1"/>
  <c r="AA563" i="1"/>
  <c r="AA557" i="1"/>
  <c r="AA552" i="1"/>
  <c r="AA544" i="1"/>
  <c r="AB537" i="1"/>
  <c r="AA536" i="1"/>
  <c r="AB529" i="1"/>
  <c r="AA528" i="1"/>
  <c r="AB521" i="1"/>
  <c r="V521" i="1" s="1"/>
  <c r="X521" i="1" s="1"/>
  <c r="AA520" i="1"/>
  <c r="AB507" i="1"/>
  <c r="AA506" i="1"/>
  <c r="AB499" i="1"/>
  <c r="AB647" i="1"/>
  <c r="V647" i="1" s="1"/>
  <c r="X647" i="1" s="1"/>
  <c r="AB640" i="1"/>
  <c r="V640" i="1" s="1"/>
  <c r="X640" i="1" s="1"/>
  <c r="AA639" i="1"/>
  <c r="AB634" i="1"/>
  <c r="V634" i="1" s="1"/>
  <c r="X634" i="1" s="1"/>
  <c r="AB629" i="1"/>
  <c r="V629" i="1" s="1"/>
  <c r="X629" i="1" s="1"/>
  <c r="AA628" i="1"/>
  <c r="AB621" i="1"/>
  <c r="V621" i="1" s="1"/>
  <c r="X621" i="1" s="1"/>
  <c r="AA620" i="1"/>
  <c r="AB613" i="1"/>
  <c r="AA612" i="1"/>
  <c r="AB605" i="1"/>
  <c r="V605" i="1" s="1"/>
  <c r="X605" i="1" s="1"/>
  <c r="AA604" i="1"/>
  <c r="AB597" i="1"/>
  <c r="V597" i="1" s="1"/>
  <c r="X597" i="1" s="1"/>
  <c r="AA596" i="1"/>
  <c r="AB589" i="1"/>
  <c r="V589" i="1" s="1"/>
  <c r="X589" i="1" s="1"/>
  <c r="AA588" i="1"/>
  <c r="AB581" i="1"/>
  <c r="AA580" i="1"/>
  <c r="AB573" i="1"/>
  <c r="AA572" i="1"/>
  <c r="AB565" i="1"/>
  <c r="AA564" i="1"/>
  <c r="AB554" i="1"/>
  <c r="V554" i="1" s="1"/>
  <c r="X554" i="1" s="1"/>
  <c r="AA553" i="1"/>
  <c r="AB546" i="1"/>
  <c r="V546" i="1" s="1"/>
  <c r="X546" i="1" s="1"/>
  <c r="AA545" i="1"/>
  <c r="AB538" i="1"/>
  <c r="V538" i="1" s="1"/>
  <c r="X538" i="1" s="1"/>
  <c r="AA537" i="1"/>
  <c r="AB530" i="1"/>
  <c r="AA529" i="1"/>
  <c r="AB522" i="1"/>
  <c r="AA521" i="1"/>
  <c r="AB515" i="1"/>
  <c r="V515" i="1" s="1"/>
  <c r="X515" i="1" s="1"/>
  <c r="L515" i="1"/>
  <c r="F515" i="1" s="1"/>
  <c r="AB555" i="1" s="1"/>
  <c r="AB513" i="1"/>
  <c r="V513" i="1" s="1"/>
  <c r="X513" i="1" s="1"/>
  <c r="AA510" i="1"/>
  <c r="AB508" i="1"/>
  <c r="V508" i="1" s="1"/>
  <c r="X508" i="1" s="1"/>
  <c r="AB502" i="1"/>
  <c r="V502" i="1" s="1"/>
  <c r="X502" i="1" s="1"/>
  <c r="AB498" i="1"/>
  <c r="V498" i="1" s="1"/>
  <c r="X498" i="1" s="1"/>
  <c r="AA497" i="1"/>
  <c r="AB490" i="1"/>
  <c r="AA489" i="1"/>
  <c r="AB482" i="1"/>
  <c r="AA481" i="1"/>
  <c r="AA478" i="1"/>
  <c r="AB471" i="1"/>
  <c r="V471" i="1" s="1"/>
  <c r="X471" i="1" s="1"/>
  <c r="AA470" i="1"/>
  <c r="AB463" i="1"/>
  <c r="AA462" i="1"/>
  <c r="AB455" i="1"/>
  <c r="AA454" i="1"/>
  <c r="AB447" i="1"/>
  <c r="V447" i="1" s="1"/>
  <c r="X447" i="1" s="1"/>
  <c r="AA446" i="1"/>
  <c r="AB439" i="1"/>
  <c r="AA438" i="1"/>
  <c r="AB431" i="1"/>
  <c r="AA430" i="1"/>
  <c r="AB423" i="1"/>
  <c r="V423" i="1" s="1"/>
  <c r="X423" i="1" s="1"/>
  <c r="AA422" i="1"/>
  <c r="AB415" i="1"/>
  <c r="V415" i="1" s="1"/>
  <c r="X415" i="1" s="1"/>
  <c r="AA414" i="1"/>
  <c r="AB409" i="1"/>
  <c r="V409" i="1" s="1"/>
  <c r="X409" i="1" s="1"/>
  <c r="AB404" i="1"/>
  <c r="AA403" i="1"/>
  <c r="AB396" i="1"/>
  <c r="AA395" i="1"/>
  <c r="AB388" i="1"/>
  <c r="V388" i="1" s="1"/>
  <c r="X388" i="1" s="1"/>
  <c r="AA387" i="1"/>
  <c r="AB380" i="1"/>
  <c r="AA379" i="1"/>
  <c r="AB372" i="1"/>
  <c r="V372" i="1" s="1"/>
  <c r="X372" i="1" s="1"/>
  <c r="AB523" i="1"/>
  <c r="AB519" i="1"/>
  <c r="V519" i="1" s="1"/>
  <c r="X519" i="1" s="1"/>
  <c r="AA508" i="1"/>
  <c r="AB504" i="1"/>
  <c r="AA502" i="1"/>
  <c r="AA498" i="1"/>
  <c r="AB491" i="1"/>
  <c r="V491" i="1" s="1"/>
  <c r="X491" i="1" s="1"/>
  <c r="AA490" i="1"/>
  <c r="AB483" i="1"/>
  <c r="AA482" i="1"/>
  <c r="AB472" i="1"/>
  <c r="AA471" i="1"/>
  <c r="AB464" i="1"/>
  <c r="AA463" i="1"/>
  <c r="AB456" i="1"/>
  <c r="V456" i="1" s="1"/>
  <c r="X456" i="1" s="1"/>
  <c r="AA455" i="1"/>
  <c r="AB448" i="1"/>
  <c r="AA447" i="1"/>
  <c r="AB440" i="1"/>
  <c r="AA439" i="1"/>
  <c r="AB432" i="1"/>
  <c r="V432" i="1" s="1"/>
  <c r="X432" i="1" s="1"/>
  <c r="AA431" i="1"/>
  <c r="AB424" i="1"/>
  <c r="V424" i="1" s="1"/>
  <c r="X424" i="1" s="1"/>
  <c r="AA423" i="1"/>
  <c r="AB416" i="1"/>
  <c r="AA415" i="1"/>
  <c r="AA409" i="1"/>
  <c r="AB405" i="1"/>
  <c r="AA404" i="1"/>
  <c r="AB397" i="1"/>
  <c r="V397" i="1" s="1"/>
  <c r="X397" i="1" s="1"/>
  <c r="AA396" i="1"/>
  <c r="AB389" i="1"/>
  <c r="V389" i="1" s="1"/>
  <c r="X389" i="1" s="1"/>
  <c r="AA388" i="1"/>
  <c r="AA532" i="1"/>
  <c r="AA523" i="1"/>
  <c r="AA516" i="1"/>
  <c r="AA504" i="1"/>
  <c r="AA499" i="1"/>
  <c r="AB492" i="1"/>
  <c r="V492" i="1" s="1"/>
  <c r="X492" i="1" s="1"/>
  <c r="AA491" i="1"/>
  <c r="AB484" i="1"/>
  <c r="AA483" i="1"/>
  <c r="AA472" i="1"/>
  <c r="AB465" i="1"/>
  <c r="AA464" i="1"/>
  <c r="AB457" i="1"/>
  <c r="V457" i="1" s="1"/>
  <c r="X457" i="1" s="1"/>
  <c r="AA456" i="1"/>
  <c r="AB449" i="1"/>
  <c r="AA448" i="1"/>
  <c r="AB441" i="1"/>
  <c r="AA440" i="1"/>
  <c r="AB433" i="1"/>
  <c r="AA432" i="1"/>
  <c r="AB425" i="1"/>
  <c r="AA424" i="1"/>
  <c r="AB417" i="1"/>
  <c r="V417" i="1" s="1"/>
  <c r="X417" i="1" s="1"/>
  <c r="AA416" i="1"/>
  <c r="AB406" i="1"/>
  <c r="AA405" i="1"/>
  <c r="AA397" i="1"/>
  <c r="AB390" i="1"/>
  <c r="AA389" i="1"/>
  <c r="AA381" i="1"/>
  <c r="AB533" i="1"/>
  <c r="V533" i="1" s="1"/>
  <c r="X533" i="1" s="1"/>
  <c r="AA526" i="1"/>
  <c r="AA514" i="1"/>
  <c r="AA512" i="1"/>
  <c r="AB493" i="1"/>
  <c r="AA492" i="1"/>
  <c r="AB485" i="1"/>
  <c r="AA484" i="1"/>
  <c r="AB479" i="1"/>
  <c r="V479" i="1" s="1"/>
  <c r="X479" i="1" s="1"/>
  <c r="AB474" i="1"/>
  <c r="AA473" i="1"/>
  <c r="AB466" i="1"/>
  <c r="AA465" i="1"/>
  <c r="AA457" i="1"/>
  <c r="AB450" i="1"/>
  <c r="AA449" i="1"/>
  <c r="AB442" i="1"/>
  <c r="V442" i="1" s="1"/>
  <c r="X442" i="1" s="1"/>
  <c r="AA441" i="1"/>
  <c r="AB434" i="1"/>
  <c r="AA433" i="1"/>
  <c r="AB426" i="1"/>
  <c r="AA425" i="1"/>
  <c r="AB418" i="1"/>
  <c r="V418" i="1" s="1"/>
  <c r="X418" i="1" s="1"/>
  <c r="AA417" i="1"/>
  <c r="AB410" i="1"/>
  <c r="V410" i="1" s="1"/>
  <c r="X410" i="1" s="1"/>
  <c r="AB407" i="1"/>
  <c r="AA406" i="1"/>
  <c r="AB399" i="1"/>
  <c r="V399" i="1" s="1"/>
  <c r="X399" i="1" s="1"/>
  <c r="AA398" i="1"/>
  <c r="AB391" i="1"/>
  <c r="V391" i="1" s="1"/>
  <c r="X391" i="1" s="1"/>
  <c r="AA390" i="1"/>
  <c r="AB525" i="1"/>
  <c r="V525" i="1" s="1"/>
  <c r="X525" i="1" s="1"/>
  <c r="AB509" i="1"/>
  <c r="AA507" i="1"/>
  <c r="AB500" i="1"/>
  <c r="AB494" i="1"/>
  <c r="V494" i="1" s="1"/>
  <c r="X494" i="1" s="1"/>
  <c r="AA493" i="1"/>
  <c r="AB486" i="1"/>
  <c r="AA485" i="1"/>
  <c r="AA479" i="1"/>
  <c r="AB475" i="1"/>
  <c r="AA474" i="1"/>
  <c r="AB467" i="1"/>
  <c r="V467" i="1" s="1"/>
  <c r="X467" i="1" s="1"/>
  <c r="AA466" i="1"/>
  <c r="AB459" i="1"/>
  <c r="V459" i="1" s="1"/>
  <c r="X459" i="1" s="1"/>
  <c r="AA458" i="1"/>
  <c r="AB451" i="1"/>
  <c r="V451" i="1" s="1"/>
  <c r="X451" i="1" s="1"/>
  <c r="AA450" i="1"/>
  <c r="AB443" i="1"/>
  <c r="V443" i="1" s="1"/>
  <c r="X443" i="1" s="1"/>
  <c r="AA442" i="1"/>
  <c r="AB435" i="1"/>
  <c r="AA434" i="1"/>
  <c r="AA426" i="1"/>
  <c r="AB419" i="1"/>
  <c r="V419" i="1" s="1"/>
  <c r="X419" i="1" s="1"/>
  <c r="AA418" i="1"/>
  <c r="AB411" i="1"/>
  <c r="V411" i="1" s="1"/>
  <c r="X411" i="1" s="1"/>
  <c r="AA410" i="1"/>
  <c r="AB408" i="1"/>
  <c r="AA407" i="1"/>
  <c r="AB400" i="1"/>
  <c r="AA399" i="1"/>
  <c r="AA540" i="1"/>
  <c r="AB524" i="1"/>
  <c r="V524" i="1" s="1"/>
  <c r="X524" i="1" s="1"/>
  <c r="AA522" i="1"/>
  <c r="AA518" i="1"/>
  <c r="L516" i="1"/>
  <c r="F516" i="1" s="1"/>
  <c r="AB516" i="1" s="1"/>
  <c r="V516" i="1" s="1"/>
  <c r="X516" i="1" s="1"/>
  <c r="L514" i="1"/>
  <c r="F514" i="1" s="1"/>
  <c r="AB560" i="1" s="1"/>
  <c r="V560" i="1" s="1"/>
  <c r="X560" i="1" s="1"/>
  <c r="AA509" i="1"/>
  <c r="AB505" i="1"/>
  <c r="V505" i="1" s="1"/>
  <c r="X505" i="1" s="1"/>
  <c r="AB503" i="1"/>
  <c r="AA500" i="1"/>
  <c r="AB495" i="1"/>
  <c r="AA494" i="1"/>
  <c r="AB487" i="1"/>
  <c r="AA486" i="1"/>
  <c r="AB476" i="1"/>
  <c r="V476" i="1" s="1"/>
  <c r="X476" i="1" s="1"/>
  <c r="AA475" i="1"/>
  <c r="AB468" i="1"/>
  <c r="AA467" i="1"/>
  <c r="AB460" i="1"/>
  <c r="AA459" i="1"/>
  <c r="AB452" i="1"/>
  <c r="AA451" i="1"/>
  <c r="AA443" i="1"/>
  <c r="AB436" i="1"/>
  <c r="AA435" i="1"/>
  <c r="AB428" i="1"/>
  <c r="AA427" i="1"/>
  <c r="AB420" i="1"/>
  <c r="V420" i="1" s="1"/>
  <c r="X420" i="1" s="1"/>
  <c r="AA419" i="1"/>
  <c r="AB412" i="1"/>
  <c r="V412" i="1" s="1"/>
  <c r="X412" i="1" s="1"/>
  <c r="AA411" i="1"/>
  <c r="AA408" i="1"/>
  <c r="AB401" i="1"/>
  <c r="AA400" i="1"/>
  <c r="AB541" i="1"/>
  <c r="AA524" i="1"/>
  <c r="AB511" i="1"/>
  <c r="V511" i="1" s="1"/>
  <c r="X511" i="1" s="1"/>
  <c r="AA503" i="1"/>
  <c r="AB501" i="1"/>
  <c r="AB496" i="1"/>
  <c r="V496" i="1" s="1"/>
  <c r="X496" i="1" s="1"/>
  <c r="AA495" i="1"/>
  <c r="AB488" i="1"/>
  <c r="V488" i="1" s="1"/>
  <c r="X488" i="1" s="1"/>
  <c r="AA487" i="1"/>
  <c r="AB480" i="1"/>
  <c r="V480" i="1" s="1"/>
  <c r="X480" i="1" s="1"/>
  <c r="AB477" i="1"/>
  <c r="AA476" i="1"/>
  <c r="AB469" i="1"/>
  <c r="AA468" i="1"/>
  <c r="AB461" i="1"/>
  <c r="V461" i="1" s="1"/>
  <c r="X461" i="1" s="1"/>
  <c r="AA460" i="1"/>
  <c r="AB453" i="1"/>
  <c r="V453" i="1" s="1"/>
  <c r="X453" i="1" s="1"/>
  <c r="AA452" i="1"/>
  <c r="AB445" i="1"/>
  <c r="AA444" i="1"/>
  <c r="AB437" i="1"/>
  <c r="AA436" i="1"/>
  <c r="AB429" i="1"/>
  <c r="AA428" i="1"/>
  <c r="AB421" i="1"/>
  <c r="V421" i="1" s="1"/>
  <c r="X421" i="1" s="1"/>
  <c r="AA420" i="1"/>
  <c r="AB413" i="1"/>
  <c r="V413" i="1" s="1"/>
  <c r="X413" i="1" s="1"/>
  <c r="AA412" i="1"/>
  <c r="AB402" i="1"/>
  <c r="AA401" i="1"/>
  <c r="AB394" i="1"/>
  <c r="AA393" i="1"/>
  <c r="AB386" i="1"/>
  <c r="AA385" i="1"/>
  <c r="AB378" i="1"/>
  <c r="V378" i="1" s="1"/>
  <c r="X378" i="1" s="1"/>
  <c r="AA377" i="1"/>
  <c r="AB370" i="1"/>
  <c r="AA369" i="1"/>
  <c r="AB362" i="1"/>
  <c r="V362" i="1" s="1"/>
  <c r="X362" i="1" s="1"/>
  <c r="AA361" i="1"/>
  <c r="AA501" i="1"/>
  <c r="AB497" i="1"/>
  <c r="V497" i="1" s="1"/>
  <c r="X497" i="1" s="1"/>
  <c r="AA496" i="1"/>
  <c r="AB489" i="1"/>
  <c r="V489" i="1" s="1"/>
  <c r="X489" i="1" s="1"/>
  <c r="AA488" i="1"/>
  <c r="AB481" i="1"/>
  <c r="V481" i="1" s="1"/>
  <c r="X481" i="1" s="1"/>
  <c r="AA480" i="1"/>
  <c r="AB478" i="1"/>
  <c r="V478" i="1" s="1"/>
  <c r="X478" i="1" s="1"/>
  <c r="AA477" i="1"/>
  <c r="AB470" i="1"/>
  <c r="AA469" i="1"/>
  <c r="AB462" i="1"/>
  <c r="V462" i="1" s="1"/>
  <c r="X462" i="1" s="1"/>
  <c r="AA461" i="1"/>
  <c r="AB454" i="1"/>
  <c r="V454" i="1" s="1"/>
  <c r="X454" i="1" s="1"/>
  <c r="AA453" i="1"/>
  <c r="AB446" i="1"/>
  <c r="V446" i="1" s="1"/>
  <c r="X446" i="1" s="1"/>
  <c r="AA445" i="1"/>
  <c r="AB438" i="1"/>
  <c r="V438" i="1" s="1"/>
  <c r="X438" i="1" s="1"/>
  <c r="AA437" i="1"/>
  <c r="AB430" i="1"/>
  <c r="V430" i="1" s="1"/>
  <c r="X430" i="1" s="1"/>
  <c r="AA429" i="1"/>
  <c r="AB422" i="1"/>
  <c r="V422" i="1" s="1"/>
  <c r="X422" i="1" s="1"/>
  <c r="AA421" i="1"/>
  <c r="AB414" i="1"/>
  <c r="V414" i="1" s="1"/>
  <c r="X414" i="1" s="1"/>
  <c r="AA413" i="1"/>
  <c r="AB403" i="1"/>
  <c r="V403" i="1" s="1"/>
  <c r="X403" i="1" s="1"/>
  <c r="AA402" i="1"/>
  <c r="AB395" i="1"/>
  <c r="V395" i="1" s="1"/>
  <c r="X395" i="1" s="1"/>
  <c r="AA394" i="1"/>
  <c r="AB387" i="1"/>
  <c r="V387" i="1" s="1"/>
  <c r="X387" i="1" s="1"/>
  <c r="AA386" i="1"/>
  <c r="AB385" i="1"/>
  <c r="V385" i="1" s="1"/>
  <c r="X385" i="1" s="1"/>
  <c r="AA382" i="1"/>
  <c r="AA380" i="1"/>
  <c r="AB371" i="1"/>
  <c r="AA363" i="1"/>
  <c r="AA359" i="1"/>
  <c r="AA355" i="1"/>
  <c r="AB348" i="1"/>
  <c r="V348" i="1" s="1"/>
  <c r="X348" i="1" s="1"/>
  <c r="AA347" i="1"/>
  <c r="AB340" i="1"/>
  <c r="AA339" i="1"/>
  <c r="AB329" i="1"/>
  <c r="AA328" i="1"/>
  <c r="AB321" i="1"/>
  <c r="AA320" i="1"/>
  <c r="AB313" i="1"/>
  <c r="V313" i="1" s="1"/>
  <c r="X313" i="1" s="1"/>
  <c r="AA312" i="1"/>
  <c r="AB305" i="1"/>
  <c r="AA304" i="1"/>
  <c r="AA296" i="1"/>
  <c r="AA294" i="1"/>
  <c r="AB287" i="1"/>
  <c r="AA286" i="1"/>
  <c r="AB279" i="1"/>
  <c r="AA278" i="1"/>
  <c r="AB271" i="1"/>
  <c r="AA270" i="1"/>
  <c r="AB262" i="1"/>
  <c r="V262" i="1" s="1"/>
  <c r="X262" i="1" s="1"/>
  <c r="AA261" i="1"/>
  <c r="AB254" i="1"/>
  <c r="AA253" i="1"/>
  <c r="AB246" i="1"/>
  <c r="AA245" i="1"/>
  <c r="AB238" i="1"/>
  <c r="AA237" i="1"/>
  <c r="AB230" i="1"/>
  <c r="AA229" i="1"/>
  <c r="AB222" i="1"/>
  <c r="AA221" i="1"/>
  <c r="AB392" i="1"/>
  <c r="V392" i="1" s="1"/>
  <c r="X392" i="1" s="1"/>
  <c r="AA391" i="1"/>
  <c r="AB384" i="1"/>
  <c r="V384" i="1" s="1"/>
  <c r="X384" i="1" s="1"/>
  <c r="AB377" i="1"/>
  <c r="V377" i="1" s="1"/>
  <c r="X377" i="1" s="1"/>
  <c r="AA371" i="1"/>
  <c r="AA367" i="1"/>
  <c r="AB364" i="1"/>
  <c r="AB360" i="1"/>
  <c r="V360" i="1" s="1"/>
  <c r="X360" i="1" s="1"/>
  <c r="AB357" i="1"/>
  <c r="AA356" i="1"/>
  <c r="AB349" i="1"/>
  <c r="V349" i="1" s="1"/>
  <c r="X349" i="1" s="1"/>
  <c r="AA348" i="1"/>
  <c r="AB341" i="1"/>
  <c r="AA340" i="1"/>
  <c r="AB330" i="1"/>
  <c r="AA329" i="1"/>
  <c r="AB322" i="1"/>
  <c r="V322" i="1" s="1"/>
  <c r="X322" i="1" s="1"/>
  <c r="AA321" i="1"/>
  <c r="AB314" i="1"/>
  <c r="V314" i="1" s="1"/>
  <c r="X314" i="1" s="1"/>
  <c r="AA313" i="1"/>
  <c r="AB306" i="1"/>
  <c r="V306" i="1" s="1"/>
  <c r="X306" i="1" s="1"/>
  <c r="AA305" i="1"/>
  <c r="AB298" i="1"/>
  <c r="AA297" i="1"/>
  <c r="AB288" i="1"/>
  <c r="V288" i="1" s="1"/>
  <c r="X288" i="1" s="1"/>
  <c r="AA287" i="1"/>
  <c r="AB280" i="1"/>
  <c r="AA279" i="1"/>
  <c r="AB272" i="1"/>
  <c r="V272" i="1" s="1"/>
  <c r="X272" i="1" s="1"/>
  <c r="AA271" i="1"/>
  <c r="AB263" i="1"/>
  <c r="V263" i="1" s="1"/>
  <c r="X263" i="1" s="1"/>
  <c r="AA262" i="1"/>
  <c r="AB255" i="1"/>
  <c r="AA254" i="1"/>
  <c r="AB247" i="1"/>
  <c r="AA246" i="1"/>
  <c r="AB393" i="1"/>
  <c r="V393" i="1" s="1"/>
  <c r="X393" i="1" s="1"/>
  <c r="AA392" i="1"/>
  <c r="AA384" i="1"/>
  <c r="AB374" i="1"/>
  <c r="V374" i="1" s="1"/>
  <c r="X374" i="1" s="1"/>
  <c r="AB368" i="1"/>
  <c r="AB365" i="1"/>
  <c r="V365" i="1" s="1"/>
  <c r="X365" i="1" s="1"/>
  <c r="AA364" i="1"/>
  <c r="AA360" i="1"/>
  <c r="AA357" i="1"/>
  <c r="AB350" i="1"/>
  <c r="V350" i="1" s="1"/>
  <c r="X350" i="1" s="1"/>
  <c r="AA349" i="1"/>
  <c r="AB342" i="1"/>
  <c r="V342" i="1" s="1"/>
  <c r="X342" i="1" s="1"/>
  <c r="AA341" i="1"/>
  <c r="AB336" i="1"/>
  <c r="V336" i="1" s="1"/>
  <c r="X336" i="1" s="1"/>
  <c r="AB331" i="1"/>
  <c r="AA330" i="1"/>
  <c r="AB323" i="1"/>
  <c r="AA322" i="1"/>
  <c r="AB315" i="1"/>
  <c r="AA314" i="1"/>
  <c r="AB307" i="1"/>
  <c r="AA306" i="1"/>
  <c r="AB299" i="1"/>
  <c r="V299" i="1" s="1"/>
  <c r="X299" i="1" s="1"/>
  <c r="AA298" i="1"/>
  <c r="AB289" i="1"/>
  <c r="V289" i="1" s="1"/>
  <c r="X289" i="1" s="1"/>
  <c r="AA288" i="1"/>
  <c r="AB281" i="1"/>
  <c r="AA280" i="1"/>
  <c r="AB273" i="1"/>
  <c r="AA272" i="1"/>
  <c r="AB265" i="1"/>
  <c r="V265" i="1" s="1"/>
  <c r="X265" i="1" s="1"/>
  <c r="AA263" i="1"/>
  <c r="AB381" i="1"/>
  <c r="V381" i="1" s="1"/>
  <c r="X381" i="1" s="1"/>
  <c r="AA374" i="1"/>
  <c r="AA372" i="1"/>
  <c r="AA368" i="1"/>
  <c r="AA365" i="1"/>
  <c r="AB351" i="1"/>
  <c r="V351" i="1" s="1"/>
  <c r="X351" i="1" s="1"/>
  <c r="AA350" i="1"/>
  <c r="AB343" i="1"/>
  <c r="AA342" i="1"/>
  <c r="AA336" i="1"/>
  <c r="AB332" i="1"/>
  <c r="AA331" i="1"/>
  <c r="AB324" i="1"/>
  <c r="V324" i="1" s="1"/>
  <c r="X324" i="1" s="1"/>
  <c r="AA323" i="1"/>
  <c r="AB316" i="1"/>
  <c r="V316" i="1" s="1"/>
  <c r="X316" i="1" s="1"/>
  <c r="AA315" i="1"/>
  <c r="AB308" i="1"/>
  <c r="V308" i="1" s="1"/>
  <c r="X308" i="1" s="1"/>
  <c r="AA307" i="1"/>
  <c r="AB300" i="1"/>
  <c r="AA299" i="1"/>
  <c r="AB290" i="1"/>
  <c r="AA289" i="1"/>
  <c r="AB282" i="1"/>
  <c r="AA281" i="1"/>
  <c r="AB274" i="1"/>
  <c r="V274" i="1" s="1"/>
  <c r="X274" i="1" s="1"/>
  <c r="AA273" i="1"/>
  <c r="AB266" i="1"/>
  <c r="V266" i="1" s="1"/>
  <c r="X266" i="1" s="1"/>
  <c r="AA265" i="1"/>
  <c r="AB257" i="1"/>
  <c r="V257" i="1" s="1"/>
  <c r="X257" i="1" s="1"/>
  <c r="AA256" i="1"/>
  <c r="AB249" i="1"/>
  <c r="AA248" i="1"/>
  <c r="AB241" i="1"/>
  <c r="V241" i="1" s="1"/>
  <c r="X241" i="1" s="1"/>
  <c r="AA240" i="1"/>
  <c r="AB233" i="1"/>
  <c r="V233" i="1" s="1"/>
  <c r="X233" i="1" s="1"/>
  <c r="AA232" i="1"/>
  <c r="AB383" i="1"/>
  <c r="AB379" i="1"/>
  <c r="AB376" i="1"/>
  <c r="AB361" i="1"/>
  <c r="AB358" i="1"/>
  <c r="V358" i="1" s="1"/>
  <c r="X358" i="1" s="1"/>
  <c r="AB352" i="1"/>
  <c r="V352" i="1" s="1"/>
  <c r="X352" i="1" s="1"/>
  <c r="AA351" i="1"/>
  <c r="AB344" i="1"/>
  <c r="V344" i="1" s="1"/>
  <c r="X344" i="1" s="1"/>
  <c r="AA343" i="1"/>
  <c r="AB333" i="1"/>
  <c r="AA332" i="1"/>
  <c r="AB325" i="1"/>
  <c r="AA324" i="1"/>
  <c r="AB317" i="1"/>
  <c r="V317" i="1" s="1"/>
  <c r="X317" i="1" s="1"/>
  <c r="AA316" i="1"/>
  <c r="AB309" i="1"/>
  <c r="V309" i="1" s="1"/>
  <c r="X309" i="1" s="1"/>
  <c r="AA308" i="1"/>
  <c r="AB301" i="1"/>
  <c r="AA300" i="1"/>
  <c r="L295" i="1"/>
  <c r="F295" i="1" s="1"/>
  <c r="AB707" i="1" s="1"/>
  <c r="AB291" i="1"/>
  <c r="V291" i="1" s="1"/>
  <c r="X291" i="1" s="1"/>
  <c r="AA290" i="1"/>
  <c r="AB283" i="1"/>
  <c r="AA282" i="1"/>
  <c r="AB275" i="1"/>
  <c r="V275" i="1" s="1"/>
  <c r="X275" i="1" s="1"/>
  <c r="AA274" i="1"/>
  <c r="AB267" i="1"/>
  <c r="V267" i="1" s="1"/>
  <c r="X267" i="1" s="1"/>
  <c r="AA266" i="1"/>
  <c r="AB258" i="1"/>
  <c r="AA257" i="1"/>
  <c r="AB250" i="1"/>
  <c r="V250" i="1" s="1"/>
  <c r="X250" i="1" s="1"/>
  <c r="AA383" i="1"/>
  <c r="AA376" i="1"/>
  <c r="AB373" i="1"/>
  <c r="V373" i="1" s="1"/>
  <c r="X373" i="1" s="1"/>
  <c r="AB369" i="1"/>
  <c r="V369" i="1" s="1"/>
  <c r="X369" i="1" s="1"/>
  <c r="AB366" i="1"/>
  <c r="V366" i="1" s="1"/>
  <c r="X366" i="1" s="1"/>
  <c r="AA358" i="1"/>
  <c r="AB353" i="1"/>
  <c r="AA352" i="1"/>
  <c r="AB345" i="1"/>
  <c r="V345" i="1" s="1"/>
  <c r="X345" i="1" s="1"/>
  <c r="AA344" i="1"/>
  <c r="AB337" i="1"/>
  <c r="V337" i="1" s="1"/>
  <c r="X337" i="1" s="1"/>
  <c r="AB334" i="1"/>
  <c r="AA333" i="1"/>
  <c r="AB326" i="1"/>
  <c r="AA325" i="1"/>
  <c r="AB318" i="1"/>
  <c r="V318" i="1" s="1"/>
  <c r="X318" i="1" s="1"/>
  <c r="AA317" i="1"/>
  <c r="AA309" i="1"/>
  <c r="AB302" i="1"/>
  <c r="AA301" i="1"/>
  <c r="AB292" i="1"/>
  <c r="AA291" i="1"/>
  <c r="AB284" i="1"/>
  <c r="AA283" i="1"/>
  <c r="AB276" i="1"/>
  <c r="V276" i="1" s="1"/>
  <c r="X276" i="1" s="1"/>
  <c r="AA275" i="1"/>
  <c r="AB268" i="1"/>
  <c r="AA267" i="1"/>
  <c r="AB259" i="1"/>
  <c r="AA258" i="1"/>
  <c r="AB251" i="1"/>
  <c r="AA250" i="1"/>
  <c r="AB375" i="1"/>
  <c r="V375" i="1" s="1"/>
  <c r="X375" i="1" s="1"/>
  <c r="AA373" i="1"/>
  <c r="AA366" i="1"/>
  <c r="AA362" i="1"/>
  <c r="AB354" i="1"/>
  <c r="AA353" i="1"/>
  <c r="AB346" i="1"/>
  <c r="V346" i="1" s="1"/>
  <c r="X346" i="1" s="1"/>
  <c r="AA345" i="1"/>
  <c r="AB338" i="1"/>
  <c r="V338" i="1" s="1"/>
  <c r="X338" i="1" s="1"/>
  <c r="AA337" i="1"/>
  <c r="AB335" i="1"/>
  <c r="AA334" i="1"/>
  <c r="AB327" i="1"/>
  <c r="AA326" i="1"/>
  <c r="AB319" i="1"/>
  <c r="AA318" i="1"/>
  <c r="AB311" i="1"/>
  <c r="AA310" i="1"/>
  <c r="AB303" i="1"/>
  <c r="V303" i="1" s="1"/>
  <c r="X303" i="1" s="1"/>
  <c r="AA302" i="1"/>
  <c r="AB295" i="1"/>
  <c r="AB293" i="1"/>
  <c r="AA292" i="1"/>
  <c r="AB285" i="1"/>
  <c r="AA284" i="1"/>
  <c r="AB277" i="1"/>
  <c r="V277" i="1" s="1"/>
  <c r="X277" i="1" s="1"/>
  <c r="AA276" i="1"/>
  <c r="AB269" i="1"/>
  <c r="V269" i="1" s="1"/>
  <c r="X269" i="1" s="1"/>
  <c r="AA268" i="1"/>
  <c r="AB264" i="1"/>
  <c r="V264" i="1" s="1"/>
  <c r="X264" i="1" s="1"/>
  <c r="AB260" i="1"/>
  <c r="V260" i="1" s="1"/>
  <c r="X260" i="1" s="1"/>
  <c r="AA378" i="1"/>
  <c r="AA375" i="1"/>
  <c r="AA370" i="1"/>
  <c r="AB363" i="1"/>
  <c r="V363" i="1" s="1"/>
  <c r="X363" i="1" s="1"/>
  <c r="AB359" i="1"/>
  <c r="AB355" i="1"/>
  <c r="V355" i="1" s="1"/>
  <c r="X355" i="1" s="1"/>
  <c r="AA354" i="1"/>
  <c r="AB347" i="1"/>
  <c r="V347" i="1" s="1"/>
  <c r="X347" i="1" s="1"/>
  <c r="AA346" i="1"/>
  <c r="AB339" i="1"/>
  <c r="V339" i="1" s="1"/>
  <c r="X339" i="1" s="1"/>
  <c r="AA338" i="1"/>
  <c r="AA335" i="1"/>
  <c r="AB328" i="1"/>
  <c r="AA327" i="1"/>
  <c r="AB320" i="1"/>
  <c r="AA319" i="1"/>
  <c r="AB312" i="1"/>
  <c r="V312" i="1" s="1"/>
  <c r="X312" i="1" s="1"/>
  <c r="AA311" i="1"/>
  <c r="AB304" i="1"/>
  <c r="AA303" i="1"/>
  <c r="AB296" i="1"/>
  <c r="V296" i="1" s="1"/>
  <c r="X296" i="1" s="1"/>
  <c r="AA295" i="1"/>
  <c r="AB294" i="1"/>
  <c r="V294" i="1" s="1"/>
  <c r="X294" i="1" s="1"/>
  <c r="AA293" i="1"/>
  <c r="AB286" i="1"/>
  <c r="V286" i="1" s="1"/>
  <c r="X286" i="1" s="1"/>
  <c r="AA285" i="1"/>
  <c r="AB278" i="1"/>
  <c r="V278" i="1" s="1"/>
  <c r="X278" i="1" s="1"/>
  <c r="AA277" i="1"/>
  <c r="AB270" i="1"/>
  <c r="V270" i="1" s="1"/>
  <c r="X270" i="1" s="1"/>
  <c r="AA269" i="1"/>
  <c r="AA264" i="1"/>
  <c r="AB261" i="1"/>
  <c r="V261" i="1" s="1"/>
  <c r="X261" i="1" s="1"/>
  <c r="AA260" i="1"/>
  <c r="AB253" i="1"/>
  <c r="AA252" i="1"/>
  <c r="AB245" i="1"/>
  <c r="V245" i="1" s="1"/>
  <c r="X245" i="1" s="1"/>
  <c r="AA244" i="1"/>
  <c r="AA251" i="1"/>
  <c r="AA249" i="1"/>
  <c r="AB244" i="1"/>
  <c r="V244" i="1" s="1"/>
  <c r="X244" i="1" s="1"/>
  <c r="AA241" i="1"/>
  <c r="AA239" i="1"/>
  <c r="AB237" i="1"/>
  <c r="AB235" i="1"/>
  <c r="V235" i="1" s="1"/>
  <c r="X235" i="1" s="1"/>
  <c r="AA233" i="1"/>
  <c r="AA227" i="1"/>
  <c r="AB224" i="1"/>
  <c r="AB220" i="1"/>
  <c r="AB217" i="1"/>
  <c r="AA216" i="1"/>
  <c r="AB210" i="1"/>
  <c r="V210" i="1" s="1"/>
  <c r="X210" i="1" s="1"/>
  <c r="AA209" i="1"/>
  <c r="AB201" i="1"/>
  <c r="AA200" i="1"/>
  <c r="AB193" i="1"/>
  <c r="V193" i="1" s="1"/>
  <c r="X193" i="1" s="1"/>
  <c r="AA192" i="1"/>
  <c r="AB185" i="1"/>
  <c r="AA184" i="1"/>
  <c r="AB177" i="1"/>
  <c r="AA176" i="1"/>
  <c r="AB169" i="1"/>
  <c r="AA168" i="1"/>
  <c r="AB161" i="1"/>
  <c r="V161" i="1" s="1"/>
  <c r="X161" i="1" s="1"/>
  <c r="AA160" i="1"/>
  <c r="AB153" i="1"/>
  <c r="V153" i="1" s="1"/>
  <c r="X153" i="1" s="1"/>
  <c r="AA152" i="1"/>
  <c r="AB145" i="1"/>
  <c r="AA144" i="1"/>
  <c r="AB136" i="1"/>
  <c r="V136" i="1" s="1"/>
  <c r="X136" i="1" s="1"/>
  <c r="AA135" i="1"/>
  <c r="AB128" i="1"/>
  <c r="V128" i="1" s="1"/>
  <c r="X128" i="1" s="1"/>
  <c r="AA127" i="1"/>
  <c r="AB120" i="1"/>
  <c r="AA119" i="1"/>
  <c r="AB112" i="1"/>
  <c r="AA111" i="1"/>
  <c r="AB104" i="1"/>
  <c r="AA103" i="1"/>
  <c r="AB95" i="1"/>
  <c r="AA94" i="1"/>
  <c r="AA235" i="1"/>
  <c r="AB231" i="1"/>
  <c r="AB228" i="1"/>
  <c r="AB225" i="1"/>
  <c r="AA224" i="1"/>
  <c r="AA220" i="1"/>
  <c r="AA217" i="1"/>
  <c r="AB211" i="1"/>
  <c r="AA210" i="1"/>
  <c r="AB206" i="1"/>
  <c r="V206" i="1" s="1"/>
  <c r="X206" i="1" s="1"/>
  <c r="AB202" i="1"/>
  <c r="AA201" i="1"/>
  <c r="AB194" i="1"/>
  <c r="AA193" i="1"/>
  <c r="AB186" i="1"/>
  <c r="AA185" i="1"/>
  <c r="AB178" i="1"/>
  <c r="AA177" i="1"/>
  <c r="AB170" i="1"/>
  <c r="V170" i="1" s="1"/>
  <c r="X170" i="1" s="1"/>
  <c r="AA169" i="1"/>
  <c r="AB162" i="1"/>
  <c r="V162" i="1" s="1"/>
  <c r="X162" i="1" s="1"/>
  <c r="AA161" i="1"/>
  <c r="AB154" i="1"/>
  <c r="AA153" i="1"/>
  <c r="AB146" i="1"/>
  <c r="V146" i="1" s="1"/>
  <c r="X146" i="1" s="1"/>
  <c r="AA145" i="1"/>
  <c r="AB137" i="1"/>
  <c r="AA136" i="1"/>
  <c r="AB129" i="1"/>
  <c r="AA128" i="1"/>
  <c r="AB121" i="1"/>
  <c r="AA120" i="1"/>
  <c r="AB113" i="1"/>
  <c r="AA112" i="1"/>
  <c r="AB105" i="1"/>
  <c r="V105" i="1" s="1"/>
  <c r="X105" i="1" s="1"/>
  <c r="AA104" i="1"/>
  <c r="AA231" i="1"/>
  <c r="AA228" i="1"/>
  <c r="AA225" i="1"/>
  <c r="AB212" i="1"/>
  <c r="AA211" i="1"/>
  <c r="AA206" i="1"/>
  <c r="AB203" i="1"/>
  <c r="AA202" i="1"/>
  <c r="AB195" i="1"/>
  <c r="V195" i="1" s="1"/>
  <c r="X195" i="1" s="1"/>
  <c r="AA194" i="1"/>
  <c r="AB187" i="1"/>
  <c r="V187" i="1" s="1"/>
  <c r="X187" i="1" s="1"/>
  <c r="AA186" i="1"/>
  <c r="AB179" i="1"/>
  <c r="V179" i="1" s="1"/>
  <c r="X179" i="1" s="1"/>
  <c r="AA178" i="1"/>
  <c r="AB171" i="1"/>
  <c r="AA170" i="1"/>
  <c r="AB163" i="1"/>
  <c r="AA162" i="1"/>
  <c r="AB155" i="1"/>
  <c r="V155" i="1" s="1"/>
  <c r="X155" i="1" s="1"/>
  <c r="AA154" i="1"/>
  <c r="AB147" i="1"/>
  <c r="AA146" i="1"/>
  <c r="AB138" i="1"/>
  <c r="AA137" i="1"/>
  <c r="AB130" i="1"/>
  <c r="V130" i="1" s="1"/>
  <c r="X130" i="1" s="1"/>
  <c r="AA129" i="1"/>
  <c r="AB122" i="1"/>
  <c r="V122" i="1" s="1"/>
  <c r="X122" i="1" s="1"/>
  <c r="AA121" i="1"/>
  <c r="AB248" i="1"/>
  <c r="V248" i="1" s="1"/>
  <c r="X248" i="1" s="1"/>
  <c r="AB243" i="1"/>
  <c r="AB236" i="1"/>
  <c r="V236" i="1" s="1"/>
  <c r="X236" i="1" s="1"/>
  <c r="AB234" i="1"/>
  <c r="V234" i="1" s="1"/>
  <c r="X234" i="1" s="1"/>
  <c r="AB221" i="1"/>
  <c r="AB218" i="1"/>
  <c r="V218" i="1" s="1"/>
  <c r="X218" i="1" s="1"/>
  <c r="AB213" i="1"/>
  <c r="V213" i="1" s="1"/>
  <c r="X213" i="1" s="1"/>
  <c r="AA212" i="1"/>
  <c r="AB204" i="1"/>
  <c r="AA203" i="1"/>
  <c r="AB196" i="1"/>
  <c r="AA195" i="1"/>
  <c r="AB188" i="1"/>
  <c r="AA187" i="1"/>
  <c r="AB180" i="1"/>
  <c r="AA179" i="1"/>
  <c r="AB172" i="1"/>
  <c r="AA171" i="1"/>
  <c r="AB164" i="1"/>
  <c r="AA163" i="1"/>
  <c r="AB156" i="1"/>
  <c r="V156" i="1" s="1"/>
  <c r="X156" i="1" s="1"/>
  <c r="AA155" i="1"/>
  <c r="AB148" i="1"/>
  <c r="AA147" i="1"/>
  <c r="AB143" i="1"/>
  <c r="V143" i="1" s="1"/>
  <c r="X143" i="1" s="1"/>
  <c r="AB139" i="1"/>
  <c r="AA138" i="1"/>
  <c r="AB131" i="1"/>
  <c r="AA130" i="1"/>
  <c r="AB123" i="1"/>
  <c r="V123" i="1" s="1"/>
  <c r="X123" i="1" s="1"/>
  <c r="AA122" i="1"/>
  <c r="AB256" i="1"/>
  <c r="V256" i="1" s="1"/>
  <c r="X256" i="1" s="1"/>
  <c r="AA255" i="1"/>
  <c r="AA243" i="1"/>
  <c r="AB240" i="1"/>
  <c r="V240" i="1" s="1"/>
  <c r="X240" i="1" s="1"/>
  <c r="AA238" i="1"/>
  <c r="AA236" i="1"/>
  <c r="AA234" i="1"/>
  <c r="AB229" i="1"/>
  <c r="AB226" i="1"/>
  <c r="AA218" i="1"/>
  <c r="AB214" i="1"/>
  <c r="AA213" i="1"/>
  <c r="AB205" i="1"/>
  <c r="AA204" i="1"/>
  <c r="AB197" i="1"/>
  <c r="AA196" i="1"/>
  <c r="AB189" i="1"/>
  <c r="V189" i="1" s="1"/>
  <c r="X189" i="1" s="1"/>
  <c r="AA188" i="1"/>
  <c r="AB181" i="1"/>
  <c r="AA180" i="1"/>
  <c r="AB173" i="1"/>
  <c r="AA172" i="1"/>
  <c r="AB165" i="1"/>
  <c r="AA164" i="1"/>
  <c r="AB157" i="1"/>
  <c r="AA156" i="1"/>
  <c r="AB149" i="1"/>
  <c r="V149" i="1" s="1"/>
  <c r="X149" i="1" s="1"/>
  <c r="AA148" i="1"/>
  <c r="AA143" i="1"/>
  <c r="AB140" i="1"/>
  <c r="AA139" i="1"/>
  <c r="AB132" i="1"/>
  <c r="AA131" i="1"/>
  <c r="AB124" i="1"/>
  <c r="AA123" i="1"/>
  <c r="AB116" i="1"/>
  <c r="AA115" i="1"/>
  <c r="AB108" i="1"/>
  <c r="AA107" i="1"/>
  <c r="AB100" i="1"/>
  <c r="AA99" i="1"/>
  <c r="AB242" i="1"/>
  <c r="V242" i="1" s="1"/>
  <c r="X242" i="1" s="1"/>
  <c r="AB232" i="1"/>
  <c r="V232" i="1" s="1"/>
  <c r="X232" i="1" s="1"/>
  <c r="AA226" i="1"/>
  <c r="AA222" i="1"/>
  <c r="AB215" i="1"/>
  <c r="AA214" i="1"/>
  <c r="AB207" i="1"/>
  <c r="V207" i="1" s="1"/>
  <c r="X207" i="1" s="1"/>
  <c r="AA205" i="1"/>
  <c r="AB198" i="1"/>
  <c r="AA197" i="1"/>
  <c r="AB190" i="1"/>
  <c r="V190" i="1" s="1"/>
  <c r="X190" i="1" s="1"/>
  <c r="AA189" i="1"/>
  <c r="AB182" i="1"/>
  <c r="AA181" i="1"/>
  <c r="AB174" i="1"/>
  <c r="V174" i="1" s="1"/>
  <c r="X174" i="1" s="1"/>
  <c r="AA173" i="1"/>
  <c r="AB166" i="1"/>
  <c r="V166" i="1" s="1"/>
  <c r="X166" i="1" s="1"/>
  <c r="AA165" i="1"/>
  <c r="AB158" i="1"/>
  <c r="V158" i="1" s="1"/>
  <c r="X158" i="1" s="1"/>
  <c r="AA157" i="1"/>
  <c r="AB150" i="1"/>
  <c r="AA149" i="1"/>
  <c r="AB141" i="1"/>
  <c r="V141" i="1" s="1"/>
  <c r="X141" i="1" s="1"/>
  <c r="AA140" i="1"/>
  <c r="AB133" i="1"/>
  <c r="V133" i="1" s="1"/>
  <c r="X133" i="1" s="1"/>
  <c r="AA132" i="1"/>
  <c r="AB125" i="1"/>
  <c r="V125" i="1" s="1"/>
  <c r="X125" i="1" s="1"/>
  <c r="AA124" i="1"/>
  <c r="AB117" i="1"/>
  <c r="AA116" i="1"/>
  <c r="AB109" i="1"/>
  <c r="AA108" i="1"/>
  <c r="AB101" i="1"/>
  <c r="AA100" i="1"/>
  <c r="AB96" i="1"/>
  <c r="V96" i="1" s="1"/>
  <c r="X96" i="1" s="1"/>
  <c r="AB92" i="1"/>
  <c r="AA91" i="1"/>
  <c r="AA259" i="1"/>
  <c r="AA242" i="1"/>
  <c r="AB223" i="1"/>
  <c r="AB219" i="1"/>
  <c r="AA215" i="1"/>
  <c r="AB208" i="1"/>
  <c r="AA207" i="1"/>
  <c r="AB199" i="1"/>
  <c r="AA198" i="1"/>
  <c r="AB191" i="1"/>
  <c r="V191" i="1" s="1"/>
  <c r="X191" i="1" s="1"/>
  <c r="AA190" i="1"/>
  <c r="AB183" i="1"/>
  <c r="AA182" i="1"/>
  <c r="AB175" i="1"/>
  <c r="AA174" i="1"/>
  <c r="AB167" i="1"/>
  <c r="AA166" i="1"/>
  <c r="AB159" i="1"/>
  <c r="V159" i="1" s="1"/>
  <c r="X159" i="1" s="1"/>
  <c r="AA158" i="1"/>
  <c r="AB151" i="1"/>
  <c r="AA150" i="1"/>
  <c r="AB142" i="1"/>
  <c r="AA141" i="1"/>
  <c r="AB134" i="1"/>
  <c r="V134" i="1" s="1"/>
  <c r="X134" i="1" s="1"/>
  <c r="AA133" i="1"/>
  <c r="AB126" i="1"/>
  <c r="V126" i="1" s="1"/>
  <c r="X126" i="1" s="1"/>
  <c r="AA125" i="1"/>
  <c r="AB118" i="1"/>
  <c r="AA117" i="1"/>
  <c r="AB110" i="1"/>
  <c r="AB252" i="1"/>
  <c r="AA247" i="1"/>
  <c r="AB239" i="1"/>
  <c r="AA230" i="1"/>
  <c r="AB227" i="1"/>
  <c r="AA223" i="1"/>
  <c r="AA219" i="1"/>
  <c r="AB216" i="1"/>
  <c r="V216" i="1" s="1"/>
  <c r="X216" i="1" s="1"/>
  <c r="AB209" i="1"/>
  <c r="V209" i="1" s="1"/>
  <c r="X209" i="1" s="1"/>
  <c r="AA208" i="1"/>
  <c r="AB200" i="1"/>
  <c r="V200" i="1" s="1"/>
  <c r="X200" i="1" s="1"/>
  <c r="AA199" i="1"/>
  <c r="AB192" i="1"/>
  <c r="V192" i="1" s="1"/>
  <c r="X192" i="1" s="1"/>
  <c r="AA191" i="1"/>
  <c r="AB184" i="1"/>
  <c r="V184" i="1" s="1"/>
  <c r="X184" i="1" s="1"/>
  <c r="AA183" i="1"/>
  <c r="AB176" i="1"/>
  <c r="AA175" i="1"/>
  <c r="AB168" i="1"/>
  <c r="V168" i="1" s="1"/>
  <c r="X168" i="1" s="1"/>
  <c r="AA167" i="1"/>
  <c r="AB160" i="1"/>
  <c r="V160" i="1" s="1"/>
  <c r="X160" i="1" s="1"/>
  <c r="AA159" i="1"/>
  <c r="AB152" i="1"/>
  <c r="V152" i="1" s="1"/>
  <c r="X152" i="1" s="1"/>
  <c r="AA151" i="1"/>
  <c r="AB144" i="1"/>
  <c r="V144" i="1" s="1"/>
  <c r="X144" i="1" s="1"/>
  <c r="AA142" i="1"/>
  <c r="AB135" i="1"/>
  <c r="AA134" i="1"/>
  <c r="AB5" i="1"/>
  <c r="AB6" i="1"/>
  <c r="V6" i="1" s="1"/>
  <c r="X6" i="1" s="1"/>
  <c r="Y7" i="1"/>
  <c r="AB14" i="1"/>
  <c r="AB15" i="1"/>
  <c r="AB16" i="1"/>
  <c r="AB17" i="1"/>
  <c r="AB18" i="1"/>
  <c r="V18" i="1" s="1"/>
  <c r="X18" i="1" s="1"/>
  <c r="AB19" i="1"/>
  <c r="AB20" i="1"/>
  <c r="V20" i="1" s="1"/>
  <c r="X20" i="1" s="1"/>
  <c r="AB21" i="1"/>
  <c r="V21" i="1" s="1"/>
  <c r="X21" i="1" s="1"/>
  <c r="AB22" i="1"/>
  <c r="AB23" i="1"/>
  <c r="V23" i="1" s="1"/>
  <c r="X23" i="1" s="1"/>
  <c r="AB24" i="1"/>
  <c r="AB25" i="1"/>
  <c r="AB26" i="1"/>
  <c r="AB27" i="1"/>
  <c r="AB28" i="1"/>
  <c r="Z41" i="1"/>
  <c r="Q42" i="1"/>
  <c r="AA42" i="1"/>
  <c r="AB43" i="1"/>
  <c r="Z49" i="1"/>
  <c r="Q50" i="1"/>
  <c r="AA50" i="1"/>
  <c r="AB51" i="1"/>
  <c r="Z57" i="1"/>
  <c r="Q58" i="1"/>
  <c r="AA58" i="1"/>
  <c r="AB59" i="1"/>
  <c r="V59" i="1" s="1"/>
  <c r="X59" i="1" s="1"/>
  <c r="Z65" i="1"/>
  <c r="Q66" i="1"/>
  <c r="AA66" i="1"/>
  <c r="AB67" i="1"/>
  <c r="V67" i="1" s="1"/>
  <c r="X67" i="1" s="1"/>
  <c r="Z73" i="1"/>
  <c r="Q74" i="1"/>
  <c r="AA74" i="1"/>
  <c r="AB75" i="1"/>
  <c r="Z81" i="1"/>
  <c r="Q82" i="1"/>
  <c r="AA82" i="1"/>
  <c r="AB83" i="1"/>
  <c r="AB91" i="1"/>
  <c r="V91" i="1" s="1"/>
  <c r="X91" i="1" s="1"/>
  <c r="AA93" i="1"/>
  <c r="Y95" i="1"/>
  <c r="AB103" i="1"/>
  <c r="V103" i="1" s="1"/>
  <c r="X103" i="1" s="1"/>
  <c r="AA106" i="1"/>
  <c r="AA109" i="1"/>
  <c r="Q111" i="1"/>
  <c r="Z110" i="1"/>
  <c r="Z111" i="1"/>
  <c r="Y110" i="1"/>
  <c r="Q115" i="1"/>
  <c r="Z114" i="1"/>
  <c r="Y114" i="1"/>
  <c r="Y115" i="1"/>
  <c r="AA126" i="1"/>
  <c r="AB127" i="1"/>
  <c r="AD4" i="1"/>
  <c r="Z7" i="1"/>
  <c r="AA29" i="1"/>
  <c r="Y39" i="1"/>
  <c r="AA41" i="1"/>
  <c r="AB42" i="1"/>
  <c r="Y47" i="1"/>
  <c r="AA49" i="1"/>
  <c r="AB50" i="1"/>
  <c r="V50" i="1" s="1"/>
  <c r="X50" i="1" s="1"/>
  <c r="Y55" i="1"/>
  <c r="AA57" i="1"/>
  <c r="AB58" i="1"/>
  <c r="V58" i="1" s="1"/>
  <c r="X58" i="1" s="1"/>
  <c r="Y63" i="1"/>
  <c r="AA65" i="1"/>
  <c r="AB66" i="1"/>
  <c r="Y71" i="1"/>
  <c r="AA73" i="1"/>
  <c r="AB74" i="1"/>
  <c r="V74" i="1" s="1"/>
  <c r="X74" i="1" s="1"/>
  <c r="Y79" i="1"/>
  <c r="AA81" i="1"/>
  <c r="AB82" i="1"/>
  <c r="Y87" i="1"/>
  <c r="AA88" i="1"/>
  <c r="AB93" i="1"/>
  <c r="Z95" i="1"/>
  <c r="AA96" i="1"/>
  <c r="AA97" i="1"/>
  <c r="AB99" i="1"/>
  <c r="AB106" i="1"/>
  <c r="V106" i="1" s="1"/>
  <c r="X106" i="1" s="1"/>
  <c r="AA118" i="1"/>
  <c r="AA7" i="1"/>
  <c r="AB29" i="1"/>
  <c r="V29" i="1" s="1"/>
  <c r="X29" i="1" s="1"/>
  <c r="Y30" i="1"/>
  <c r="Y31" i="1"/>
  <c r="Y32" i="1"/>
  <c r="Y33" i="1"/>
  <c r="Y34" i="1"/>
  <c r="Y35" i="1"/>
  <c r="Y36" i="1"/>
  <c r="Y37" i="1"/>
  <c r="Y38" i="1"/>
  <c r="Z39" i="1"/>
  <c r="AA40" i="1"/>
  <c r="AB41" i="1"/>
  <c r="V41" i="1" s="1"/>
  <c r="X41" i="1" s="1"/>
  <c r="Y46" i="1"/>
  <c r="Z47" i="1"/>
  <c r="AA48" i="1"/>
  <c r="AB49" i="1"/>
  <c r="V49" i="1" s="1"/>
  <c r="X49" i="1" s="1"/>
  <c r="Y54" i="1"/>
  <c r="Z55" i="1"/>
  <c r="AA56" i="1"/>
  <c r="AB57" i="1"/>
  <c r="V57" i="1" s="1"/>
  <c r="X57" i="1" s="1"/>
  <c r="Y62" i="1"/>
  <c r="Z63" i="1"/>
  <c r="AA64" i="1"/>
  <c r="AB65" i="1"/>
  <c r="Y70" i="1"/>
  <c r="Z71" i="1"/>
  <c r="AA72" i="1"/>
  <c r="AB73" i="1"/>
  <c r="Y78" i="1"/>
  <c r="Z79" i="1"/>
  <c r="AA80" i="1"/>
  <c r="AB81" i="1"/>
  <c r="Y86" i="1"/>
  <c r="Z87" i="1"/>
  <c r="AB88" i="1"/>
  <c r="V88" i="1" s="1"/>
  <c r="X88" i="1" s="1"/>
  <c r="Q91" i="1"/>
  <c r="Z90" i="1"/>
  <c r="AA95" i="1"/>
  <c r="AB97" i="1"/>
  <c r="V97" i="1" s="1"/>
  <c r="X97" i="1" s="1"/>
  <c r="Y102" i="1"/>
  <c r="Q103" i="1"/>
  <c r="Z102" i="1"/>
  <c r="AA110" i="1"/>
  <c r="AA113" i="1"/>
  <c r="AA114" i="1"/>
  <c r="Q7" i="1"/>
  <c r="AB7" i="1"/>
  <c r="V7" i="1" s="1"/>
  <c r="X7" i="1" s="1"/>
  <c r="Z30" i="1"/>
  <c r="Z31" i="1"/>
  <c r="Z32" i="1"/>
  <c r="Z33" i="1"/>
  <c r="Z34" i="1"/>
  <c r="Z35" i="1"/>
  <c r="Z36" i="1"/>
  <c r="Z37" i="1"/>
  <c r="Z38" i="1"/>
  <c r="AA39" i="1"/>
  <c r="AB40" i="1"/>
  <c r="V40" i="1" s="1"/>
  <c r="X40" i="1" s="1"/>
  <c r="Z46" i="1"/>
  <c r="AA47" i="1"/>
  <c r="AB48" i="1"/>
  <c r="Z54" i="1"/>
  <c r="AA55" i="1"/>
  <c r="AB56" i="1"/>
  <c r="Z62" i="1"/>
  <c r="AA63" i="1"/>
  <c r="AB64" i="1"/>
  <c r="Z70" i="1"/>
  <c r="AA71" i="1"/>
  <c r="AB72" i="1"/>
  <c r="Z78" i="1"/>
  <c r="AA79" i="1"/>
  <c r="AB80" i="1"/>
  <c r="V80" i="1" s="1"/>
  <c r="X80" i="1" s="1"/>
  <c r="Z86" i="1"/>
  <c r="AA87" i="1"/>
  <c r="Y90" i="1"/>
  <c r="A97" i="1"/>
  <c r="Q99" i="1"/>
  <c r="Z98" i="1"/>
  <c r="Y98" i="1"/>
  <c r="AA102" i="1"/>
  <c r="Q106" i="1"/>
  <c r="AB114" i="1"/>
  <c r="V114" i="1" s="1"/>
  <c r="X114" i="1" s="1"/>
  <c r="Y4" i="1"/>
  <c r="Y8" i="1"/>
  <c r="Y9" i="1"/>
  <c r="Y10" i="1"/>
  <c r="Y11" i="1"/>
  <c r="Y12" i="1"/>
  <c r="AA30" i="1"/>
  <c r="AA31" i="1"/>
  <c r="AA32" i="1"/>
  <c r="AA33" i="1"/>
  <c r="AA34" i="1"/>
  <c r="AA35" i="1"/>
  <c r="AA36" i="1"/>
  <c r="AA37" i="1"/>
  <c r="AA38" i="1"/>
  <c r="AB39" i="1"/>
  <c r="AA46" i="1"/>
  <c r="AB47" i="1"/>
  <c r="AA54" i="1"/>
  <c r="AB55" i="1"/>
  <c r="V55" i="1" s="1"/>
  <c r="X55" i="1" s="1"/>
  <c r="AA62" i="1"/>
  <c r="AB63" i="1"/>
  <c r="V63" i="1" s="1"/>
  <c r="X63" i="1" s="1"/>
  <c r="AA70" i="1"/>
  <c r="AB71" i="1"/>
  <c r="AA78" i="1"/>
  <c r="AB79" i="1"/>
  <c r="V79" i="1" s="1"/>
  <c r="X79" i="1" s="1"/>
  <c r="AA86" i="1"/>
  <c r="AB87" i="1"/>
  <c r="V87" i="1" s="1"/>
  <c r="X87" i="1" s="1"/>
  <c r="AA90" i="1"/>
  <c r="AA92" i="1"/>
  <c r="AA98" i="1"/>
  <c r="AB102" i="1"/>
  <c r="AB107" i="1"/>
  <c r="AB115" i="1"/>
  <c r="V115" i="1" s="1"/>
  <c r="X115" i="1" s="1"/>
  <c r="AB119" i="1"/>
  <c r="V119" i="1" s="1"/>
  <c r="X119" i="1" s="1"/>
  <c r="S1" i="1"/>
  <c r="Q4" i="1"/>
  <c r="Z8" i="1"/>
  <c r="Z9" i="1"/>
  <c r="Z10" i="1"/>
  <c r="Z11" i="1"/>
  <c r="Z12" i="1"/>
  <c r="Q13" i="1"/>
  <c r="Q30" i="1"/>
  <c r="AB30" i="1"/>
  <c r="V30" i="1" s="1"/>
  <c r="X30" i="1" s="1"/>
  <c r="AB31" i="1"/>
  <c r="V31" i="1" s="1"/>
  <c r="X31" i="1" s="1"/>
  <c r="AB32" i="1"/>
  <c r="AB33" i="1"/>
  <c r="V33" i="1" s="1"/>
  <c r="X33" i="1" s="1"/>
  <c r="AB34" i="1"/>
  <c r="V34" i="1" s="1"/>
  <c r="X34" i="1" s="1"/>
  <c r="AB35" i="1"/>
  <c r="V35" i="1" s="1"/>
  <c r="X35" i="1" s="1"/>
  <c r="AB36" i="1"/>
  <c r="V36" i="1" s="1"/>
  <c r="X36" i="1" s="1"/>
  <c r="AB37" i="1"/>
  <c r="V37" i="1" s="1"/>
  <c r="X37" i="1" s="1"/>
  <c r="AB38" i="1"/>
  <c r="V38" i="1" s="1"/>
  <c r="X38" i="1" s="1"/>
  <c r="Y43" i="1"/>
  <c r="Z44" i="1"/>
  <c r="AA45" i="1"/>
  <c r="AB46" i="1"/>
  <c r="V46" i="1" s="1"/>
  <c r="X46" i="1" s="1"/>
  <c r="Y51" i="1"/>
  <c r="Z52" i="1"/>
  <c r="AA53" i="1"/>
  <c r="AB54" i="1"/>
  <c r="Y59" i="1"/>
  <c r="Z60" i="1"/>
  <c r="AA61" i="1"/>
  <c r="AB62" i="1"/>
  <c r="Y67" i="1"/>
  <c r="Z68" i="1"/>
  <c r="AA69" i="1"/>
  <c r="AB70" i="1"/>
  <c r="Y75" i="1"/>
  <c r="Z76" i="1"/>
  <c r="AA77" i="1"/>
  <c r="AB78" i="1"/>
  <c r="Y83" i="1"/>
  <c r="Z84" i="1"/>
  <c r="AA85" i="1"/>
  <c r="AB86" i="1"/>
  <c r="Z89" i="1"/>
  <c r="Q90" i="1"/>
  <c r="AB90" i="1"/>
  <c r="AB94" i="1"/>
  <c r="V94" i="1" s="1"/>
  <c r="X94" i="1" s="1"/>
  <c r="AB98" i="1"/>
  <c r="Q102" i="1"/>
  <c r="Z105" i="1"/>
  <c r="AB111" i="1"/>
  <c r="V111" i="1" s="1"/>
  <c r="X111" i="1" s="1"/>
  <c r="Q127" i="1"/>
  <c r="Z126" i="1"/>
  <c r="Z127" i="1"/>
  <c r="Y126" i="1"/>
  <c r="Y127" i="1"/>
  <c r="AA9" i="1"/>
  <c r="AA10" i="1"/>
  <c r="AA11" i="1"/>
  <c r="AA12" i="1"/>
  <c r="AA13" i="1"/>
  <c r="AA44" i="1"/>
  <c r="AB45" i="1"/>
  <c r="V45" i="1" s="1"/>
  <c r="X45" i="1" s="1"/>
  <c r="AA52" i="1"/>
  <c r="AB53" i="1"/>
  <c r="V53" i="1" s="1"/>
  <c r="X53" i="1" s="1"/>
  <c r="AA60" i="1"/>
  <c r="AB61" i="1"/>
  <c r="V61" i="1" s="1"/>
  <c r="X61" i="1" s="1"/>
  <c r="AA68" i="1"/>
  <c r="AB69" i="1"/>
  <c r="V69" i="1" s="1"/>
  <c r="X69" i="1" s="1"/>
  <c r="AA76" i="1"/>
  <c r="AB77" i="1"/>
  <c r="V77" i="1" s="1"/>
  <c r="X77" i="1" s="1"/>
  <c r="AA84" i="1"/>
  <c r="AB85" i="1"/>
  <c r="V85" i="1" s="1"/>
  <c r="X85" i="1" s="1"/>
  <c r="AA89" i="1"/>
  <c r="AA105" i="1"/>
  <c r="AB4" i="1"/>
  <c r="V4" i="1" s="1"/>
  <c r="X4" i="1" s="1"/>
  <c r="AA5" i="1"/>
  <c r="AA6" i="1"/>
  <c r="AB8" i="1"/>
  <c r="V8" i="1" s="1"/>
  <c r="X8" i="1" s="1"/>
  <c r="AB9" i="1"/>
  <c r="V9" i="1" s="1"/>
  <c r="X9" i="1" s="1"/>
  <c r="AB10" i="1"/>
  <c r="AB11" i="1"/>
  <c r="V11" i="1" s="1"/>
  <c r="AB12" i="1"/>
  <c r="AB13" i="1"/>
  <c r="V13" i="1" s="1"/>
  <c r="X13" i="1" s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Z42" i="1"/>
  <c r="AA43" i="1"/>
  <c r="AB44" i="1"/>
  <c r="V44" i="1" s="1"/>
  <c r="X44" i="1" s="1"/>
  <c r="Z50" i="1"/>
  <c r="AA51" i="1"/>
  <c r="AB52" i="1"/>
  <c r="V52" i="1" s="1"/>
  <c r="X52" i="1" s="1"/>
  <c r="Z58" i="1"/>
  <c r="AA59" i="1"/>
  <c r="AB60" i="1"/>
  <c r="V60" i="1" s="1"/>
  <c r="X60" i="1" s="1"/>
  <c r="Z66" i="1"/>
  <c r="AA67" i="1"/>
  <c r="AB68" i="1"/>
  <c r="Z74" i="1"/>
  <c r="AA75" i="1"/>
  <c r="AB76" i="1"/>
  <c r="Z82" i="1"/>
  <c r="AA83" i="1"/>
  <c r="AB84" i="1"/>
  <c r="V84" i="1" s="1"/>
  <c r="X84" i="1" s="1"/>
  <c r="Y88" i="1"/>
  <c r="AB89" i="1"/>
  <c r="Z91" i="1"/>
  <c r="Y93" i="1"/>
  <c r="Q94" i="1"/>
  <c r="Z93" i="1"/>
  <c r="Q98" i="1"/>
  <c r="AA101" i="1"/>
  <c r="Z103" i="1"/>
  <c r="Q107" i="1"/>
  <c r="Z106" i="1"/>
  <c r="Y106" i="1"/>
  <c r="Q119" i="1"/>
  <c r="Z118" i="1"/>
  <c r="Z119" i="1"/>
  <c r="Y118" i="1"/>
  <c r="Q256" i="1"/>
  <c r="Z255" i="1"/>
  <c r="Z256" i="1"/>
  <c r="Y255" i="1"/>
  <c r="Y256" i="1"/>
  <c r="Y123" i="1"/>
  <c r="Y131" i="1"/>
  <c r="Y139" i="1"/>
  <c r="Y148" i="1"/>
  <c r="Y156" i="1"/>
  <c r="Y164" i="1"/>
  <c r="Y172" i="1"/>
  <c r="Y180" i="1"/>
  <c r="Y188" i="1"/>
  <c r="Y196" i="1"/>
  <c r="Y204" i="1"/>
  <c r="Y213" i="1"/>
  <c r="Y218" i="1"/>
  <c r="Z226" i="1"/>
  <c r="Y229" i="1"/>
  <c r="Y234" i="1"/>
  <c r="Q237" i="1"/>
  <c r="Z236" i="1"/>
  <c r="Y243" i="1"/>
  <c r="Q244" i="1"/>
  <c r="Z243" i="1"/>
  <c r="Z99" i="1"/>
  <c r="Z107" i="1"/>
  <c r="Z115" i="1"/>
  <c r="Y122" i="1"/>
  <c r="Z123" i="1"/>
  <c r="Y130" i="1"/>
  <c r="Z131" i="1"/>
  <c r="Y138" i="1"/>
  <c r="Z139" i="1"/>
  <c r="Y147" i="1"/>
  <c r="Z148" i="1"/>
  <c r="Y155" i="1"/>
  <c r="Z156" i="1"/>
  <c r="Y163" i="1"/>
  <c r="Z164" i="1"/>
  <c r="Y171" i="1"/>
  <c r="Z172" i="1"/>
  <c r="Y179" i="1"/>
  <c r="Z180" i="1"/>
  <c r="Y187" i="1"/>
  <c r="Z188" i="1"/>
  <c r="Y195" i="1"/>
  <c r="Z196" i="1"/>
  <c r="Y203" i="1"/>
  <c r="Z204" i="1"/>
  <c r="Y212" i="1"/>
  <c r="Z213" i="1"/>
  <c r="Y221" i="1"/>
  <c r="Y236" i="1"/>
  <c r="Z122" i="1"/>
  <c r="Z130" i="1"/>
  <c r="Z138" i="1"/>
  <c r="Y146" i="1"/>
  <c r="Z147" i="1"/>
  <c r="Z155" i="1"/>
  <c r="Z163" i="1"/>
  <c r="Z171" i="1"/>
  <c r="Z179" i="1"/>
  <c r="Z187" i="1"/>
  <c r="Z195" i="1"/>
  <c r="Z203" i="1"/>
  <c r="Z212" i="1"/>
  <c r="Y225" i="1"/>
  <c r="Q242" i="1"/>
  <c r="Q250" i="1"/>
  <c r="Z249" i="1"/>
  <c r="Z146" i="1"/>
  <c r="Y224" i="1"/>
  <c r="Q229" i="1"/>
  <c r="Z228" i="1"/>
  <c r="Q232" i="1"/>
  <c r="Z231" i="1"/>
  <c r="Y250" i="1"/>
  <c r="Y251" i="1"/>
  <c r="Y252" i="1"/>
  <c r="Q252" i="1"/>
  <c r="Z251" i="1"/>
  <c r="Y135" i="1"/>
  <c r="Y152" i="1"/>
  <c r="Y160" i="1"/>
  <c r="Y168" i="1"/>
  <c r="Y176" i="1"/>
  <c r="Y184" i="1"/>
  <c r="Y192" i="1"/>
  <c r="Y200" i="1"/>
  <c r="Y209" i="1"/>
  <c r="Y220" i="1"/>
  <c r="Q221" i="1"/>
  <c r="Z220" i="1"/>
  <c r="Z224" i="1"/>
  <c r="Y237" i="1"/>
  <c r="Y241" i="1"/>
  <c r="Y134" i="1"/>
  <c r="Z135" i="1"/>
  <c r="Y151" i="1"/>
  <c r="Z152" i="1"/>
  <c r="Y159" i="1"/>
  <c r="Z160" i="1"/>
  <c r="Y167" i="1"/>
  <c r="Z168" i="1"/>
  <c r="Y175" i="1"/>
  <c r="Z176" i="1"/>
  <c r="Y183" i="1"/>
  <c r="Z184" i="1"/>
  <c r="Y191" i="1"/>
  <c r="Z192" i="1"/>
  <c r="Y199" i="1"/>
  <c r="Z200" i="1"/>
  <c r="Y208" i="1"/>
  <c r="Z209" i="1"/>
  <c r="Z216" i="1"/>
  <c r="Y223" i="1"/>
  <c r="Y235" i="1"/>
  <c r="Z237" i="1"/>
  <c r="Q240" i="1"/>
  <c r="Z239" i="1"/>
  <c r="Y244" i="1"/>
  <c r="Q248" i="1"/>
  <c r="Z247" i="1"/>
  <c r="Y249" i="1"/>
  <c r="Y259" i="1"/>
  <c r="Q260" i="1"/>
  <c r="Z259" i="1"/>
  <c r="Z134" i="1"/>
  <c r="Z151" i="1"/>
  <c r="Z159" i="1"/>
  <c r="Z167" i="1"/>
  <c r="Z175" i="1"/>
  <c r="Z183" i="1"/>
  <c r="Z191" i="1"/>
  <c r="Z199" i="1"/>
  <c r="Z208" i="1"/>
  <c r="Z219" i="1"/>
  <c r="Q220" i="1"/>
  <c r="Z223" i="1"/>
  <c r="Y227" i="1"/>
  <c r="Y242" i="1"/>
  <c r="Y247" i="1"/>
  <c r="Z250" i="1"/>
  <c r="Z268" i="1"/>
  <c r="Q269" i="1"/>
  <c r="Z276" i="1"/>
  <c r="Q277" i="1"/>
  <c r="Y283" i="1"/>
  <c r="Z284" i="1"/>
  <c r="Q285" i="1"/>
  <c r="Y291" i="1"/>
  <c r="Y301" i="1"/>
  <c r="Z302" i="1"/>
  <c r="Y309" i="1"/>
  <c r="Z310" i="1"/>
  <c r="Y317" i="1"/>
  <c r="Z318" i="1"/>
  <c r="Y325" i="1"/>
  <c r="Z326" i="1"/>
  <c r="Y333" i="1"/>
  <c r="Z334" i="1"/>
  <c r="Y344" i="1"/>
  <c r="Z345" i="1"/>
  <c r="Y352" i="1"/>
  <c r="Z353" i="1"/>
  <c r="Y358" i="1"/>
  <c r="Q377" i="1"/>
  <c r="Z376" i="1"/>
  <c r="Y266" i="1"/>
  <c r="Z267" i="1"/>
  <c r="Y274" i="1"/>
  <c r="Z275" i="1"/>
  <c r="Z283" i="1"/>
  <c r="Y290" i="1"/>
  <c r="Z291" i="1"/>
  <c r="Y300" i="1"/>
  <c r="Z301" i="1"/>
  <c r="Y308" i="1"/>
  <c r="Z309" i="1"/>
  <c r="Y316" i="1"/>
  <c r="Z317" i="1"/>
  <c r="Z325" i="1"/>
  <c r="Z333" i="1"/>
  <c r="Z344" i="1"/>
  <c r="Z352" i="1"/>
  <c r="Z383" i="1"/>
  <c r="Y383" i="1"/>
  <c r="Q392" i="1"/>
  <c r="Z257" i="1"/>
  <c r="Z266" i="1"/>
  <c r="Y273" i="1"/>
  <c r="Z274" i="1"/>
  <c r="Y281" i="1"/>
  <c r="Z282" i="1"/>
  <c r="Y289" i="1"/>
  <c r="Z290" i="1"/>
  <c r="Y299" i="1"/>
  <c r="Z300" i="1"/>
  <c r="Y307" i="1"/>
  <c r="Z308" i="1"/>
  <c r="Y315" i="1"/>
  <c r="Z316" i="1"/>
  <c r="Y323" i="1"/>
  <c r="Y331" i="1"/>
  <c r="Y342" i="1"/>
  <c r="Y350" i="1"/>
  <c r="Y365" i="1"/>
  <c r="Y372" i="1"/>
  <c r="Y381" i="1"/>
  <c r="Y280" i="1"/>
  <c r="Z281" i="1"/>
  <c r="Y288" i="1"/>
  <c r="Z289" i="1"/>
  <c r="Y298" i="1"/>
  <c r="Z299" i="1"/>
  <c r="Y306" i="1"/>
  <c r="Z307" i="1"/>
  <c r="Y322" i="1"/>
  <c r="Z323" i="1"/>
  <c r="Y330" i="1"/>
  <c r="Z331" i="1"/>
  <c r="Y341" i="1"/>
  <c r="Z342" i="1"/>
  <c r="Y349" i="1"/>
  <c r="Z350" i="1"/>
  <c r="Y357" i="1"/>
  <c r="Y364" i="1"/>
  <c r="Z365" i="1"/>
  <c r="Y368" i="1"/>
  <c r="Q369" i="1"/>
  <c r="Z368" i="1"/>
  <c r="Z372" i="1"/>
  <c r="Y377" i="1"/>
  <c r="Q385" i="1"/>
  <c r="Z384" i="1"/>
  <c r="Q393" i="1"/>
  <c r="Z392" i="1"/>
  <c r="Z393" i="1"/>
  <c r="Y392" i="1"/>
  <c r="Z272" i="1"/>
  <c r="Z280" i="1"/>
  <c r="Z288" i="1"/>
  <c r="Z298" i="1"/>
  <c r="Z306" i="1"/>
  <c r="Z314" i="1"/>
  <c r="Z322" i="1"/>
  <c r="Z330" i="1"/>
  <c r="Z341" i="1"/>
  <c r="Z349" i="1"/>
  <c r="Y356" i="1"/>
  <c r="Q361" i="1"/>
  <c r="Z360" i="1"/>
  <c r="Z364" i="1"/>
  <c r="Q383" i="1"/>
  <c r="Y384" i="1"/>
  <c r="Q379" i="1"/>
  <c r="Z378" i="1"/>
  <c r="Y379" i="1"/>
  <c r="Q381" i="1"/>
  <c r="Z380" i="1"/>
  <c r="Y260" i="1"/>
  <c r="Z261" i="1"/>
  <c r="Y269" i="1"/>
  <c r="Y277" i="1"/>
  <c r="Y285" i="1"/>
  <c r="Y346" i="1"/>
  <c r="Z347" i="1"/>
  <c r="Y380" i="1"/>
  <c r="Z244" i="1"/>
  <c r="Z252" i="1"/>
  <c r="Z260" i="1"/>
  <c r="Z269" i="1"/>
  <c r="Z277" i="1"/>
  <c r="Z285" i="1"/>
  <c r="Z293" i="1"/>
  <c r="Z295" i="1"/>
  <c r="Z303" i="1"/>
  <c r="Z311" i="1"/>
  <c r="Z319" i="1"/>
  <c r="Z327" i="1"/>
  <c r="Z338" i="1"/>
  <c r="Z346" i="1"/>
  <c r="Z354" i="1"/>
  <c r="Y359" i="1"/>
  <c r="Y362" i="1"/>
  <c r="Y366" i="1"/>
  <c r="Y378" i="1"/>
  <c r="Y400" i="1"/>
  <c r="Z401" i="1"/>
  <c r="Y411" i="1"/>
  <c r="Z412" i="1"/>
  <c r="Y419" i="1"/>
  <c r="Z420" i="1"/>
  <c r="Y427" i="1"/>
  <c r="Z428" i="1"/>
  <c r="Y435" i="1"/>
  <c r="Z436" i="1"/>
  <c r="Y443" i="1"/>
  <c r="Z444" i="1"/>
  <c r="Y451" i="1"/>
  <c r="Z452" i="1"/>
  <c r="Y459" i="1"/>
  <c r="Z460" i="1"/>
  <c r="Y467" i="1"/>
  <c r="Z468" i="1"/>
  <c r="Y475" i="1"/>
  <c r="Z476" i="1"/>
  <c r="Y486" i="1"/>
  <c r="Z487" i="1"/>
  <c r="Y494" i="1"/>
  <c r="Z495" i="1"/>
  <c r="Y500" i="1"/>
  <c r="Y515" i="1"/>
  <c r="Q519" i="1"/>
  <c r="Z518" i="1"/>
  <c r="Z519" i="1"/>
  <c r="Y518" i="1"/>
  <c r="Z400" i="1"/>
  <c r="Z411" i="1"/>
  <c r="Z419" i="1"/>
  <c r="Z427" i="1"/>
  <c r="Z435" i="1"/>
  <c r="Z443" i="1"/>
  <c r="Z451" i="1"/>
  <c r="Z459" i="1"/>
  <c r="Z467" i="1"/>
  <c r="Z475" i="1"/>
  <c r="Z486" i="1"/>
  <c r="Z494" i="1"/>
  <c r="Z500" i="1"/>
  <c r="Q501" i="1"/>
  <c r="Z509" i="1"/>
  <c r="Q510" i="1"/>
  <c r="Q513" i="1"/>
  <c r="Z512" i="1"/>
  <c r="Y512" i="1"/>
  <c r="Z522" i="1"/>
  <c r="Q527" i="1"/>
  <c r="Z526" i="1"/>
  <c r="Y526" i="1"/>
  <c r="Y527" i="1"/>
  <c r="Q533" i="1"/>
  <c r="Z532" i="1"/>
  <c r="Z533" i="1"/>
  <c r="Y532" i="1"/>
  <c r="Y533" i="1"/>
  <c r="Q515" i="1"/>
  <c r="Z514" i="1"/>
  <c r="Y514" i="1"/>
  <c r="Q517" i="1"/>
  <c r="Z516" i="1"/>
  <c r="Y517" i="1"/>
  <c r="Y440" i="1"/>
  <c r="Y448" i="1"/>
  <c r="Y456" i="1"/>
  <c r="Y464" i="1"/>
  <c r="Z465" i="1"/>
  <c r="Y472" i="1"/>
  <c r="Z473" i="1"/>
  <c r="Y483" i="1"/>
  <c r="Z484" i="1"/>
  <c r="Y491" i="1"/>
  <c r="Z492" i="1"/>
  <c r="Y499" i="1"/>
  <c r="Z432" i="1"/>
  <c r="Y439" i="1"/>
  <c r="Z440" i="1"/>
  <c r="Y447" i="1"/>
  <c r="Z448" i="1"/>
  <c r="Y455" i="1"/>
  <c r="Z456" i="1"/>
  <c r="Y463" i="1"/>
  <c r="Z464" i="1"/>
  <c r="Y471" i="1"/>
  <c r="Z472" i="1"/>
  <c r="Y482" i="1"/>
  <c r="Z483" i="1"/>
  <c r="Y490" i="1"/>
  <c r="Z491" i="1"/>
  <c r="Y498" i="1"/>
  <c r="Z499" i="1"/>
  <c r="Y502" i="1"/>
  <c r="Q505" i="1"/>
  <c r="Z504" i="1"/>
  <c r="Y504" i="1"/>
  <c r="Y508" i="1"/>
  <c r="Q511" i="1"/>
  <c r="Z510" i="1"/>
  <c r="Y516" i="1"/>
  <c r="Y387" i="1"/>
  <c r="Z388" i="1"/>
  <c r="Y395" i="1"/>
  <c r="Z396" i="1"/>
  <c r="Y403" i="1"/>
  <c r="Z404" i="1"/>
  <c r="Y414" i="1"/>
  <c r="Z415" i="1"/>
  <c r="Y422" i="1"/>
  <c r="Z423" i="1"/>
  <c r="Y430" i="1"/>
  <c r="Z431" i="1"/>
  <c r="Y438" i="1"/>
  <c r="Z439" i="1"/>
  <c r="Y446" i="1"/>
  <c r="Z447" i="1"/>
  <c r="Y454" i="1"/>
  <c r="Z455" i="1"/>
  <c r="Y462" i="1"/>
  <c r="Z463" i="1"/>
  <c r="Y470" i="1"/>
  <c r="Z471" i="1"/>
  <c r="Y481" i="1"/>
  <c r="Z482" i="1"/>
  <c r="Y489" i="1"/>
  <c r="Z490" i="1"/>
  <c r="Y497" i="1"/>
  <c r="Z498" i="1"/>
  <c r="Z502" i="1"/>
  <c r="Y523" i="1"/>
  <c r="Y386" i="1"/>
  <c r="Z387" i="1"/>
  <c r="Y394" i="1"/>
  <c r="Z395" i="1"/>
  <c r="Y402" i="1"/>
  <c r="Z403" i="1"/>
  <c r="Y413" i="1"/>
  <c r="Z414" i="1"/>
  <c r="Y421" i="1"/>
  <c r="Z422" i="1"/>
  <c r="Y429" i="1"/>
  <c r="Z430" i="1"/>
  <c r="Y437" i="1"/>
  <c r="Z438" i="1"/>
  <c r="Y445" i="1"/>
  <c r="Z446" i="1"/>
  <c r="Y453" i="1"/>
  <c r="Z454" i="1"/>
  <c r="Y461" i="1"/>
  <c r="Z462" i="1"/>
  <c r="Y469" i="1"/>
  <c r="Z470" i="1"/>
  <c r="Y477" i="1"/>
  <c r="Z481" i="1"/>
  <c r="Y488" i="1"/>
  <c r="Z489" i="1"/>
  <c r="Y496" i="1"/>
  <c r="Z497" i="1"/>
  <c r="Y510" i="1"/>
  <c r="Z515" i="1"/>
  <c r="Z517" i="1"/>
  <c r="Q525" i="1"/>
  <c r="Z524" i="1"/>
  <c r="Y525" i="1"/>
  <c r="Q541" i="1"/>
  <c r="Z540" i="1"/>
  <c r="Z541" i="1"/>
  <c r="Y540" i="1"/>
  <c r="Y541" i="1"/>
  <c r="Z386" i="1"/>
  <c r="Z394" i="1"/>
  <c r="Z402" i="1"/>
  <c r="Z413" i="1"/>
  <c r="Z421" i="1"/>
  <c r="Z429" i="1"/>
  <c r="Z437" i="1"/>
  <c r="Z445" i="1"/>
  <c r="Z453" i="1"/>
  <c r="Z461" i="1"/>
  <c r="Z469" i="1"/>
  <c r="Z477" i="1"/>
  <c r="Z488" i="1"/>
  <c r="Z496" i="1"/>
  <c r="Z501" i="1"/>
  <c r="Q504" i="1"/>
  <c r="Y511" i="1"/>
  <c r="Z513" i="1"/>
  <c r="Q516" i="1"/>
  <c r="Y535" i="1"/>
  <c r="Y543" i="1"/>
  <c r="Y551" i="1"/>
  <c r="Y562" i="1"/>
  <c r="Y570" i="1"/>
  <c r="Y578" i="1"/>
  <c r="Y586" i="1"/>
  <c r="Y594" i="1"/>
  <c r="Y602" i="1"/>
  <c r="Y610" i="1"/>
  <c r="Y618" i="1"/>
  <c r="Y626" i="1"/>
  <c r="Z505" i="1"/>
  <c r="Z527" i="1"/>
  <c r="Y534" i="1"/>
  <c r="Z535" i="1"/>
  <c r="Y542" i="1"/>
  <c r="Z543" i="1"/>
  <c r="Y550" i="1"/>
  <c r="Z551" i="1"/>
  <c r="Y561" i="1"/>
  <c r="Z562" i="1"/>
  <c r="Y569" i="1"/>
  <c r="Z570" i="1"/>
  <c r="Y577" i="1"/>
  <c r="Z578" i="1"/>
  <c r="Y585" i="1"/>
  <c r="Z586" i="1"/>
  <c r="Y593" i="1"/>
  <c r="Z594" i="1"/>
  <c r="Y601" i="1"/>
  <c r="Z602" i="1"/>
  <c r="Y609" i="1"/>
  <c r="Z610" i="1"/>
  <c r="Y617" i="1"/>
  <c r="Z618" i="1"/>
  <c r="Y625" i="1"/>
  <c r="Z626" i="1"/>
  <c r="Z637" i="1"/>
  <c r="Z645" i="1"/>
  <c r="Z534" i="1"/>
  <c r="Z542" i="1"/>
  <c r="Y549" i="1"/>
  <c r="Z550" i="1"/>
  <c r="Z561" i="1"/>
  <c r="Z569" i="1"/>
  <c r="Y576" i="1"/>
  <c r="Z577" i="1"/>
  <c r="Y584" i="1"/>
  <c r="Z585" i="1"/>
  <c r="Y592" i="1"/>
  <c r="Z593" i="1"/>
  <c r="Y600" i="1"/>
  <c r="Z601" i="1"/>
  <c r="Y608" i="1"/>
  <c r="Z609" i="1"/>
  <c r="Y616" i="1"/>
  <c r="Z617" i="1"/>
  <c r="Y624" i="1"/>
  <c r="Z625" i="1"/>
  <c r="Y632" i="1"/>
  <c r="Y548" i="1"/>
  <c r="Z549" i="1"/>
  <c r="Y559" i="1"/>
  <c r="Z560" i="1"/>
  <c r="Y567" i="1"/>
  <c r="Z568" i="1"/>
  <c r="Y575" i="1"/>
  <c r="Z576" i="1"/>
  <c r="Y583" i="1"/>
  <c r="Z584" i="1"/>
  <c r="Y591" i="1"/>
  <c r="Z592" i="1"/>
  <c r="Y599" i="1"/>
  <c r="Z600" i="1"/>
  <c r="Y607" i="1"/>
  <c r="Z608" i="1"/>
  <c r="Y615" i="1"/>
  <c r="Z616" i="1"/>
  <c r="Y623" i="1"/>
  <c r="Z624" i="1"/>
  <c r="Y631" i="1"/>
  <c r="Z632" i="1"/>
  <c r="Y642" i="1"/>
  <c r="Z648" i="1"/>
  <c r="Y648" i="1"/>
  <c r="Z548" i="1"/>
  <c r="Z559" i="1"/>
  <c r="Z567" i="1"/>
  <c r="Z575" i="1"/>
  <c r="Z583" i="1"/>
  <c r="Z591" i="1"/>
  <c r="Z599" i="1"/>
  <c r="Z607" i="1"/>
  <c r="Z615" i="1"/>
  <c r="Z623" i="1"/>
  <c r="Y630" i="1"/>
  <c r="Z631" i="1"/>
  <c r="Y641" i="1"/>
  <c r="Z642" i="1"/>
  <c r="Y640" i="1"/>
  <c r="Z641" i="1"/>
  <c r="Y647" i="1"/>
  <c r="Z565" i="1"/>
  <c r="Z573" i="1"/>
  <c r="Z581" i="1"/>
  <c r="Z589" i="1"/>
  <c r="Z597" i="1"/>
  <c r="Z605" i="1"/>
  <c r="Z613" i="1"/>
  <c r="Z621" i="1"/>
  <c r="Y628" i="1"/>
  <c r="Z629" i="1"/>
  <c r="Y639" i="1"/>
  <c r="Z640" i="1"/>
  <c r="Q655" i="1"/>
  <c r="Z654" i="1"/>
  <c r="Z655" i="1"/>
  <c r="Y654" i="1"/>
  <c r="Y655" i="1"/>
  <c r="Z628" i="1"/>
  <c r="Z639" i="1"/>
  <c r="Q650" i="1"/>
  <c r="Z649" i="1"/>
  <c r="Z657" i="1"/>
  <c r="Q658" i="1"/>
  <c r="Z666" i="1"/>
  <c r="Z674" i="1"/>
  <c r="Z683" i="1"/>
  <c r="Z691" i="1"/>
  <c r="Q692" i="1"/>
  <c r="Y702" i="1"/>
  <c r="Z703" i="1"/>
  <c r="Y711" i="1"/>
  <c r="Z712" i="1"/>
  <c r="Q713" i="1"/>
  <c r="Y721" i="1"/>
  <c r="Z722" i="1"/>
  <c r="Z723" i="1"/>
  <c r="Q724" i="1"/>
  <c r="Y730" i="1"/>
  <c r="Z731" i="1"/>
  <c r="Q732" i="1"/>
  <c r="Y739" i="1"/>
  <c r="Z740" i="1"/>
  <c r="Q741" i="1"/>
  <c r="Y747" i="1"/>
  <c r="Z748" i="1"/>
  <c r="Z749" i="1"/>
  <c r="Y759" i="1"/>
  <c r="Y767" i="1"/>
  <c r="Y768" i="1"/>
  <c r="Y776" i="1"/>
  <c r="Y785" i="1"/>
  <c r="Y793" i="1"/>
  <c r="Y802" i="1"/>
  <c r="Z809" i="1"/>
  <c r="Q816" i="1"/>
  <c r="Z815" i="1"/>
  <c r="Y816" i="1"/>
  <c r="Q819" i="1"/>
  <c r="Z818" i="1"/>
  <c r="Y663" i="1"/>
  <c r="Y672" i="1"/>
  <c r="Z673" i="1"/>
  <c r="Y681" i="1"/>
  <c r="Z682" i="1"/>
  <c r="Y689" i="1"/>
  <c r="Z690" i="1"/>
  <c r="Y701" i="1"/>
  <c r="Z702" i="1"/>
  <c r="Q703" i="1"/>
  <c r="Y709" i="1"/>
  <c r="Y710" i="1"/>
  <c r="Z711" i="1"/>
  <c r="Q712" i="1"/>
  <c r="Y720" i="1"/>
  <c r="Z721" i="1"/>
  <c r="Q723" i="1"/>
  <c r="Z730" i="1"/>
  <c r="Z739" i="1"/>
  <c r="Z747" i="1"/>
  <c r="Q749" i="1"/>
  <c r="Y758" i="1"/>
  <c r="Z759" i="1"/>
  <c r="Q760" i="1"/>
  <c r="Y766" i="1"/>
  <c r="Z767" i="1"/>
  <c r="Z768" i="1"/>
  <c r="Y775" i="1"/>
  <c r="Z776" i="1"/>
  <c r="Y783" i="1"/>
  <c r="Y784" i="1"/>
  <c r="Z785" i="1"/>
  <c r="Y792" i="1"/>
  <c r="Z793" i="1"/>
  <c r="Y801" i="1"/>
  <c r="Z802" i="1"/>
  <c r="Y808" i="1"/>
  <c r="Y811" i="1"/>
  <c r="Y662" i="1"/>
  <c r="Z663" i="1"/>
  <c r="Y671" i="1"/>
  <c r="Z672" i="1"/>
  <c r="Y680" i="1"/>
  <c r="Z681" i="1"/>
  <c r="Y688" i="1"/>
  <c r="Z689" i="1"/>
  <c r="Y700" i="1"/>
  <c r="Z701" i="1"/>
  <c r="Y708" i="1"/>
  <c r="Z709" i="1"/>
  <c r="Z710" i="1"/>
  <c r="Y717" i="1"/>
  <c r="Z718" i="1"/>
  <c r="Z720" i="1"/>
  <c r="Z758" i="1"/>
  <c r="Z766" i="1"/>
  <c r="Z775" i="1"/>
  <c r="Z784" i="1"/>
  <c r="Z792" i="1"/>
  <c r="Z801" i="1"/>
  <c r="Z808" i="1"/>
  <c r="Z811" i="1"/>
  <c r="Q821" i="1"/>
  <c r="Z820" i="1"/>
  <c r="Z821" i="1"/>
  <c r="Y820" i="1"/>
  <c r="Z662" i="1"/>
  <c r="Z671" i="1"/>
  <c r="Z680" i="1"/>
  <c r="Z688" i="1"/>
  <c r="Z700" i="1"/>
  <c r="Z708" i="1"/>
  <c r="Z717" i="1"/>
  <c r="Y806" i="1"/>
  <c r="Y812" i="1"/>
  <c r="Z816" i="1"/>
  <c r="Z819" i="1"/>
  <c r="Z830" i="1"/>
  <c r="Q830" i="1"/>
  <c r="Z829" i="1"/>
  <c r="Y762" i="1"/>
  <c r="Z763" i="1"/>
  <c r="Y771" i="1"/>
  <c r="Z772" i="1"/>
  <c r="Y779" i="1"/>
  <c r="Y788" i="1"/>
  <c r="Y796" i="1"/>
  <c r="Z797" i="1"/>
  <c r="Y805" i="1"/>
  <c r="Z806" i="1"/>
  <c r="Y810" i="1"/>
  <c r="Z812" i="1"/>
  <c r="Y821" i="1"/>
  <c r="Z685" i="1"/>
  <c r="Y732" i="1"/>
  <c r="Y741" i="1"/>
  <c r="Y750" i="1"/>
  <c r="Y761" i="1"/>
  <c r="Z762" i="1"/>
  <c r="Y770" i="1"/>
  <c r="Z771" i="1"/>
  <c r="Y778" i="1"/>
  <c r="Z779" i="1"/>
  <c r="Y787" i="1"/>
  <c r="Z788" i="1"/>
  <c r="Y795" i="1"/>
  <c r="Z796" i="1"/>
  <c r="Y804" i="1"/>
  <c r="Z805" i="1"/>
  <c r="Z810" i="1"/>
  <c r="Y829" i="1"/>
  <c r="Y723" i="1"/>
  <c r="Y731" i="1"/>
  <c r="Y740" i="1"/>
  <c r="Y748" i="1"/>
  <c r="Z761" i="1"/>
  <c r="Z770" i="1"/>
  <c r="Z778" i="1"/>
  <c r="Z787" i="1"/>
  <c r="Z795" i="1"/>
  <c r="Y809" i="1"/>
  <c r="Y828" i="1"/>
  <c r="Y836" i="1"/>
  <c r="Y837" i="1"/>
  <c r="Z838" i="1"/>
  <c r="Q839" i="1"/>
  <c r="Y845" i="1"/>
  <c r="Z846" i="1"/>
  <c r="Q847" i="1"/>
  <c r="Y854" i="1"/>
  <c r="Z855" i="1"/>
  <c r="Q856" i="1"/>
  <c r="Y862" i="1"/>
  <c r="Z863" i="1"/>
  <c r="Q864" i="1"/>
  <c r="Y871" i="1"/>
  <c r="Z872" i="1"/>
  <c r="Q873" i="1"/>
  <c r="Z883" i="1"/>
  <c r="Q903" i="1"/>
  <c r="Y814" i="1"/>
  <c r="Y826" i="1"/>
  <c r="Z827" i="1"/>
  <c r="Y834" i="1"/>
  <c r="Z835" i="1"/>
  <c r="Y843" i="1"/>
  <c r="Z844" i="1"/>
  <c r="Y852" i="1"/>
  <c r="Z853" i="1"/>
  <c r="Y860" i="1"/>
  <c r="Z861" i="1"/>
  <c r="Y868" i="1"/>
  <c r="Y869" i="1"/>
  <c r="Z870" i="1"/>
  <c r="Y877" i="1"/>
  <c r="Y882" i="1"/>
  <c r="Q891" i="1"/>
  <c r="Q937" i="1"/>
  <c r="Z936" i="1"/>
  <c r="Y936" i="1"/>
  <c r="Q945" i="1"/>
  <c r="Z944" i="1"/>
  <c r="Y944" i="1"/>
  <c r="Y881" i="1"/>
  <c r="Q887" i="1"/>
  <c r="Y887" i="1"/>
  <c r="Y886" i="1"/>
  <c r="Q889" i="1"/>
  <c r="Z888" i="1"/>
  <c r="Q904" i="1"/>
  <c r="Z903" i="1"/>
  <c r="Y903" i="1"/>
  <c r="Q911" i="1"/>
  <c r="Z910" i="1"/>
  <c r="Y910" i="1"/>
  <c r="Z813" i="1"/>
  <c r="Z822" i="1"/>
  <c r="Z833" i="1"/>
  <c r="Z842" i="1"/>
  <c r="Z851" i="1"/>
  <c r="Z859" i="1"/>
  <c r="Z867" i="1"/>
  <c r="Z876" i="1"/>
  <c r="Z881" i="1"/>
  <c r="Y884" i="1"/>
  <c r="Z886" i="1"/>
  <c r="Z890" i="1"/>
  <c r="Q919" i="1"/>
  <c r="Z918" i="1"/>
  <c r="Y918" i="1"/>
  <c r="Y831" i="1"/>
  <c r="Z832" i="1"/>
  <c r="Y840" i="1"/>
  <c r="Z841" i="1"/>
  <c r="Y848" i="1"/>
  <c r="Z849" i="1"/>
  <c r="Y857" i="1"/>
  <c r="Z858" i="1"/>
  <c r="Y865" i="1"/>
  <c r="Z866" i="1"/>
  <c r="Y874" i="1"/>
  <c r="Z875" i="1"/>
  <c r="Y880" i="1"/>
  <c r="Y888" i="1"/>
  <c r="Y891" i="1"/>
  <c r="Q920" i="1"/>
  <c r="Z919" i="1"/>
  <c r="Y919" i="1"/>
  <c r="Z831" i="1"/>
  <c r="Z840" i="1"/>
  <c r="Z848" i="1"/>
  <c r="Z857" i="1"/>
  <c r="Z865" i="1"/>
  <c r="Z874" i="1"/>
  <c r="Z880" i="1"/>
  <c r="Q894" i="1"/>
  <c r="Z893" i="1"/>
  <c r="Y893" i="1"/>
  <c r="Y894" i="1"/>
  <c r="Y838" i="1"/>
  <c r="Y846" i="1"/>
  <c r="Y855" i="1"/>
  <c r="Y863" i="1"/>
  <c r="Y872" i="1"/>
  <c r="Q886" i="1"/>
  <c r="Z885" i="1"/>
  <c r="Y889" i="1"/>
  <c r="Q928" i="1"/>
  <c r="Z927" i="1"/>
  <c r="Y927" i="1"/>
  <c r="Z899" i="1"/>
  <c r="Y906" i="1"/>
  <c r="Y907" i="1"/>
  <c r="Z908" i="1"/>
  <c r="Y915" i="1"/>
  <c r="Z916" i="1"/>
  <c r="Y924" i="1"/>
  <c r="Z925" i="1"/>
  <c r="Y932" i="1"/>
  <c r="Y933" i="1"/>
  <c r="Z934" i="1"/>
  <c r="Y941" i="1"/>
  <c r="Z942" i="1"/>
  <c r="Z949" i="1"/>
  <c r="Y953" i="1"/>
  <c r="Z956" i="1"/>
  <c r="Y961" i="1"/>
  <c r="Q968" i="1"/>
  <c r="Z967" i="1"/>
  <c r="Y968" i="1"/>
  <c r="Q974" i="1"/>
  <c r="Z973" i="1"/>
  <c r="Y974" i="1"/>
  <c r="Q978" i="1"/>
  <c r="Z977" i="1"/>
  <c r="Y977" i="1"/>
  <c r="Y905" i="1"/>
  <c r="Z906" i="1"/>
  <c r="Z907" i="1"/>
  <c r="Y914" i="1"/>
  <c r="Z915" i="1"/>
  <c r="Y923" i="1"/>
  <c r="Z924" i="1"/>
  <c r="Y931" i="1"/>
  <c r="Z932" i="1"/>
  <c r="Z933" i="1"/>
  <c r="Y940" i="1"/>
  <c r="Z941" i="1"/>
  <c r="Y948" i="1"/>
  <c r="Y952" i="1"/>
  <c r="Z961" i="1"/>
  <c r="Y973" i="1"/>
  <c r="Z894" i="1"/>
  <c r="Y904" i="1"/>
  <c r="Z905" i="1"/>
  <c r="Z914" i="1"/>
  <c r="Z923" i="1"/>
  <c r="Z931" i="1"/>
  <c r="Z940" i="1"/>
  <c r="Y957" i="1"/>
  <c r="Q960" i="1"/>
  <c r="Z959" i="1"/>
  <c r="Q963" i="1"/>
  <c r="Q981" i="1"/>
  <c r="Q990" i="1"/>
  <c r="Z989" i="1"/>
  <c r="Y989" i="1"/>
  <c r="Z904" i="1"/>
  <c r="Y912" i="1"/>
  <c r="Y921" i="1"/>
  <c r="Y929" i="1"/>
  <c r="Y938" i="1"/>
  <c r="Y946" i="1"/>
  <c r="Z957" i="1"/>
  <c r="Y959" i="1"/>
  <c r="Q966" i="1"/>
  <c r="Y966" i="1"/>
  <c r="Q1002" i="1"/>
  <c r="Y1001" i="1"/>
  <c r="Z1002" i="1"/>
  <c r="Q1018" i="1"/>
  <c r="Z1017" i="1"/>
  <c r="Z1018" i="1"/>
  <c r="Y1018" i="1"/>
  <c r="Y1017" i="1"/>
  <c r="Y911" i="1"/>
  <c r="Z912" i="1"/>
  <c r="Y920" i="1"/>
  <c r="Z921" i="1"/>
  <c r="Y928" i="1"/>
  <c r="Z929" i="1"/>
  <c r="Y937" i="1"/>
  <c r="Z938" i="1"/>
  <c r="Y945" i="1"/>
  <c r="Z946" i="1"/>
  <c r="Y951" i="1"/>
  <c r="Z962" i="1"/>
  <c r="Z968" i="1"/>
  <c r="Z974" i="1"/>
  <c r="Y978" i="1"/>
  <c r="Q998" i="1"/>
  <c r="Y997" i="1"/>
  <c r="Q1013" i="1"/>
  <c r="Z1012" i="1"/>
  <c r="Z1013" i="1"/>
  <c r="Y1013" i="1"/>
  <c r="Z911" i="1"/>
  <c r="Z920" i="1"/>
  <c r="Z928" i="1"/>
  <c r="Z937" i="1"/>
  <c r="Z945" i="1"/>
  <c r="Y950" i="1"/>
  <c r="Z951" i="1"/>
  <c r="Q955" i="1"/>
  <c r="Z954" i="1"/>
  <c r="Q959" i="1"/>
  <c r="Y960" i="1"/>
  <c r="Q970" i="1"/>
  <c r="Z969" i="1"/>
  <c r="Y969" i="1"/>
  <c r="Q973" i="1"/>
  <c r="Z980" i="1"/>
  <c r="Z950" i="1"/>
  <c r="Z1001" i="1"/>
  <c r="Q1023" i="1"/>
  <c r="Z1023" i="1"/>
  <c r="Z1022" i="1"/>
  <c r="Z970" i="1"/>
  <c r="Z978" i="1"/>
  <c r="Y986" i="1"/>
  <c r="Z987" i="1"/>
  <c r="Y994" i="1"/>
  <c r="Z995" i="1"/>
  <c r="Z996" i="1"/>
  <c r="Z1007" i="1"/>
  <c r="Z1024" i="1"/>
  <c r="Y1024" i="1"/>
  <c r="Q1032" i="1"/>
  <c r="Q1034" i="1"/>
  <c r="Z1037" i="1"/>
  <c r="Q1037" i="1"/>
  <c r="Q1072" i="1"/>
  <c r="Y1070" i="1"/>
  <c r="Z1072" i="1"/>
  <c r="Y976" i="1"/>
  <c r="Y985" i="1"/>
  <c r="Z986" i="1"/>
  <c r="Y993" i="1"/>
  <c r="Z994" i="1"/>
  <c r="Y1000" i="1"/>
  <c r="Y1007" i="1"/>
  <c r="Q1012" i="1"/>
  <c r="Q1040" i="1"/>
  <c r="Y1038" i="1"/>
  <c r="Q1048" i="1"/>
  <c r="Y1046" i="1"/>
  <c r="Z1048" i="1"/>
  <c r="Z1070" i="1"/>
  <c r="Y999" i="1"/>
  <c r="Q1004" i="1"/>
  <c r="Z1003" i="1"/>
  <c r="Z1016" i="1"/>
  <c r="Z975" i="1"/>
  <c r="Y982" i="1"/>
  <c r="Z984" i="1"/>
  <c r="Y991" i="1"/>
  <c r="Z992" i="1"/>
  <c r="Z999" i="1"/>
  <c r="Y1006" i="1"/>
  <c r="Y1016" i="1"/>
  <c r="Y1023" i="1"/>
  <c r="Q1026" i="1"/>
  <c r="Z1025" i="1"/>
  <c r="Y1026" i="1"/>
  <c r="Q1035" i="1"/>
  <c r="Z1034" i="1"/>
  <c r="Y1035" i="1"/>
  <c r="Q1064" i="1"/>
  <c r="Y1062" i="1"/>
  <c r="Z1064" i="1"/>
  <c r="Q1080" i="1"/>
  <c r="Y1078" i="1"/>
  <c r="Z1080" i="1"/>
  <c r="Y981" i="1"/>
  <c r="Z982" i="1"/>
  <c r="Y990" i="1"/>
  <c r="Z991" i="1"/>
  <c r="Y998" i="1"/>
  <c r="Z1006" i="1"/>
  <c r="Y1028" i="1"/>
  <c r="Q1029" i="1"/>
  <c r="Z1028" i="1"/>
  <c r="Z981" i="1"/>
  <c r="Z990" i="1"/>
  <c r="Z998" i="1"/>
  <c r="Y1002" i="1"/>
  <c r="Y1005" i="1"/>
  <c r="Q1009" i="1"/>
  <c r="Z1008" i="1"/>
  <c r="Y1010" i="1"/>
  <c r="Y1015" i="1"/>
  <c r="Y1020" i="1"/>
  <c r="Q1021" i="1"/>
  <c r="Z1020" i="1"/>
  <c r="Y1025" i="1"/>
  <c r="Y1034" i="1"/>
  <c r="Z1040" i="1"/>
  <c r="Z1045" i="1"/>
  <c r="Q1045" i="1"/>
  <c r="Y1043" i="1"/>
  <c r="Q1056" i="1"/>
  <c r="Y1054" i="1"/>
  <c r="Z1056" i="1"/>
  <c r="Z1085" i="1"/>
  <c r="Q1088" i="1"/>
  <c r="Z1088" i="1"/>
  <c r="Y1088" i="1"/>
  <c r="Y1051" i="1"/>
  <c r="Q1053" i="1"/>
  <c r="Y1059" i="1"/>
  <c r="Q1061" i="1"/>
  <c r="Y1067" i="1"/>
  <c r="Q1069" i="1"/>
  <c r="Y1075" i="1"/>
  <c r="Q1077" i="1"/>
  <c r="Y1041" i="1"/>
  <c r="Y1049" i="1"/>
  <c r="Z1050" i="1"/>
  <c r="Y1057" i="1"/>
  <c r="Z1058" i="1"/>
  <c r="Y1065" i="1"/>
  <c r="Z1066" i="1"/>
  <c r="Y1073" i="1"/>
  <c r="Z1074" i="1"/>
  <c r="Y1081" i="1"/>
  <c r="Y1048" i="1"/>
  <c r="Y1056" i="1"/>
  <c r="Y1064" i="1"/>
  <c r="Y1072" i="1"/>
  <c r="Y1080" i="1"/>
  <c r="Z1029" i="1"/>
  <c r="Y1036" i="1"/>
  <c r="Y1044" i="1"/>
  <c r="Y1052" i="1"/>
  <c r="Y1060" i="1"/>
  <c r="Y1068" i="1"/>
  <c r="Y1076" i="1"/>
  <c r="Y1084" i="1"/>
  <c r="V485" i="1" l="1"/>
  <c r="X485" i="1" s="1"/>
  <c r="V493" i="1"/>
  <c r="X493" i="1" s="1"/>
  <c r="V100" i="1"/>
  <c r="X100" i="1" s="1"/>
  <c r="V229" i="1"/>
  <c r="X229" i="1" s="1"/>
  <c r="V180" i="1"/>
  <c r="X180" i="1" s="1"/>
  <c r="V186" i="1"/>
  <c r="X186" i="1" s="1"/>
  <c r="V320" i="1"/>
  <c r="X320" i="1" s="1"/>
  <c r="V293" i="1"/>
  <c r="X293" i="1" s="1"/>
  <c r="V341" i="1"/>
  <c r="X341" i="1" s="1"/>
  <c r="V370" i="1"/>
  <c r="X370" i="1" s="1"/>
  <c r="V402" i="1"/>
  <c r="X402" i="1" s="1"/>
  <c r="V437" i="1"/>
  <c r="X437" i="1" s="1"/>
  <c r="V469" i="1"/>
  <c r="X469" i="1" s="1"/>
  <c r="V466" i="1"/>
  <c r="X466" i="1" s="1"/>
  <c r="V504" i="1"/>
  <c r="X504" i="1" s="1"/>
  <c r="V482" i="1"/>
  <c r="X482" i="1" s="1"/>
  <c r="V573" i="1"/>
  <c r="X573" i="1" s="1"/>
  <c r="V564" i="1"/>
  <c r="X564" i="1" s="1"/>
  <c r="V596" i="1"/>
  <c r="X596" i="1" s="1"/>
  <c r="V628" i="1"/>
  <c r="X628" i="1" s="1"/>
  <c r="AB518" i="1"/>
  <c r="V518" i="1" s="1"/>
  <c r="X518" i="1" s="1"/>
  <c r="AB585" i="1"/>
  <c r="V585" i="1" s="1"/>
  <c r="X585" i="1" s="1"/>
  <c r="V582" i="1"/>
  <c r="X582" i="1" s="1"/>
  <c r="V614" i="1"/>
  <c r="X614" i="1" s="1"/>
  <c r="V658" i="1"/>
  <c r="X658" i="1" s="1"/>
  <c r="V782" i="1"/>
  <c r="X782" i="1" s="1"/>
  <c r="V699" i="1"/>
  <c r="X699" i="1" s="1"/>
  <c r="V852" i="1"/>
  <c r="X852" i="1" s="1"/>
  <c r="V833" i="1"/>
  <c r="X833" i="1" s="1"/>
  <c r="V10" i="1"/>
  <c r="X10" i="1" s="1"/>
  <c r="V26" i="1"/>
  <c r="X26" i="1" s="1"/>
  <c r="V109" i="1"/>
  <c r="X109" i="1" s="1"/>
  <c r="V132" i="1"/>
  <c r="X132" i="1" s="1"/>
  <c r="V148" i="1"/>
  <c r="X148" i="1" s="1"/>
  <c r="V121" i="1"/>
  <c r="X121" i="1" s="1"/>
  <c r="V95" i="1"/>
  <c r="X95" i="1" s="1"/>
  <c r="V224" i="1"/>
  <c r="X224" i="1" s="1"/>
  <c r="V48" i="1"/>
  <c r="X48" i="1" s="1"/>
  <c r="V25" i="1"/>
  <c r="X25" i="1" s="1"/>
  <c r="V17" i="1"/>
  <c r="X17" i="1" s="1"/>
  <c r="V239" i="1"/>
  <c r="X239" i="1" s="1"/>
  <c r="V165" i="1"/>
  <c r="X165" i="1" s="1"/>
  <c r="V197" i="1"/>
  <c r="X197" i="1" s="1"/>
  <c r="V292" i="1"/>
  <c r="X292" i="1" s="1"/>
  <c r="V343" i="1"/>
  <c r="X343" i="1" s="1"/>
  <c r="AB367" i="1"/>
  <c r="V434" i="1"/>
  <c r="X434" i="1" s="1"/>
  <c r="V406" i="1"/>
  <c r="X406" i="1" s="1"/>
  <c r="V441" i="1"/>
  <c r="X441" i="1" s="1"/>
  <c r="AB473" i="1"/>
  <c r="V455" i="1"/>
  <c r="X455" i="1" s="1"/>
  <c r="V555" i="1"/>
  <c r="X555" i="1" s="1"/>
  <c r="V529" i="1"/>
  <c r="X529" i="1" s="1"/>
  <c r="V562" i="1"/>
  <c r="X562" i="1" s="1"/>
  <c r="V594" i="1"/>
  <c r="X594" i="1" s="1"/>
  <c r="V547" i="1"/>
  <c r="X547" i="1" s="1"/>
  <c r="V718" i="1"/>
  <c r="X718" i="1" s="1"/>
  <c r="V784" i="1"/>
  <c r="X784" i="1" s="1"/>
  <c r="V744" i="1"/>
  <c r="X744" i="1" s="1"/>
  <c r="V686" i="1"/>
  <c r="X686" i="1" s="1"/>
  <c r="V715" i="1"/>
  <c r="X715" i="1" s="1"/>
  <c r="V752" i="1"/>
  <c r="X752" i="1" s="1"/>
  <c r="V882" i="1"/>
  <c r="X882" i="1" s="1"/>
  <c r="V73" i="1"/>
  <c r="X73" i="1" s="1"/>
  <c r="V117" i="1"/>
  <c r="X117" i="1" s="1"/>
  <c r="V182" i="1"/>
  <c r="X182" i="1" s="1"/>
  <c r="V108" i="1"/>
  <c r="X108" i="1" s="1"/>
  <c r="V221" i="1"/>
  <c r="X221" i="1" s="1"/>
  <c r="V334" i="1"/>
  <c r="X334" i="1" s="1"/>
  <c r="V376" i="1"/>
  <c r="X376" i="1" s="1"/>
  <c r="V282" i="1"/>
  <c r="X282" i="1" s="1"/>
  <c r="V331" i="1"/>
  <c r="X331" i="1" s="1"/>
  <c r="V280" i="1"/>
  <c r="X280" i="1" s="1"/>
  <c r="V487" i="1"/>
  <c r="X487" i="1" s="1"/>
  <c r="V474" i="1"/>
  <c r="X474" i="1" s="1"/>
  <c r="V396" i="1"/>
  <c r="X396" i="1" s="1"/>
  <c r="V490" i="1"/>
  <c r="X490" i="1" s="1"/>
  <c r="V593" i="1"/>
  <c r="X593" i="1" s="1"/>
  <c r="V540" i="1"/>
  <c r="X540" i="1" s="1"/>
  <c r="V590" i="1"/>
  <c r="X590" i="1" s="1"/>
  <c r="V758" i="1"/>
  <c r="X758" i="1" s="1"/>
  <c r="V895" i="1"/>
  <c r="X895" i="1" s="1"/>
  <c r="V921" i="1"/>
  <c r="X921" i="1" s="1"/>
  <c r="V985" i="1"/>
  <c r="X985" i="1" s="1"/>
  <c r="V982" i="1"/>
  <c r="X982" i="1" s="1"/>
  <c r="V99" i="1"/>
  <c r="X99" i="1" s="1"/>
  <c r="V150" i="1"/>
  <c r="X150" i="1" s="1"/>
  <c r="V215" i="1"/>
  <c r="X215" i="1" s="1"/>
  <c r="V140" i="1"/>
  <c r="X140" i="1" s="1"/>
  <c r="V252" i="1"/>
  <c r="X252" i="1" s="1"/>
  <c r="V92" i="1"/>
  <c r="X92" i="1" s="1"/>
  <c r="V173" i="1"/>
  <c r="X173" i="1" s="1"/>
  <c r="V205" i="1"/>
  <c r="X205" i="1" s="1"/>
  <c r="V131" i="1"/>
  <c r="X131" i="1" s="1"/>
  <c r="V302" i="1"/>
  <c r="X302" i="1" s="1"/>
  <c r="V470" i="1"/>
  <c r="X470" i="1" s="1"/>
  <c r="V475" i="1"/>
  <c r="X475" i="1" s="1"/>
  <c r="V509" i="1"/>
  <c r="X509" i="1" s="1"/>
  <c r="V484" i="1"/>
  <c r="X484" i="1" s="1"/>
  <c r="V416" i="1"/>
  <c r="X416" i="1" s="1"/>
  <c r="V448" i="1"/>
  <c r="X448" i="1" s="1"/>
  <c r="V483" i="1"/>
  <c r="X483" i="1" s="1"/>
  <c r="V570" i="1"/>
  <c r="X570" i="1" s="1"/>
  <c r="V690" i="1"/>
  <c r="X690" i="1" s="1"/>
  <c r="V785" i="1"/>
  <c r="X785" i="1" s="1"/>
  <c r="V792" i="1"/>
  <c r="X792" i="1" s="1"/>
  <c r="V653" i="1"/>
  <c r="X653" i="1" s="1"/>
  <c r="V716" i="1"/>
  <c r="X716" i="1" s="1"/>
  <c r="V726" i="1"/>
  <c r="X726" i="1" s="1"/>
  <c r="V876" i="1"/>
  <c r="X876" i="1" s="1"/>
  <c r="V910" i="1"/>
  <c r="X910" i="1" s="1"/>
  <c r="V908" i="1"/>
  <c r="X908" i="1" s="1"/>
  <c r="V975" i="1"/>
  <c r="X975" i="1" s="1"/>
  <c r="V404" i="1"/>
  <c r="X404" i="1" s="1"/>
  <c r="AB580" i="1"/>
  <c r="V563" i="1"/>
  <c r="X563" i="1" s="1"/>
  <c r="V701" i="1"/>
  <c r="X701" i="1" s="1"/>
  <c r="V729" i="1"/>
  <c r="X729" i="1" s="1"/>
  <c r="V766" i="1"/>
  <c r="X766" i="1" s="1"/>
  <c r="V838" i="1"/>
  <c r="X838" i="1" s="1"/>
  <c r="V800" i="1"/>
  <c r="X800" i="1" s="1"/>
  <c r="V843" i="1"/>
  <c r="X843" i="1" s="1"/>
  <c r="V851" i="1"/>
  <c r="X851" i="1" s="1"/>
  <c r="V973" i="1"/>
  <c r="X973" i="1" s="1"/>
  <c r="V86" i="1"/>
  <c r="X86" i="1" s="1"/>
  <c r="V54" i="1"/>
  <c r="X54" i="1" s="1"/>
  <c r="V127" i="1"/>
  <c r="X127" i="1" s="1"/>
  <c r="V51" i="1"/>
  <c r="X51" i="1" s="1"/>
  <c r="V151" i="1"/>
  <c r="X151" i="1" s="1"/>
  <c r="V183" i="1"/>
  <c r="X183" i="1" s="1"/>
  <c r="V219" i="1"/>
  <c r="X219" i="1" s="1"/>
  <c r="V147" i="1"/>
  <c r="X147" i="1" s="1"/>
  <c r="V178" i="1"/>
  <c r="X178" i="1" s="1"/>
  <c r="V120" i="1"/>
  <c r="X120" i="1" s="1"/>
  <c r="V185" i="1"/>
  <c r="X185" i="1" s="1"/>
  <c r="V285" i="1"/>
  <c r="X285" i="1" s="1"/>
  <c r="V321" i="1"/>
  <c r="X321" i="1" s="1"/>
  <c r="AB356" i="1"/>
  <c r="V394" i="1"/>
  <c r="X394" i="1" s="1"/>
  <c r="V429" i="1"/>
  <c r="X429" i="1" s="1"/>
  <c r="V401" i="1"/>
  <c r="X401" i="1" s="1"/>
  <c r="V503" i="1"/>
  <c r="X503" i="1" s="1"/>
  <c r="V486" i="1"/>
  <c r="X486" i="1" s="1"/>
  <c r="V530" i="1"/>
  <c r="X530" i="1" s="1"/>
  <c r="V565" i="1"/>
  <c r="X565" i="1" s="1"/>
  <c r="V588" i="1"/>
  <c r="X588" i="1" s="1"/>
  <c r="V620" i="1"/>
  <c r="X620" i="1" s="1"/>
  <c r="V571" i="1"/>
  <c r="X571" i="1" s="1"/>
  <c r="V603" i="1"/>
  <c r="X603" i="1" s="1"/>
  <c r="V568" i="1"/>
  <c r="X568" i="1" s="1"/>
  <c r="V650" i="1"/>
  <c r="X650" i="1" s="1"/>
  <c r="V674" i="1"/>
  <c r="X674" i="1" s="1"/>
  <c r="V846" i="1"/>
  <c r="X846" i="1" s="1"/>
  <c r="V326" i="1"/>
  <c r="X326" i="1" s="1"/>
  <c r="V258" i="1"/>
  <c r="X258" i="1" s="1"/>
  <c r="V230" i="1"/>
  <c r="X230" i="1" s="1"/>
  <c r="V354" i="1"/>
  <c r="X354" i="1" s="1"/>
  <c r="V259" i="1"/>
  <c r="X259" i="1" s="1"/>
  <c r="V75" i="1"/>
  <c r="X75" i="1" s="1"/>
  <c r="V43" i="1"/>
  <c r="X43" i="1" s="1"/>
  <c r="V16" i="1"/>
  <c r="X16" i="1" s="1"/>
  <c r="V225" i="1"/>
  <c r="X225" i="1" s="1"/>
  <c r="V327" i="1"/>
  <c r="X327" i="1" s="1"/>
  <c r="V70" i="1"/>
  <c r="X70" i="1" s="1"/>
  <c r="V460" i="1"/>
  <c r="X460" i="1" s="1"/>
  <c r="V56" i="1"/>
  <c r="X56" i="1" s="1"/>
  <c r="V428" i="1"/>
  <c r="X428" i="1" s="1"/>
  <c r="V68" i="1"/>
  <c r="X68" i="1" s="1"/>
  <c r="V353" i="1"/>
  <c r="X353" i="1" s="1"/>
  <c r="V12" i="1"/>
  <c r="X12" i="1" s="1"/>
  <c r="V98" i="1"/>
  <c r="X98" i="1" s="1"/>
  <c r="V72" i="1"/>
  <c r="X72" i="1" s="1"/>
  <c r="V81" i="1"/>
  <c r="X81" i="1" s="1"/>
  <c r="V65" i="1"/>
  <c r="X65" i="1" s="1"/>
  <c r="V93" i="1"/>
  <c r="X93" i="1" s="1"/>
  <c r="V110" i="1"/>
  <c r="X110" i="1" s="1"/>
  <c r="V142" i="1"/>
  <c r="X142" i="1" s="1"/>
  <c r="V175" i="1"/>
  <c r="X175" i="1" s="1"/>
  <c r="V208" i="1"/>
  <c r="X208" i="1" s="1"/>
  <c r="V116" i="1"/>
  <c r="X116" i="1" s="1"/>
  <c r="V196" i="1"/>
  <c r="X196" i="1" s="1"/>
  <c r="V138" i="1"/>
  <c r="X138" i="1" s="1"/>
  <c r="V171" i="1"/>
  <c r="X171" i="1" s="1"/>
  <c r="V203" i="1"/>
  <c r="X203" i="1" s="1"/>
  <c r="V137" i="1"/>
  <c r="X137" i="1" s="1"/>
  <c r="V202" i="1"/>
  <c r="X202" i="1" s="1"/>
  <c r="V228" i="1"/>
  <c r="X228" i="1" s="1"/>
  <c r="V112" i="1"/>
  <c r="X112" i="1" s="1"/>
  <c r="V145" i="1"/>
  <c r="X145" i="1" s="1"/>
  <c r="V177" i="1"/>
  <c r="X177" i="1" s="1"/>
  <c r="V237" i="1"/>
  <c r="X237" i="1" s="1"/>
  <c r="V304" i="1"/>
  <c r="X304" i="1" s="1"/>
  <c r="V301" i="1"/>
  <c r="X301" i="1" s="1"/>
  <c r="V333" i="1"/>
  <c r="X333" i="1" s="1"/>
  <c r="V379" i="1"/>
  <c r="X379" i="1" s="1"/>
  <c r="V305" i="1"/>
  <c r="X305" i="1" s="1"/>
  <c r="V340" i="1"/>
  <c r="X340" i="1" s="1"/>
  <c r="V371" i="1"/>
  <c r="X371" i="1" s="1"/>
  <c r="AB444" i="1"/>
  <c r="V400" i="1"/>
  <c r="X400" i="1" s="1"/>
  <c r="AB427" i="1"/>
  <c r="V426" i="1"/>
  <c r="X426" i="1" s="1"/>
  <c r="AB458" i="1"/>
  <c r="V523" i="1"/>
  <c r="X523" i="1" s="1"/>
  <c r="V431" i="1"/>
  <c r="X431" i="1" s="1"/>
  <c r="V463" i="1"/>
  <c r="X463" i="1" s="1"/>
  <c r="AB517" i="1"/>
  <c r="V517" i="1" s="1"/>
  <c r="X517" i="1" s="1"/>
  <c r="V581" i="1"/>
  <c r="X581" i="1" s="1"/>
  <c r="V613" i="1"/>
  <c r="X613" i="1" s="1"/>
  <c r="V551" i="1"/>
  <c r="X551" i="1" s="1"/>
  <c r="V586" i="1"/>
  <c r="X586" i="1" s="1"/>
  <c r="AB618" i="1"/>
  <c r="V549" i="1"/>
  <c r="X549" i="1" s="1"/>
  <c r="V643" i="1"/>
  <c r="X643" i="1" s="1"/>
  <c r="V556" i="1"/>
  <c r="X556" i="1" s="1"/>
  <c r="V615" i="1"/>
  <c r="X615" i="1" s="1"/>
  <c r="AB531" i="1"/>
  <c r="V762" i="1"/>
  <c r="X762" i="1" s="1"/>
  <c r="V796" i="1"/>
  <c r="X796" i="1" s="1"/>
  <c r="V692" i="1"/>
  <c r="X692" i="1" s="1"/>
  <c r="V724" i="1"/>
  <c r="X724" i="1" s="1"/>
  <c r="V787" i="1"/>
  <c r="X787" i="1" s="1"/>
  <c r="V722" i="1"/>
  <c r="X722" i="1" s="1"/>
  <c r="V749" i="1"/>
  <c r="X749" i="1" s="1"/>
  <c r="V777" i="1"/>
  <c r="X777" i="1" s="1"/>
  <c r="V648" i="1"/>
  <c r="X648" i="1" s="1"/>
  <c r="V682" i="1"/>
  <c r="X682" i="1" s="1"/>
  <c r="V747" i="1"/>
  <c r="X747" i="1" s="1"/>
  <c r="V710" i="1"/>
  <c r="X710" i="1" s="1"/>
  <c r="V671" i="1"/>
  <c r="X671" i="1" s="1"/>
  <c r="V743" i="1"/>
  <c r="X743" i="1" s="1"/>
  <c r="V830" i="1"/>
  <c r="X830" i="1" s="1"/>
  <c r="V863" i="1"/>
  <c r="X863" i="1" s="1"/>
  <c r="V835" i="1"/>
  <c r="X835" i="1" s="1"/>
  <c r="V823" i="1"/>
  <c r="X823" i="1" s="1"/>
  <c r="V877" i="1"/>
  <c r="X877" i="1" s="1"/>
  <c r="V859" i="1"/>
  <c r="X859" i="1" s="1"/>
  <c r="V903" i="1"/>
  <c r="X903" i="1" s="1"/>
  <c r="V849" i="1"/>
  <c r="X849" i="1" s="1"/>
  <c r="V896" i="1"/>
  <c r="X896" i="1" s="1"/>
  <c r="V938" i="1"/>
  <c r="X938" i="1" s="1"/>
  <c r="V988" i="1"/>
  <c r="X988" i="1" s="1"/>
  <c r="V1000" i="1"/>
  <c r="X1000" i="1" s="1"/>
  <c r="V1002" i="1"/>
  <c r="X1002" i="1" s="1"/>
  <c r="V1084" i="1"/>
  <c r="X1084" i="1" s="1"/>
  <c r="V76" i="1"/>
  <c r="X76" i="1" s="1"/>
  <c r="X11" i="1"/>
  <c r="AC13" i="1" s="1"/>
  <c r="AD13" i="1"/>
  <c r="V78" i="1"/>
  <c r="X78" i="1" s="1"/>
  <c r="V62" i="1"/>
  <c r="X62" i="1" s="1"/>
  <c r="V47" i="1"/>
  <c r="X47" i="1" s="1"/>
  <c r="S97" i="1"/>
  <c r="A143" i="1"/>
  <c r="V66" i="1"/>
  <c r="X66" i="1" s="1"/>
  <c r="V83" i="1"/>
  <c r="X83" i="1" s="1"/>
  <c r="V181" i="1"/>
  <c r="X181" i="1" s="1"/>
  <c r="V139" i="1"/>
  <c r="X139" i="1" s="1"/>
  <c r="V243" i="1"/>
  <c r="X243" i="1" s="1"/>
  <c r="V311" i="1"/>
  <c r="X311" i="1" s="1"/>
  <c r="AB310" i="1"/>
  <c r="V383" i="1"/>
  <c r="X383" i="1" s="1"/>
  <c r="V290" i="1"/>
  <c r="X290" i="1" s="1"/>
  <c r="V273" i="1"/>
  <c r="X273" i="1" s="1"/>
  <c r="V307" i="1"/>
  <c r="X307" i="1" s="1"/>
  <c r="V368" i="1"/>
  <c r="X368" i="1" s="1"/>
  <c r="V255" i="1"/>
  <c r="X255" i="1" s="1"/>
  <c r="V357" i="1"/>
  <c r="X357" i="1" s="1"/>
  <c r="V246" i="1"/>
  <c r="X246" i="1" s="1"/>
  <c r="V279" i="1"/>
  <c r="X279" i="1" s="1"/>
  <c r="V445" i="1"/>
  <c r="X445" i="1" s="1"/>
  <c r="V477" i="1"/>
  <c r="X477" i="1" s="1"/>
  <c r="V390" i="1"/>
  <c r="X390" i="1" s="1"/>
  <c r="V425" i="1"/>
  <c r="X425" i="1" s="1"/>
  <c r="V499" i="1"/>
  <c r="X499" i="1" s="1"/>
  <c r="V537" i="1"/>
  <c r="X537" i="1" s="1"/>
  <c r="V520" i="1"/>
  <c r="X520" i="1" s="1"/>
  <c r="V552" i="1"/>
  <c r="X552" i="1" s="1"/>
  <c r="V512" i="1"/>
  <c r="X512" i="1" s="1"/>
  <c r="AB633" i="1"/>
  <c r="V633" i="1" s="1"/>
  <c r="X633" i="1" s="1"/>
  <c r="AB584" i="1"/>
  <c r="V584" i="1" s="1"/>
  <c r="X584" i="1" s="1"/>
  <c r="V616" i="1"/>
  <c r="X616" i="1" s="1"/>
  <c r="AB566" i="1"/>
  <c r="V723" i="1"/>
  <c r="X723" i="1" s="1"/>
  <c r="V681" i="1"/>
  <c r="X681" i="1" s="1"/>
  <c r="V738" i="1"/>
  <c r="X738" i="1" s="1"/>
  <c r="V775" i="1"/>
  <c r="X775" i="1" s="1"/>
  <c r="V801" i="1"/>
  <c r="X801" i="1" s="1"/>
  <c r="V736" i="1"/>
  <c r="X736" i="1" s="1"/>
  <c r="V765" i="1"/>
  <c r="X765" i="1" s="1"/>
  <c r="V687" i="1"/>
  <c r="X687" i="1" s="1"/>
  <c r="V753" i="1"/>
  <c r="X753" i="1" s="1"/>
  <c r="V821" i="1"/>
  <c r="X821" i="1" s="1"/>
  <c r="V807" i="1"/>
  <c r="X807" i="1" s="1"/>
  <c r="V870" i="1"/>
  <c r="X870" i="1" s="1"/>
  <c r="V935" i="1"/>
  <c r="X935" i="1" s="1"/>
  <c r="V925" i="1"/>
  <c r="X925" i="1" s="1"/>
  <c r="V941" i="1"/>
  <c r="X941" i="1" s="1"/>
  <c r="V905" i="1"/>
  <c r="X905" i="1" s="1"/>
  <c r="V959" i="1"/>
  <c r="X959" i="1" s="1"/>
  <c r="V956" i="1"/>
  <c r="X956" i="1" s="1"/>
  <c r="V1059" i="1"/>
  <c r="X1059" i="1" s="1"/>
  <c r="V1087" i="1"/>
  <c r="X1087" i="1" s="1"/>
  <c r="V198" i="1"/>
  <c r="X198" i="1" s="1"/>
  <c r="V172" i="1"/>
  <c r="X172" i="1" s="1"/>
  <c r="V217" i="1"/>
  <c r="X217" i="1" s="1"/>
  <c r="V435" i="1"/>
  <c r="X435" i="1" s="1"/>
  <c r="V500" i="1"/>
  <c r="X500" i="1" s="1"/>
  <c r="V439" i="1"/>
  <c r="X439" i="1" s="1"/>
  <c r="V522" i="1"/>
  <c r="X522" i="1" s="1"/>
  <c r="V572" i="1"/>
  <c r="X572" i="1" s="1"/>
  <c r="V604" i="1"/>
  <c r="X604" i="1" s="1"/>
  <c r="V587" i="1"/>
  <c r="X587" i="1" s="1"/>
  <c r="AB619" i="1"/>
  <c r="V619" i="1" s="1"/>
  <c r="X619" i="1" s="1"/>
  <c r="V527" i="1"/>
  <c r="X527" i="1" s="1"/>
  <c r="AB514" i="1"/>
  <c r="V514" i="1" s="1"/>
  <c r="X514" i="1" s="1"/>
  <c r="V532" i="1"/>
  <c r="X532" i="1" s="1"/>
  <c r="V559" i="1"/>
  <c r="X559" i="1" s="1"/>
  <c r="V591" i="1"/>
  <c r="X591" i="1" s="1"/>
  <c r="V667" i="1"/>
  <c r="X667" i="1" s="1"/>
  <c r="V795" i="1"/>
  <c r="X795" i="1" s="1"/>
  <c r="V786" i="1"/>
  <c r="X786" i="1" s="1"/>
  <c r="V656" i="1"/>
  <c r="X656" i="1" s="1"/>
  <c r="V759" i="1"/>
  <c r="X759" i="1" s="1"/>
  <c r="V808" i="1"/>
  <c r="X808" i="1" s="1"/>
  <c r="V661" i="1"/>
  <c r="X661" i="1" s="1"/>
  <c r="L719" i="1"/>
  <c r="F719" i="1" s="1"/>
  <c r="AB865" i="1" s="1"/>
  <c r="V840" i="1"/>
  <c r="X840" i="1" s="1"/>
  <c r="V809" i="1"/>
  <c r="X809" i="1" s="1"/>
  <c r="V854" i="1"/>
  <c r="X854" i="1" s="1"/>
  <c r="V844" i="1"/>
  <c r="X844" i="1" s="1"/>
  <c r="V826" i="1"/>
  <c r="X826" i="1" s="1"/>
  <c r="V858" i="1"/>
  <c r="X858" i="1" s="1"/>
  <c r="V1042" i="1"/>
  <c r="X1042" i="1" s="1"/>
  <c r="V90" i="1"/>
  <c r="X90" i="1" s="1"/>
  <c r="V107" i="1"/>
  <c r="X107" i="1" s="1"/>
  <c r="V42" i="1"/>
  <c r="X42" i="1" s="1"/>
  <c r="V118" i="1"/>
  <c r="X118" i="1" s="1"/>
  <c r="V101" i="1"/>
  <c r="X101" i="1" s="1"/>
  <c r="V204" i="1"/>
  <c r="X204" i="1" s="1"/>
  <c r="V452" i="1"/>
  <c r="X452" i="1" s="1"/>
  <c r="V71" i="1"/>
  <c r="X71" i="1" s="1"/>
  <c r="V39" i="1"/>
  <c r="X39" i="1" s="1"/>
  <c r="V64" i="1"/>
  <c r="X64" i="1" s="1"/>
  <c r="V82" i="1"/>
  <c r="X82" i="1" s="1"/>
  <c r="V27" i="1"/>
  <c r="X27" i="1" s="1"/>
  <c r="V5" i="1"/>
  <c r="X5" i="1" s="1"/>
  <c r="V227" i="1"/>
  <c r="X227" i="1" s="1"/>
  <c r="V157" i="1"/>
  <c r="X157" i="1" s="1"/>
  <c r="V226" i="1"/>
  <c r="X226" i="1" s="1"/>
  <c r="V212" i="1"/>
  <c r="X212" i="1" s="1"/>
  <c r="V211" i="1"/>
  <c r="X211" i="1" s="1"/>
  <c r="V220" i="1"/>
  <c r="X220" i="1" s="1"/>
  <c r="V319" i="1"/>
  <c r="X319" i="1" s="1"/>
  <c r="V251" i="1"/>
  <c r="X251" i="1" s="1"/>
  <c r="V284" i="1"/>
  <c r="X284" i="1" s="1"/>
  <c r="V283" i="1"/>
  <c r="X283" i="1" s="1"/>
  <c r="V300" i="1"/>
  <c r="X300" i="1" s="1"/>
  <c r="V332" i="1"/>
  <c r="X332" i="1" s="1"/>
  <c r="V315" i="1"/>
  <c r="X315" i="1" s="1"/>
  <c r="V298" i="1"/>
  <c r="X298" i="1" s="1"/>
  <c r="V330" i="1"/>
  <c r="X330" i="1" s="1"/>
  <c r="V364" i="1"/>
  <c r="X364" i="1" s="1"/>
  <c r="V222" i="1"/>
  <c r="X222" i="1" s="1"/>
  <c r="V287" i="1"/>
  <c r="X287" i="1" s="1"/>
  <c r="AB510" i="1"/>
  <c r="V386" i="1"/>
  <c r="X386" i="1" s="1"/>
  <c r="V541" i="1"/>
  <c r="X541" i="1" s="1"/>
  <c r="V407" i="1"/>
  <c r="X407" i="1" s="1"/>
  <c r="AB398" i="1"/>
  <c r="V433" i="1"/>
  <c r="X433" i="1" s="1"/>
  <c r="V465" i="1"/>
  <c r="X465" i="1" s="1"/>
  <c r="V464" i="1"/>
  <c r="X464" i="1" s="1"/>
  <c r="V380" i="1"/>
  <c r="X380" i="1" s="1"/>
  <c r="V507" i="1"/>
  <c r="X507" i="1" s="1"/>
  <c r="AB545" i="1"/>
  <c r="V528" i="1"/>
  <c r="X528" i="1" s="1"/>
  <c r="V542" i="1"/>
  <c r="X542" i="1" s="1"/>
  <c r="V577" i="1"/>
  <c r="X577" i="1" s="1"/>
  <c r="V609" i="1"/>
  <c r="X609" i="1" s="1"/>
  <c r="V592" i="1"/>
  <c r="X592" i="1" s="1"/>
  <c r="AB624" i="1"/>
  <c r="V624" i="1" s="1"/>
  <c r="X624" i="1" s="1"/>
  <c r="V606" i="1"/>
  <c r="X606" i="1" s="1"/>
  <c r="V668" i="1"/>
  <c r="X668" i="1" s="1"/>
  <c r="V704" i="1"/>
  <c r="X704" i="1" s="1"/>
  <c r="V666" i="1"/>
  <c r="X666" i="1" s="1"/>
  <c r="V731" i="1"/>
  <c r="X731" i="1" s="1"/>
  <c r="V760" i="1"/>
  <c r="X760" i="1" s="1"/>
  <c r="AB655" i="1"/>
  <c r="AB689" i="1"/>
  <c r="V680" i="1"/>
  <c r="X680" i="1" s="1"/>
  <c r="V696" i="1"/>
  <c r="X696" i="1" s="1"/>
  <c r="V756" i="1"/>
  <c r="X756" i="1" s="1"/>
  <c r="V789" i="1"/>
  <c r="X789" i="1" s="1"/>
  <c r="V811" i="1"/>
  <c r="X811" i="1" s="1"/>
  <c r="V828" i="1"/>
  <c r="X828" i="1" s="1"/>
  <c r="V815" i="1"/>
  <c r="X815" i="1" s="1"/>
  <c r="V860" i="1"/>
  <c r="X860" i="1" s="1"/>
  <c r="V943" i="1"/>
  <c r="X943" i="1" s="1"/>
  <c r="V879" i="1"/>
  <c r="X879" i="1" s="1"/>
  <c r="V914" i="1"/>
  <c r="X914" i="1" s="1"/>
  <c r="V952" i="1"/>
  <c r="X952" i="1" s="1"/>
  <c r="V922" i="1"/>
  <c r="X922" i="1" s="1"/>
  <c r="V967" i="1"/>
  <c r="X967" i="1" s="1"/>
  <c r="V1069" i="1"/>
  <c r="X1069" i="1" s="1"/>
  <c r="V1067" i="1"/>
  <c r="X1067" i="1" s="1"/>
  <c r="V997" i="1"/>
  <c r="X997" i="1" s="1"/>
  <c r="V1031" i="1"/>
  <c r="X1031" i="1" s="1"/>
  <c r="V405" i="1"/>
  <c r="X405" i="1" s="1"/>
  <c r="V535" i="1"/>
  <c r="X535" i="1" s="1"/>
  <c r="AB602" i="1"/>
  <c r="V567" i="1"/>
  <c r="X567" i="1" s="1"/>
  <c r="V599" i="1"/>
  <c r="X599" i="1" s="1"/>
  <c r="AB720" i="1"/>
  <c r="V654" i="1"/>
  <c r="X654" i="1" s="1"/>
  <c r="V885" i="1"/>
  <c r="X885" i="1" s="1"/>
  <c r="AD906" i="1"/>
  <c r="X886" i="1"/>
  <c r="V813" i="1"/>
  <c r="X813" i="1" s="1"/>
  <c r="V1074" i="1"/>
  <c r="X1074" i="1" s="1"/>
  <c r="N1" i="1"/>
  <c r="A1" i="1" s="1"/>
  <c r="V440" i="1"/>
  <c r="X440" i="1" s="1"/>
  <c r="V472" i="1"/>
  <c r="X472" i="1" s="1"/>
  <c r="AB553" i="1"/>
  <c r="V553" i="1" s="1"/>
  <c r="X553" i="1" s="1"/>
  <c r="V637" i="1"/>
  <c r="X637" i="1" s="1"/>
  <c r="AB632" i="1"/>
  <c r="V632" i="1" s="1"/>
  <c r="X632" i="1" s="1"/>
  <c r="AB676" i="1"/>
  <c r="V713" i="1"/>
  <c r="X713" i="1" s="1"/>
  <c r="V768" i="1"/>
  <c r="X768" i="1" s="1"/>
  <c r="V818" i="1"/>
  <c r="X818" i="1" s="1"/>
  <c r="V167" i="1"/>
  <c r="X167" i="1" s="1"/>
  <c r="V199" i="1"/>
  <c r="X199" i="1" s="1"/>
  <c r="V163" i="1"/>
  <c r="X163" i="1" s="1"/>
  <c r="V129" i="1"/>
  <c r="X129" i="1" s="1"/>
  <c r="V194" i="1"/>
  <c r="X194" i="1" s="1"/>
  <c r="V104" i="1"/>
  <c r="X104" i="1" s="1"/>
  <c r="V169" i="1"/>
  <c r="X169" i="1" s="1"/>
  <c r="V201" i="1"/>
  <c r="X201" i="1" s="1"/>
  <c r="V328" i="1"/>
  <c r="X328" i="1" s="1"/>
  <c r="V359" i="1"/>
  <c r="X359" i="1" s="1"/>
  <c r="V361" i="1"/>
  <c r="X361" i="1" s="1"/>
  <c r="AB297" i="1"/>
  <c r="V329" i="1"/>
  <c r="X329" i="1" s="1"/>
  <c r="V436" i="1"/>
  <c r="X436" i="1" s="1"/>
  <c r="V468" i="1"/>
  <c r="X468" i="1" s="1"/>
  <c r="V450" i="1"/>
  <c r="X450" i="1" s="1"/>
  <c r="V506" i="1"/>
  <c r="X506" i="1" s="1"/>
  <c r="V543" i="1"/>
  <c r="X543" i="1" s="1"/>
  <c r="V610" i="1"/>
  <c r="X610" i="1" s="1"/>
  <c r="V548" i="1"/>
  <c r="X548" i="1" s="1"/>
  <c r="V575" i="1"/>
  <c r="X575" i="1" s="1"/>
  <c r="V607" i="1"/>
  <c r="X607" i="1" s="1"/>
  <c r="V642" i="1"/>
  <c r="X642" i="1" s="1"/>
  <c r="V684" i="1"/>
  <c r="X684" i="1" s="1"/>
  <c r="V649" i="1"/>
  <c r="X649" i="1" s="1"/>
  <c r="V712" i="1"/>
  <c r="X712" i="1" s="1"/>
  <c r="V673" i="1"/>
  <c r="X673" i="1" s="1"/>
  <c r="V739" i="1"/>
  <c r="X739" i="1" s="1"/>
  <c r="V802" i="1"/>
  <c r="X802" i="1" s="1"/>
  <c r="AB662" i="1"/>
  <c r="V856" i="1"/>
  <c r="X856" i="1" s="1"/>
  <c r="V855" i="1"/>
  <c r="X855" i="1" s="1"/>
  <c r="V822" i="1"/>
  <c r="X822" i="1" s="1"/>
  <c r="AB884" i="1"/>
  <c r="V884" i="1" s="1"/>
  <c r="X884" i="1" s="1"/>
  <c r="V841" i="1"/>
  <c r="X841" i="1" s="1"/>
  <c r="V978" i="1"/>
  <c r="X978" i="1" s="1"/>
  <c r="V1012" i="1"/>
  <c r="X1012" i="1" s="1"/>
  <c r="V969" i="1"/>
  <c r="X969" i="1" s="1"/>
  <c r="V1044" i="1"/>
  <c r="X1044" i="1" s="1"/>
  <c r="V335" i="1"/>
  <c r="X335" i="1" s="1"/>
  <c r="V268" i="1"/>
  <c r="X268" i="1" s="1"/>
  <c r="V247" i="1"/>
  <c r="X247" i="1" s="1"/>
  <c r="V238" i="1"/>
  <c r="X238" i="1" s="1"/>
  <c r="V271" i="1"/>
  <c r="X271" i="1" s="1"/>
  <c r="V501" i="1"/>
  <c r="X501" i="1" s="1"/>
  <c r="AB382" i="1"/>
  <c r="V449" i="1"/>
  <c r="X449" i="1" s="1"/>
  <c r="V544" i="1"/>
  <c r="X544" i="1" s="1"/>
  <c r="AB645" i="1"/>
  <c r="V526" i="1"/>
  <c r="X526" i="1" s="1"/>
  <c r="V576" i="1"/>
  <c r="X576" i="1" s="1"/>
  <c r="V608" i="1"/>
  <c r="X608" i="1" s="1"/>
  <c r="V711" i="1"/>
  <c r="X711" i="1" s="1"/>
  <c r="V776" i="1"/>
  <c r="X776" i="1" s="1"/>
  <c r="V672" i="1"/>
  <c r="X672" i="1" s="1"/>
  <c r="V709" i="1"/>
  <c r="X709" i="1" s="1"/>
  <c r="V728" i="1"/>
  <c r="X728" i="1" s="1"/>
  <c r="V791" i="1"/>
  <c r="X791" i="1" s="1"/>
  <c r="V679" i="1"/>
  <c r="X679" i="1" s="1"/>
  <c r="V773" i="1"/>
  <c r="X773" i="1" s="1"/>
  <c r="V677" i="1"/>
  <c r="X677" i="1" s="1"/>
  <c r="V772" i="1"/>
  <c r="X772" i="1" s="1"/>
  <c r="V829" i="1"/>
  <c r="X829" i="1" s="1"/>
  <c r="V949" i="1"/>
  <c r="X949" i="1" s="1"/>
  <c r="V931" i="1"/>
  <c r="X931" i="1" s="1"/>
  <c r="AC85" i="1" l="1"/>
  <c r="V223" i="1" s="1"/>
  <c r="X223" i="1" s="1"/>
  <c r="AB814" i="1"/>
  <c r="AB883" i="1"/>
  <c r="AB797" i="1"/>
  <c r="AB834" i="1"/>
  <c r="AB781" i="1"/>
  <c r="AB746" i="1"/>
  <c r="AB764" i="1"/>
  <c r="AB719" i="1"/>
  <c r="AB848" i="1"/>
  <c r="W13" i="1"/>
  <c r="V22" i="1"/>
  <c r="X22" i="1" s="1"/>
  <c r="V15" i="1"/>
  <c r="X15" i="1" s="1"/>
  <c r="V14" i="1"/>
  <c r="X14" i="1" s="1"/>
  <c r="V19" i="1"/>
  <c r="X19" i="1" s="1"/>
  <c r="V102" i="1"/>
  <c r="X102" i="1" s="1"/>
  <c r="V214" i="1"/>
  <c r="X214" i="1" s="1"/>
  <c r="V188" i="1"/>
  <c r="X188" i="1" s="1"/>
  <c r="V249" i="1"/>
  <c r="X249" i="1" s="1"/>
  <c r="V310" i="1"/>
  <c r="X310" i="1" s="1"/>
  <c r="V297" i="1"/>
  <c r="X297" i="1" s="1"/>
  <c r="A144" i="1"/>
  <c r="S143" i="1"/>
  <c r="AB733" i="1"/>
  <c r="Q97" i="1"/>
  <c r="Z97" i="1"/>
  <c r="Y97" i="1"/>
  <c r="AB864" i="1"/>
  <c r="AB780" i="1"/>
  <c r="V176" i="1" l="1"/>
  <c r="X176" i="1" s="1"/>
  <c r="V124" i="1"/>
  <c r="X124" i="1" s="1"/>
  <c r="W85" i="1"/>
  <c r="V281" i="1"/>
  <c r="X281" i="1" s="1"/>
  <c r="V164" i="1"/>
  <c r="X164" i="1" s="1"/>
  <c r="V113" i="1"/>
  <c r="X113" i="1" s="1"/>
  <c r="V135" i="1"/>
  <c r="X135" i="1" s="1"/>
  <c r="AC236" i="1" s="1"/>
  <c r="W236" i="1" s="1"/>
  <c r="AC23" i="1"/>
  <c r="W23" i="1" s="1"/>
  <c r="Z29" i="1" s="1"/>
  <c r="V231" i="1"/>
  <c r="X231" i="1" s="1"/>
  <c r="V89" i="1"/>
  <c r="X89" i="1" s="1"/>
  <c r="V154" i="1"/>
  <c r="X154" i="1" s="1"/>
  <c r="V323" i="1"/>
  <c r="X323" i="1" s="1"/>
  <c r="V295" i="1"/>
  <c r="X295" i="1" s="1"/>
  <c r="AC318" i="1"/>
  <c r="W318" i="1" s="1"/>
  <c r="AC241" i="1"/>
  <c r="V32" i="1"/>
  <c r="X32" i="1" s="1"/>
  <c r="Z142" i="1"/>
  <c r="Y142" i="1"/>
  <c r="Q143" i="1"/>
  <c r="A206" i="1"/>
  <c r="S144" i="1"/>
  <c r="V28" i="1" l="1"/>
  <c r="X28" i="1" s="1"/>
  <c r="AC33" i="1" s="1"/>
  <c r="W33" i="1" s="1"/>
  <c r="Y29" i="1"/>
  <c r="AC234" i="1"/>
  <c r="W234" i="1" s="1"/>
  <c r="AC235" i="1"/>
  <c r="W235" i="1" s="1"/>
  <c r="AC233" i="1"/>
  <c r="W233" i="1" s="1"/>
  <c r="AC240" i="1"/>
  <c r="W240" i="1" s="1"/>
  <c r="V24" i="1"/>
  <c r="X24" i="1" s="1"/>
  <c r="Z144" i="1"/>
  <c r="Y144" i="1"/>
  <c r="Z143" i="1"/>
  <c r="Y143" i="1"/>
  <c r="Q144" i="1"/>
  <c r="AC242" i="1"/>
  <c r="W242" i="1" s="1"/>
  <c r="S206" i="1"/>
  <c r="A207" i="1"/>
  <c r="W241" i="1"/>
  <c r="V254" i="1"/>
  <c r="X254" i="1" s="1"/>
  <c r="Z96" i="1" l="1"/>
  <c r="Y96" i="1"/>
  <c r="V253" i="1"/>
  <c r="X253" i="1" s="1"/>
  <c r="AC257" i="1" s="1"/>
  <c r="W257" i="1" s="1"/>
  <c r="AC278" i="1"/>
  <c r="W278" i="1" s="1"/>
  <c r="V325" i="1"/>
  <c r="X325" i="1" s="1"/>
  <c r="AC348" i="1" s="1"/>
  <c r="AC347" i="1"/>
  <c r="W347" i="1" s="1"/>
  <c r="AC346" i="1"/>
  <c r="W346" i="1" s="1"/>
  <c r="AC308" i="1"/>
  <c r="W308" i="1" s="1"/>
  <c r="AC286" i="1"/>
  <c r="W286" i="1" s="1"/>
  <c r="AC263" i="1"/>
  <c r="W263" i="1" s="1"/>
  <c r="AC260" i="1"/>
  <c r="W260" i="1" s="1"/>
  <c r="AC276" i="1"/>
  <c r="W276" i="1" s="1"/>
  <c r="AC261" i="1"/>
  <c r="W261" i="1" s="1"/>
  <c r="AC277" i="1"/>
  <c r="W277" i="1" s="1"/>
  <c r="AC256" i="1"/>
  <c r="W256" i="1" s="1"/>
  <c r="AC342" i="1"/>
  <c r="A264" i="1"/>
  <c r="S207" i="1"/>
  <c r="Q206" i="1"/>
  <c r="Z205" i="1"/>
  <c r="Y205" i="1"/>
  <c r="AC345" i="1" l="1"/>
  <c r="W345" i="1" s="1"/>
  <c r="AC349" i="1"/>
  <c r="W349" i="1" s="1"/>
  <c r="AC344" i="1"/>
  <c r="W344" i="1" s="1"/>
  <c r="AC262" i="1"/>
  <c r="W262" i="1" s="1"/>
  <c r="W342" i="1"/>
  <c r="V545" i="1"/>
  <c r="X545" i="1" s="1"/>
  <c r="V444" i="1"/>
  <c r="X444" i="1" s="1"/>
  <c r="V618" i="1"/>
  <c r="X618" i="1" s="1"/>
  <c r="V865" i="1"/>
  <c r="X865" i="1" s="1"/>
  <c r="V495" i="1"/>
  <c r="X495" i="1" s="1"/>
  <c r="V356" i="1"/>
  <c r="X356" i="1" s="1"/>
  <c r="V764" i="1"/>
  <c r="X764" i="1" s="1"/>
  <c r="V883" i="1"/>
  <c r="X883" i="1" s="1"/>
  <c r="AC891" i="1" s="1"/>
  <c r="W891" i="1" s="1"/>
  <c r="V719" i="1"/>
  <c r="X719" i="1" s="1"/>
  <c r="V797" i="1"/>
  <c r="X797" i="1" s="1"/>
  <c r="V655" i="1"/>
  <c r="X655" i="1" s="1"/>
  <c r="V848" i="1"/>
  <c r="X848" i="1" s="1"/>
  <c r="V531" i="1"/>
  <c r="X531" i="1" s="1"/>
  <c r="V473" i="1"/>
  <c r="X473" i="1" s="1"/>
  <c r="V689" i="1"/>
  <c r="X689" i="1" s="1"/>
  <c r="V382" i="1"/>
  <c r="X382" i="1" s="1"/>
  <c r="V398" i="1"/>
  <c r="X398" i="1" s="1"/>
  <c r="AC421" i="1" s="1"/>
  <c r="W421" i="1" s="1"/>
  <c r="V427" i="1"/>
  <c r="X427" i="1" s="1"/>
  <c r="V707" i="1"/>
  <c r="X707" i="1" s="1"/>
  <c r="V580" i="1"/>
  <c r="X580" i="1" s="1"/>
  <c r="V510" i="1"/>
  <c r="X510" i="1" s="1"/>
  <c r="V814" i="1"/>
  <c r="X814" i="1" s="1"/>
  <c r="V367" i="1"/>
  <c r="X367" i="1" s="1"/>
  <c r="V676" i="1"/>
  <c r="X676" i="1" s="1"/>
  <c r="V746" i="1"/>
  <c r="X746" i="1" s="1"/>
  <c r="V566" i="1"/>
  <c r="X566" i="1" s="1"/>
  <c r="V720" i="1"/>
  <c r="X720" i="1" s="1"/>
  <c r="V458" i="1"/>
  <c r="X458" i="1" s="1"/>
  <c r="V662" i="1"/>
  <c r="X662" i="1" s="1"/>
  <c r="V834" i="1"/>
  <c r="X834" i="1" s="1"/>
  <c r="V602" i="1"/>
  <c r="X602" i="1" s="1"/>
  <c r="V781" i="1"/>
  <c r="X781" i="1" s="1"/>
  <c r="V645" i="1"/>
  <c r="X645" i="1" s="1"/>
  <c r="V864" i="1"/>
  <c r="X864" i="1" s="1"/>
  <c r="V780" i="1"/>
  <c r="X780" i="1" s="1"/>
  <c r="V733" i="1"/>
  <c r="X733" i="1" s="1"/>
  <c r="W348" i="1"/>
  <c r="V748" i="1"/>
  <c r="X748" i="1" s="1"/>
  <c r="V663" i="1"/>
  <c r="X663" i="1" s="1"/>
  <c r="V657" i="1"/>
  <c r="X657" i="1" s="1"/>
  <c r="V693" i="1"/>
  <c r="X693" i="1" s="1"/>
  <c r="V817" i="1"/>
  <c r="X817" i="1" s="1"/>
  <c r="Z206" i="1"/>
  <c r="Y206" i="1"/>
  <c r="Q207" i="1"/>
  <c r="Z207" i="1"/>
  <c r="Y207" i="1"/>
  <c r="A265" i="1"/>
  <c r="S264" i="1"/>
  <c r="AC888" i="1" l="1"/>
  <c r="W888" i="1" s="1"/>
  <c r="AC884" i="1"/>
  <c r="W884" i="1" s="1"/>
  <c r="AC893" i="1"/>
  <c r="W893" i="1" s="1"/>
  <c r="AC906" i="1"/>
  <c r="AC907" i="1"/>
  <c r="AC901" i="1"/>
  <c r="AC892" i="1"/>
  <c r="W892" i="1" s="1"/>
  <c r="AC890" i="1"/>
  <c r="W890" i="1" s="1"/>
  <c r="AC619" i="1"/>
  <c r="W619" i="1" s="1"/>
  <c r="Z263" i="1"/>
  <c r="Y263" i="1"/>
  <c r="Q264" i="1"/>
  <c r="AC372" i="1"/>
  <c r="W372" i="1" s="1"/>
  <c r="AC375" i="1"/>
  <c r="W375" i="1" s="1"/>
  <c r="AC374" i="1"/>
  <c r="W374" i="1" s="1"/>
  <c r="AC627" i="1"/>
  <c r="W627" i="1" s="1"/>
  <c r="AC373" i="1"/>
  <c r="AC393" i="1"/>
  <c r="W393" i="1" s="1"/>
  <c r="AC366" i="1"/>
  <c r="W366" i="1" s="1"/>
  <c r="S265" i="1"/>
  <c r="A336" i="1"/>
  <c r="AC633" i="1"/>
  <c r="W633" i="1" s="1"/>
  <c r="AC624" i="1"/>
  <c r="W624" i="1" s="1"/>
  <c r="AC636" i="1"/>
  <c r="W636" i="1" s="1"/>
  <c r="W901" i="1" l="1"/>
  <c r="V1006" i="1"/>
  <c r="X1006" i="1" s="1"/>
  <c r="V936" i="1"/>
  <c r="X936" i="1" s="1"/>
  <c r="V1063" i="1"/>
  <c r="X1063" i="1" s="1"/>
  <c r="V1060" i="1"/>
  <c r="X1060" i="1" s="1"/>
  <c r="V909" i="1"/>
  <c r="X909" i="1" s="1"/>
  <c r="V923" i="1"/>
  <c r="X923" i="1" s="1"/>
  <c r="V1035" i="1"/>
  <c r="X1035" i="1" s="1"/>
  <c r="V1070" i="1"/>
  <c r="X1070" i="1" s="1"/>
  <c r="V1083" i="1"/>
  <c r="X1083" i="1" s="1"/>
  <c r="V963" i="1"/>
  <c r="X963" i="1" s="1"/>
  <c r="V945" i="1"/>
  <c r="X945" i="1" s="1"/>
  <c r="V930" i="1"/>
  <c r="X930" i="1" s="1"/>
  <c r="V942" i="1"/>
  <c r="X942" i="1" s="1"/>
  <c r="V1076" i="1"/>
  <c r="X1076" i="1" s="1"/>
  <c r="V990" i="1"/>
  <c r="X990" i="1" s="1"/>
  <c r="V1057" i="1"/>
  <c r="X1057" i="1" s="1"/>
  <c r="V913" i="1"/>
  <c r="X913" i="1" s="1"/>
  <c r="V974" i="1"/>
  <c r="X974" i="1" s="1"/>
  <c r="V1050" i="1"/>
  <c r="X1050" i="1" s="1"/>
  <c r="V1026" i="1"/>
  <c r="X1026" i="1" s="1"/>
  <c r="V986" i="1"/>
  <c r="X986" i="1" s="1"/>
  <c r="V927" i="1"/>
  <c r="X927" i="1" s="1"/>
  <c r="V1003" i="1"/>
  <c r="X1003" i="1" s="1"/>
  <c r="V1016" i="1"/>
  <c r="X1016" i="1" s="1"/>
  <c r="V1045" i="1"/>
  <c r="X1045" i="1" s="1"/>
  <c r="V1011" i="1"/>
  <c r="X1011" i="1" s="1"/>
  <c r="V993" i="1"/>
  <c r="X993" i="1" s="1"/>
  <c r="V954" i="1"/>
  <c r="X954" i="1" s="1"/>
  <c r="V1047" i="1"/>
  <c r="X1047" i="1" s="1"/>
  <c r="V998" i="1"/>
  <c r="X998" i="1" s="1"/>
  <c r="V1020" i="1"/>
  <c r="X1020" i="1" s="1"/>
  <c r="V1072" i="1"/>
  <c r="X1072" i="1" s="1"/>
  <c r="V958" i="1"/>
  <c r="X958" i="1" s="1"/>
  <c r="V917" i="1"/>
  <c r="X917" i="1" s="1"/>
  <c r="V950" i="1"/>
  <c r="X950" i="1" s="1"/>
  <c r="V1038" i="1"/>
  <c r="X1038" i="1" s="1"/>
  <c r="W907" i="1"/>
  <c r="V984" i="1"/>
  <c r="X984" i="1" s="1"/>
  <c r="V1010" i="1"/>
  <c r="X1010" i="1" s="1"/>
  <c r="V1023" i="1"/>
  <c r="X1023" i="1" s="1"/>
  <c r="V920" i="1"/>
  <c r="X920" i="1" s="1"/>
  <c r="V1081" i="1"/>
  <c r="X1081" i="1" s="1"/>
  <c r="V961" i="1"/>
  <c r="X961" i="1" s="1"/>
  <c r="V981" i="1"/>
  <c r="X981" i="1" s="1"/>
  <c r="V1068" i="1"/>
  <c r="X1068" i="1" s="1"/>
  <c r="V1055" i="1"/>
  <c r="X1055" i="1" s="1"/>
  <c r="V996" i="1"/>
  <c r="X996" i="1" s="1"/>
  <c r="V1043" i="1"/>
  <c r="X1043" i="1" s="1"/>
  <c r="V933" i="1"/>
  <c r="X933" i="1" s="1"/>
  <c r="V948" i="1"/>
  <c r="X948" i="1" s="1"/>
  <c r="W906" i="1"/>
  <c r="V1080" i="1"/>
  <c r="X1080" i="1" s="1"/>
  <c r="V980" i="1"/>
  <c r="X980" i="1" s="1"/>
  <c r="V1022" i="1"/>
  <c r="X1022" i="1" s="1"/>
  <c r="V960" i="1"/>
  <c r="X960" i="1" s="1"/>
  <c r="V912" i="1"/>
  <c r="X912" i="1" s="1"/>
  <c r="W373" i="1"/>
  <c r="V408" i="1"/>
  <c r="X408" i="1" s="1"/>
  <c r="A337" i="1"/>
  <c r="S336" i="1"/>
  <c r="Z264" i="1"/>
  <c r="Y264" i="1"/>
  <c r="Q265" i="1"/>
  <c r="Z265" i="1"/>
  <c r="Y265" i="1"/>
  <c r="Z335" i="1" l="1"/>
  <c r="Y335" i="1"/>
  <c r="Q336" i="1"/>
  <c r="A409" i="1"/>
  <c r="S337" i="1"/>
  <c r="AC423" i="1"/>
  <c r="W423" i="1" s="1"/>
  <c r="AC419" i="1"/>
  <c r="W419" i="1" s="1"/>
  <c r="AC623" i="1"/>
  <c r="W623" i="1" s="1"/>
  <c r="AC420" i="1"/>
  <c r="W420" i="1" s="1"/>
  <c r="AC417" i="1"/>
  <c r="W417" i="1" s="1"/>
  <c r="AC625" i="1"/>
  <c r="W625" i="1" s="1"/>
  <c r="AC631" i="1"/>
  <c r="W631" i="1" s="1"/>
  <c r="AC418" i="1"/>
  <c r="W418" i="1" s="1"/>
  <c r="AC939" i="1"/>
  <c r="W939" i="1" s="1"/>
  <c r="AC979" i="1"/>
  <c r="Z336" i="1" l="1"/>
  <c r="Q337" i="1"/>
  <c r="Y336" i="1"/>
  <c r="Z337" i="1"/>
  <c r="Y337" i="1"/>
  <c r="W979" i="1"/>
  <c r="V1021" i="1"/>
  <c r="X1021" i="1" s="1"/>
  <c r="V1064" i="1"/>
  <c r="X1064" i="1" s="1"/>
  <c r="V994" i="1"/>
  <c r="X994" i="1" s="1"/>
  <c r="V1053" i="1"/>
  <c r="X1053" i="1" s="1"/>
  <c r="V1061" i="1"/>
  <c r="X1061" i="1" s="1"/>
  <c r="V1066" i="1"/>
  <c r="X1066" i="1" s="1"/>
  <c r="V999" i="1"/>
  <c r="X999" i="1" s="1"/>
  <c r="V1048" i="1"/>
  <c r="X1048" i="1" s="1"/>
  <c r="V1085" i="1"/>
  <c r="X1085" i="1" s="1"/>
  <c r="V1036" i="1"/>
  <c r="X1036" i="1" s="1"/>
  <c r="V1051" i="1"/>
  <c r="X1051" i="1" s="1"/>
  <c r="V1017" i="1"/>
  <c r="X1017" i="1" s="1"/>
  <c r="V1077" i="1"/>
  <c r="X1077" i="1" s="1"/>
  <c r="V1014" i="1"/>
  <c r="X1014" i="1" s="1"/>
  <c r="V1004" i="1"/>
  <c r="X1004" i="1" s="1"/>
  <c r="V987" i="1"/>
  <c r="X987" i="1" s="1"/>
  <c r="V1041" i="1"/>
  <c r="X1041" i="1" s="1"/>
  <c r="V1029" i="1"/>
  <c r="X1029" i="1" s="1"/>
  <c r="V1007" i="1"/>
  <c r="X1007" i="1" s="1"/>
  <c r="V1073" i="1"/>
  <c r="X1073" i="1" s="1"/>
  <c r="V991" i="1"/>
  <c r="X991" i="1" s="1"/>
  <c r="V1039" i="1"/>
  <c r="X1039" i="1" s="1"/>
  <c r="A410" i="1"/>
  <c r="S409" i="1"/>
  <c r="Q409" i="1" l="1"/>
  <c r="Z408" i="1"/>
  <c r="Y408" i="1"/>
  <c r="S410" i="1"/>
  <c r="A479" i="1"/>
  <c r="AC1079" i="1"/>
  <c r="W1079" i="1" s="1"/>
  <c r="A480" i="1" l="1"/>
  <c r="S479" i="1"/>
  <c r="Z409" i="1"/>
  <c r="Q410" i="1"/>
  <c r="Y409" i="1"/>
  <c r="Z410" i="1"/>
  <c r="Y410" i="1"/>
  <c r="Z478" i="1" l="1"/>
  <c r="Y478" i="1"/>
  <c r="Q479" i="1"/>
  <c r="A557" i="1"/>
  <c r="S480" i="1"/>
  <c r="Z479" i="1" l="1"/>
  <c r="Q480" i="1"/>
  <c r="Y479" i="1"/>
  <c r="Z480" i="1"/>
  <c r="Y480" i="1"/>
  <c r="A558" i="1"/>
  <c r="S557" i="1"/>
  <c r="Z556" i="1" l="1"/>
  <c r="Y556" i="1"/>
  <c r="Q557" i="1"/>
  <c r="A634" i="1"/>
  <c r="S558" i="1"/>
  <c r="Q558" i="1" l="1"/>
  <c r="Y557" i="1"/>
  <c r="Z558" i="1"/>
  <c r="Z557" i="1"/>
  <c r="Y558" i="1"/>
  <c r="A635" i="1"/>
  <c r="S634" i="1"/>
  <c r="A697" i="1" l="1"/>
  <c r="S635" i="1"/>
  <c r="Z633" i="1"/>
  <c r="Y633" i="1"/>
  <c r="Q634" i="1"/>
  <c r="Z634" i="1" l="1"/>
  <c r="Q635" i="1"/>
  <c r="Y634" i="1"/>
  <c r="Z635" i="1"/>
  <c r="Y635" i="1"/>
  <c r="A698" i="1"/>
  <c r="S697" i="1"/>
  <c r="Z696" i="1" l="1"/>
  <c r="Y696" i="1"/>
  <c r="Q697" i="1"/>
  <c r="A754" i="1"/>
  <c r="S698" i="1"/>
  <c r="Q698" i="1" l="1"/>
  <c r="Y697" i="1"/>
  <c r="Z698" i="1"/>
  <c r="Y698" i="1"/>
  <c r="Z697" i="1"/>
  <c r="A755" i="1"/>
  <c r="S754" i="1"/>
  <c r="A824" i="1" l="1"/>
  <c r="S755" i="1"/>
  <c r="Z753" i="1"/>
  <c r="Y753" i="1"/>
  <c r="Q754" i="1"/>
  <c r="S824" i="1" l="1"/>
  <c r="A825" i="1"/>
  <c r="Q755" i="1"/>
  <c r="Y754" i="1"/>
  <c r="Z755" i="1"/>
  <c r="Y755" i="1"/>
  <c r="Z754" i="1"/>
  <c r="A897" i="1" l="1"/>
  <c r="S825" i="1"/>
  <c r="Y823" i="1"/>
  <c r="Q824" i="1"/>
  <c r="Z823" i="1"/>
  <c r="A898" i="1" l="1"/>
  <c r="S897" i="1"/>
  <c r="Q825" i="1"/>
  <c r="Y824" i="1"/>
  <c r="Y825" i="1"/>
  <c r="Z824" i="1"/>
  <c r="Z825" i="1"/>
  <c r="Z896" i="1" l="1"/>
  <c r="Q897" i="1"/>
  <c r="Y896" i="1"/>
  <c r="A964" i="1"/>
  <c r="S898" i="1"/>
  <c r="Q898" i="1" l="1"/>
  <c r="Y897" i="1"/>
  <c r="Z898" i="1"/>
  <c r="Z897" i="1"/>
  <c r="Y898" i="1"/>
  <c r="A965" i="1"/>
  <c r="S964" i="1"/>
  <c r="Z963" i="1" l="1"/>
  <c r="Y963" i="1"/>
  <c r="Q964" i="1"/>
  <c r="S965" i="1"/>
  <c r="Z964" i="1" l="1"/>
  <c r="Y964" i="1"/>
  <c r="Q965" i="1"/>
  <c r="Y965" i="1"/>
  <c r="Z965" i="1"/>
  <c r="Y1082" i="1"/>
  <c r="Z1083" i="1"/>
  <c r="Z1027" i="1"/>
  <c r="Y1027" i="1"/>
  <c r="Y1083" i="1"/>
  <c r="Z1082" i="1"/>
  <c r="P1089" i="1" l="1"/>
  <c r="B1" i="1"/>
  <c r="W1" i="1" l="1"/>
  <c r="R1" i="1"/>
  <c r="O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write.think.do.</author>
  </authors>
  <commentList>
    <comment ref="S1" authorId="0" shapeId="0" xr:uid="{47DEC1A9-5658-49D5-B73B-F87DA3954968}">
      <text>
        <r>
          <rPr>
            <sz val="9"/>
            <color indexed="81"/>
            <rFont val="Tahoma"/>
            <family val="2"/>
          </rPr>
          <t>xirr range start</t>
        </r>
      </text>
    </comment>
    <comment ref="T1" authorId="0" shapeId="0" xr:uid="{630D9A58-72E6-46D5-8D37-310C7D47DDD3}">
      <text>
        <r>
          <rPr>
            <b/>
            <sz val="9"/>
            <color indexed="81"/>
            <rFont val="Tahoma"/>
            <family val="2"/>
          </rPr>
          <t>xirr range end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 shapeId="0" xr:uid="{433C9907-1FED-42E3-AECE-F74896AD90D7}">
      <text>
        <r>
          <rPr>
            <b/>
            <sz val="9"/>
            <color indexed="81"/>
            <rFont val="Tahoma"/>
            <family val="2"/>
          </rPr>
          <t xml:space="preserve">number of rows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 xr:uid="{66CBD0D1-06C4-48A1-9998-6CE261CB4734}">
      <text>
        <r>
          <rPr>
            <b/>
            <sz val="9"/>
            <color indexed="81"/>
            <rFont val="Tahoma"/>
            <family val="2"/>
          </rPr>
          <t>Period Return range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<sst xmlns="http://schemas.openxmlformats.org/spreadsheetml/2006/main" count="2173" uniqueCount="110">
  <si>
    <t>&lt;-- # of rows</t>
  </si>
  <si>
    <t>Date</t>
  </si>
  <si>
    <t>Action</t>
  </si>
  <si>
    <t>Security</t>
  </si>
  <si>
    <t>Amount</t>
  </si>
  <si>
    <t>Price</t>
  </si>
  <si>
    <t>Quantity</t>
  </si>
  <si>
    <t>Commission</t>
  </si>
  <si>
    <t>Category</t>
  </si>
  <si>
    <t>Sub-Category</t>
  </si>
  <si>
    <t>Memo</t>
  </si>
  <si>
    <t>Split</t>
  </si>
  <si>
    <t>New Shares</t>
  </si>
  <si>
    <t>Calc Total</t>
  </si>
  <si>
    <t>Net</t>
  </si>
  <si>
    <t>Cash Balance</t>
  </si>
  <si>
    <t>Cash Flow</t>
  </si>
  <si>
    <t>In Range</t>
  </si>
  <si>
    <t>Column1</t>
  </si>
  <si>
    <t>Year</t>
  </si>
  <si>
    <t>Formatted Date</t>
  </si>
  <si>
    <t>Match</t>
  </si>
  <si>
    <t>ACB</t>
  </si>
  <si>
    <t>Capital Gain</t>
  </si>
  <si>
    <t>Last ACB Lookup Helper</t>
  </si>
  <si>
    <t>Annual CapGains</t>
  </si>
  <si>
    <t>Annual CapLosses</t>
  </si>
  <si>
    <t>Cost to-date</t>
  </si>
  <si>
    <t>Qty to-date</t>
  </si>
  <si>
    <t>Sales to-date</t>
  </si>
  <si>
    <t>Cash</t>
  </si>
  <si>
    <t>Contribution</t>
  </si>
  <si>
    <t>Buy</t>
  </si>
  <si>
    <t>Enbridge</t>
  </si>
  <si>
    <t>x</t>
  </si>
  <si>
    <t>Fees</t>
  </si>
  <si>
    <t>TDW</t>
  </si>
  <si>
    <t>Trimark Fund</t>
  </si>
  <si>
    <t>Trimark IntInc</t>
  </si>
  <si>
    <t>Trimark Income Growth</t>
  </si>
  <si>
    <t>Sell</t>
  </si>
  <si>
    <t>ReinvDiv</t>
  </si>
  <si>
    <t>Div</t>
  </si>
  <si>
    <t>IntInc</t>
  </si>
  <si>
    <t>Nortel</t>
  </si>
  <si>
    <t>TD Bank</t>
  </si>
  <si>
    <t>BCE</t>
  </si>
  <si>
    <t>Bombardier</t>
  </si>
  <si>
    <t>Telus</t>
  </si>
  <si>
    <t>TD US RSP Index - I</t>
  </si>
  <si>
    <t>Talvest Global Health Care RSP</t>
  </si>
  <si>
    <t>CIBC Energy Fund</t>
  </si>
  <si>
    <t>BMO Dividend</t>
  </si>
  <si>
    <t>TD CDN Bond</t>
  </si>
  <si>
    <t>HSBC Euro Growth</t>
  </si>
  <si>
    <t>AGF Aggr Growth</t>
  </si>
  <si>
    <t>Altamira Sci&amp;Tech</t>
  </si>
  <si>
    <t>Fidelity Americas SmallCap</t>
  </si>
  <si>
    <t>TD DJIA Index</t>
  </si>
  <si>
    <t>Saxon SmallCap</t>
  </si>
  <si>
    <t>Tax</t>
  </si>
  <si>
    <t>CI Harbour Fund</t>
  </si>
  <si>
    <t>TD RR Bond</t>
  </si>
  <si>
    <t>Talvest China Plus</t>
  </si>
  <si>
    <t>E&amp;P Growth Opp</t>
  </si>
  <si>
    <t>AIM CDN First Class</t>
  </si>
  <si>
    <t>Brandes Int Equity</t>
  </si>
  <si>
    <t>TD US RSP Index - e</t>
  </si>
  <si>
    <t>RtrnCapX</t>
  </si>
  <si>
    <t>[eRRSP]</t>
  </si>
  <si>
    <t>TD Japan Index</t>
  </si>
  <si>
    <t>Front St SmallCap</t>
  </si>
  <si>
    <t>Iunits GOC 5Yr Bond</t>
  </si>
  <si>
    <t>Mutual Beacon RSP</t>
  </si>
  <si>
    <t>Trimark Euro Plus</t>
  </si>
  <si>
    <t>iShares MSCI CDN</t>
  </si>
  <si>
    <t>StkSplit</t>
  </si>
  <si>
    <t>Mutual Beacon</t>
  </si>
  <si>
    <t>Talvest Global Health Care</t>
  </si>
  <si>
    <t>Central Fund of Canada</t>
  </si>
  <si>
    <t>Streettracks Gold Trust</t>
  </si>
  <si>
    <t>iShares MSCI Japan (US$)</t>
  </si>
  <si>
    <t>iShares S&amp;P Latin America (US$)</t>
  </si>
  <si>
    <t>iShares MSCI South Africa (US$)</t>
  </si>
  <si>
    <t>iShares S&amp;P Europe 350 (US$)</t>
  </si>
  <si>
    <t>HBP</t>
  </si>
  <si>
    <t>iShares S&amp;P SmallCap</t>
  </si>
  <si>
    <t>Aberdeen Asia Pacific Income Fund</t>
  </si>
  <si>
    <t>iShares IBOXX (US$)</t>
  </si>
  <si>
    <t>iShares MSCI EAFE (US$)</t>
  </si>
  <si>
    <t>Vanguard Large Cap ETF</t>
  </si>
  <si>
    <t>Adjustment for ROC/Div/Tax</t>
  </si>
  <si>
    <t>iUnits S&amp;P 500</t>
  </si>
  <si>
    <t>Adjustment</t>
  </si>
  <si>
    <t>AIMIA SER-3  6.95% 26JA17</t>
  </si>
  <si>
    <t>accumulated interest</t>
  </si>
  <si>
    <t>TD Canadian Index - e</t>
  </si>
  <si>
    <t>TD International Index - e</t>
  </si>
  <si>
    <t>-</t>
  </si>
  <si>
    <t>TD INV SAV ACCT  /NL'FRAC</t>
  </si>
  <si>
    <t>[Investment Cash]</t>
  </si>
  <si>
    <t>con</t>
  </si>
  <si>
    <t>RRSP Contrib</t>
  </si>
  <si>
    <t>Ishares Global Real Estate Index</t>
  </si>
  <si>
    <t>Vanguard US Total Market ETF</t>
  </si>
  <si>
    <t>Vanguard CDN S/T Corp Bond</t>
  </si>
  <si>
    <t>Commission Rebate</t>
  </si>
  <si>
    <t>Cap Gains Dividend</t>
  </si>
  <si>
    <t>DIV</t>
  </si>
  <si>
    <t>Market Value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</si>
</sst>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00000%"/>
    <numFmt numFmtId="166" formatCode="_-* #,##0_-;\-* #,##0_-;_-* &quot;-&quot;??_-;_-@_-"/>
    <numFmt numFmtId="167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hair">
        <color theme="9"/>
      </left>
      <right style="hair">
        <color theme="9"/>
      </right>
      <top style="hair">
        <color theme="9"/>
      </top>
      <bottom style="hair">
        <color theme="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44" fontId="0" fillId="0" borderId="0" xfId="0" applyNumberFormat="1"/>
    <xf numFmtId="10" fontId="3" fillId="0" borderId="0" xfId="3" applyNumberFormat="1" applyFont="1" applyAlignment="1">
      <alignment horizontal="center" vertical="center"/>
    </xf>
    <xf numFmtId="43" fontId="0" fillId="0" borderId="0" xfId="1" applyFont="1"/>
    <xf numFmtId="0" fontId="5" fillId="0" borderId="0" xfId="0" applyFont="1"/>
    <xf numFmtId="44" fontId="5" fillId="0" borderId="0" xfId="2" applyFont="1"/>
    <xf numFmtId="10" fontId="5" fillId="0" borderId="0" xfId="3" applyNumberFormat="1" applyFont="1"/>
    <xf numFmtId="164" fontId="5" fillId="0" borderId="0" xfId="3" applyNumberFormat="1" applyFont="1"/>
    <xf numFmtId="43" fontId="5" fillId="0" borderId="0" xfId="1" applyFont="1"/>
    <xf numFmtId="0" fontId="5" fillId="0" borderId="0" xfId="1" applyNumberFormat="1" applyFont="1"/>
    <xf numFmtId="44" fontId="0" fillId="0" borderId="0" xfId="2" applyFont="1"/>
    <xf numFmtId="0" fontId="3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65" fontId="5" fillId="0" borderId="0" xfId="3" applyNumberFormat="1" applyFont="1"/>
    <xf numFmtId="0" fontId="4" fillId="0" borderId="0" xfId="0" applyFont="1"/>
    <xf numFmtId="43" fontId="4" fillId="0" borderId="0" xfId="1" applyFont="1"/>
    <xf numFmtId="0" fontId="7" fillId="0" borderId="0" xfId="0" applyFont="1"/>
    <xf numFmtId="44" fontId="2" fillId="3" borderId="2" xfId="2" applyFont="1" applyFill="1" applyBorder="1"/>
    <xf numFmtId="44" fontId="2" fillId="3" borderId="3" xfId="2" applyFont="1" applyFill="1" applyBorder="1"/>
    <xf numFmtId="14" fontId="0" fillId="0" borderId="0" xfId="0" applyNumberFormat="1"/>
    <xf numFmtId="166" fontId="5" fillId="0" borderId="0" xfId="1" applyNumberFormat="1" applyFont="1"/>
    <xf numFmtId="14" fontId="5" fillId="0" borderId="0" xfId="0" applyNumberFormat="1" applyFont="1"/>
    <xf numFmtId="44" fontId="5" fillId="4" borderId="0" xfId="2" applyFont="1" applyFill="1"/>
    <xf numFmtId="44" fontId="5" fillId="0" borderId="0" xfId="0" applyNumberFormat="1" applyFont="1"/>
    <xf numFmtId="43" fontId="5" fillId="0" borderId="0" xfId="0" applyNumberFormat="1" applyFont="1"/>
    <xf numFmtId="0" fontId="0" fillId="5" borderId="0" xfId="0" applyFill="1"/>
    <xf numFmtId="14" fontId="0" fillId="0" borderId="4" xfId="0" applyNumberFormat="1" applyBorder="1"/>
    <xf numFmtId="0" fontId="0" fillId="0" borderId="4" xfId="0" applyBorder="1"/>
    <xf numFmtId="43" fontId="0" fillId="0" borderId="4" xfId="1" applyFont="1" applyBorder="1"/>
    <xf numFmtId="43" fontId="0" fillId="0" borderId="0" xfId="0" applyNumberFormat="1"/>
    <xf numFmtId="167" fontId="0" fillId="0" borderId="0" xfId="0" applyNumberFormat="1"/>
    <xf numFmtId="14" fontId="4" fillId="6" borderId="0" xfId="0" applyNumberFormat="1" applyFont="1" applyFill="1"/>
    <xf numFmtId="0" fontId="4" fillId="6" borderId="0" xfId="0" applyFont="1" applyFill="1"/>
    <xf numFmtId="43" fontId="4" fillId="6" borderId="0" xfId="1" applyFont="1" applyFill="1"/>
    <xf numFmtId="0" fontId="5" fillId="6" borderId="0" xfId="0" applyFont="1" applyFill="1"/>
    <xf numFmtId="44" fontId="5" fillId="6" borderId="0" xfId="2" applyFont="1" applyFill="1"/>
    <xf numFmtId="43" fontId="5" fillId="6" borderId="0" xfId="1" applyFont="1" applyFill="1"/>
    <xf numFmtId="16" fontId="0" fillId="0" borderId="0" xfId="0" applyNumberFormat="1"/>
    <xf numFmtId="14" fontId="0" fillId="7" borderId="5" xfId="0" applyNumberFormat="1" applyFill="1" applyBorder="1"/>
    <xf numFmtId="0" fontId="0" fillId="0" borderId="2" xfId="0" applyBorder="1"/>
    <xf numFmtId="0" fontId="0" fillId="7" borderId="0" xfId="0" applyFill="1"/>
    <xf numFmtId="166" fontId="0" fillId="0" borderId="0" xfId="1" applyNumberFormat="1" applyFont="1"/>
    <xf numFmtId="0" fontId="0" fillId="7" borderId="2" xfId="0" applyFill="1" applyBorder="1"/>
    <xf numFmtId="43" fontId="5" fillId="6" borderId="0" xfId="0" applyNumberFormat="1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15"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5" formatCode="_(* #,##0.00_);_(* \(#,##0.00\);_(* &quot;-&quot;??_);_(@_)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0"/>
        </patternFill>
      </fill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5" formatCode="_(* #,##0.00_);_(* \(#,##0.00\);_(* &quot;-&quot;??_);_(@_)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5" formatCode="_(* #,##0.00_);_(* \(#,##0.00\);_(* &quot;-&quot;??_);_(@_)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6" formatCode="_-* #,##0_-;\-* #,##0_-;_-* &quot;-&quot;??_-;_-@_-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0</xdr:col>
      <xdr:colOff>741998</xdr:colOff>
      <xdr:row>1</xdr:row>
      <xdr:rowOff>274320</xdr:rowOff>
    </xdr:to>
    <xdr:sp macro="" textlink="">
      <xdr:nvSpPr>
        <xdr:cNvPr id="2" name="AddTrans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16865062-DD55-418E-96E2-AF05543332FF}"/>
            </a:ext>
          </a:extLst>
        </xdr:cNvPr>
        <xdr:cNvSpPr/>
      </xdr:nvSpPr>
      <xdr:spPr bwMode="auto">
        <a:xfrm>
          <a:off x="0" y="200025"/>
          <a:ext cx="741998" cy="2457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28575</xdr:rowOff>
    </xdr:from>
    <xdr:to>
      <xdr:col>0</xdr:col>
      <xdr:colOff>741998</xdr:colOff>
      <xdr:row>1</xdr:row>
      <xdr:rowOff>274320</xdr:rowOff>
    </xdr:to>
    <xdr:pic>
      <xdr:nvPicPr>
        <xdr:cNvPr id="3" name="AddTrans">
          <a:extLst>
            <a:ext uri="{FF2B5EF4-FFF2-40B4-BE49-F238E27FC236}">
              <a16:creationId xmlns:a16="http://schemas.microsoft.com/office/drawing/2014/main" id="{98258EB9-D554-4EFE-B13D-258FAF7A9B1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025"/>
          <a:ext cx="741998" cy="2457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ocuments/Memory/Money/ekportfolio_2025.9.xlsm" TargetMode="External"/><Relationship Id="rId2" Type="http://schemas.openxmlformats.org/officeDocument/2006/relationships/externalLinkPath" Target="file:///C:\Users\eWTD\Documents\Memory\Money\ekportfolio_2025.9.xlsm" TargetMode="External"/><Relationship Id="rId1" Type="http://schemas.openxmlformats.org/officeDocument/2006/relationships/externalLinkPath" Target="/Users/eWTD/Documents/Memory/Money/ekportfolio_2025.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ad First"/>
      <sheetName val="Asset Alloc"/>
      <sheetName val="Tax"/>
      <sheetName val="Tax.OLD"/>
      <sheetName val="CapGains"/>
      <sheetName val="Chart"/>
      <sheetName val="Spark"/>
      <sheetName val="RESP Contr"/>
      <sheetName val="RESP Withdrawal"/>
      <sheetName val="Dashboard"/>
      <sheetName val="RESP Sched"/>
      <sheetName val="RE"/>
      <sheetName val="Interest"/>
      <sheetName val="WTD Inv"/>
      <sheetName val="httw"/>
      <sheetName val="HTTW_Rpt"/>
      <sheetName val="heloc"/>
      <sheetName val="HELOC_Rpt"/>
      <sheetName val="bmo"/>
      <sheetName val="BMO_Rpt"/>
      <sheetName val="CAD"/>
      <sheetName val="eRRSP"/>
      <sheetName val="CAD_Rpt"/>
      <sheetName val="USD"/>
      <sheetName val="USD_Rpt"/>
      <sheetName val="eRRSP_Rpt"/>
      <sheetName val="eLIRA"/>
      <sheetName val="eLIRA_Rpt"/>
      <sheetName val="eTFSA"/>
      <sheetName val="eTFSA_Rpt"/>
      <sheetName val="RESP"/>
      <sheetName val="RESP_Rpt"/>
      <sheetName val="kRRSP"/>
      <sheetName val="kRRSP_Rpt"/>
      <sheetName val="kTFSA"/>
      <sheetName val="kTFSA_Rpt"/>
      <sheetName val="kLIRA"/>
      <sheetName val="kLIRA_Rpt"/>
      <sheetName val="CDS"/>
      <sheetName val="template"/>
      <sheetName val="eRRSP_Rpt.Old"/>
    </sheetNames>
    <sheetDataSet>
      <sheetData sheetId="0"/>
      <sheetData sheetId="1">
        <row r="19">
          <cell r="J19" t="str">
            <v>XBAL</v>
          </cell>
        </row>
      </sheetData>
      <sheetData sheetId="2"/>
      <sheetData sheetId="3"/>
      <sheetData sheetId="4"/>
      <sheetData sheetId="5"/>
      <sheetData sheetId="6">
        <row r="3">
          <cell r="B3">
            <v>38.479999999999997</v>
          </cell>
          <cell r="D3">
            <v>43.27</v>
          </cell>
          <cell r="F3">
            <v>56.01</v>
          </cell>
          <cell r="L3" t="e">
            <v>#REF!</v>
          </cell>
          <cell r="N3" t="e">
            <v>#REF!</v>
          </cell>
          <cell r="P3">
            <v>69.09</v>
          </cell>
          <cell r="R3">
            <v>50.27</v>
          </cell>
          <cell r="T3" t="e">
            <v>#REF!</v>
          </cell>
          <cell r="V3">
            <v>18.28</v>
          </cell>
          <cell r="X3">
            <v>43.85</v>
          </cell>
          <cell r="Z3">
            <v>71.25</v>
          </cell>
          <cell r="AB3">
            <v>177.97</v>
          </cell>
          <cell r="AH3">
            <v>56.01</v>
          </cell>
          <cell r="AJ3">
            <v>111.9</v>
          </cell>
          <cell r="AL3">
            <v>67.180000000000007</v>
          </cell>
          <cell r="AN3" t="e">
            <v>#N/A</v>
          </cell>
          <cell r="AP3" t="e">
            <v>#REF!</v>
          </cell>
          <cell r="AR3" t="e">
            <v>#N/A</v>
          </cell>
          <cell r="AT3" t="e">
            <v>#REF!</v>
          </cell>
        </row>
        <row r="4">
          <cell r="B4">
            <v>35.53</v>
          </cell>
          <cell r="D4">
            <v>42.5</v>
          </cell>
          <cell r="F4">
            <v>51.53</v>
          </cell>
          <cell r="J4">
            <v>51.53</v>
          </cell>
          <cell r="P4">
            <v>67.400000000000006</v>
          </cell>
          <cell r="R4">
            <v>48.174999999999997</v>
          </cell>
          <cell r="V4">
            <v>18.28</v>
          </cell>
          <cell r="X4">
            <v>38.119999999999997</v>
          </cell>
          <cell r="Z4">
            <v>67.7</v>
          </cell>
          <cell r="AH4">
            <v>51.53</v>
          </cell>
          <cell r="AJ4">
            <v>96.71</v>
          </cell>
          <cell r="AL4">
            <v>60.32</v>
          </cell>
          <cell r="AN4">
            <v>216.82</v>
          </cell>
          <cell r="AP4" t="e">
            <v>#N/A</v>
          </cell>
          <cell r="AR4">
            <v>133.44</v>
          </cell>
          <cell r="AT4" t="e">
            <v>#N/A</v>
          </cell>
        </row>
        <row r="5">
          <cell r="B5">
            <v>35.619999999999997</v>
          </cell>
          <cell r="D5">
            <v>42.17</v>
          </cell>
          <cell r="F5">
            <v>51.53</v>
          </cell>
          <cell r="J5">
            <v>51.53</v>
          </cell>
          <cell r="P5">
            <v>67.540000000000006</v>
          </cell>
          <cell r="R5">
            <v>48.01</v>
          </cell>
          <cell r="V5">
            <v>18.28</v>
          </cell>
          <cell r="X5">
            <v>38.1</v>
          </cell>
          <cell r="Z5">
            <v>68.06</v>
          </cell>
          <cell r="AB5">
            <v>163</v>
          </cell>
          <cell r="AD5">
            <v>51.53</v>
          </cell>
          <cell r="AF5">
            <v>163</v>
          </cell>
          <cell r="AH5">
            <v>51.53</v>
          </cell>
          <cell r="AJ5">
            <v>96.49</v>
          </cell>
          <cell r="AL5">
            <v>60.67</v>
          </cell>
          <cell r="AN5">
            <v>216.69</v>
          </cell>
          <cell r="AR5">
            <v>134.86000000000001</v>
          </cell>
        </row>
        <row r="6">
          <cell r="B6">
            <v>37.17</v>
          </cell>
          <cell r="D6">
            <v>42.405000000000001</v>
          </cell>
          <cell r="F6">
            <v>52.94</v>
          </cell>
          <cell r="J6">
            <v>52.94</v>
          </cell>
          <cell r="P6">
            <v>68.34</v>
          </cell>
          <cell r="R6">
            <v>49.68</v>
          </cell>
          <cell r="V6">
            <v>18.285</v>
          </cell>
          <cell r="X6">
            <v>40.1</v>
          </cell>
          <cell r="Z6">
            <v>68.2</v>
          </cell>
          <cell r="AB6">
            <v>166.4</v>
          </cell>
          <cell r="AD6">
            <v>52.94</v>
          </cell>
          <cell r="AF6">
            <v>166.4</v>
          </cell>
          <cell r="AH6">
            <v>52.94</v>
          </cell>
          <cell r="AJ6">
            <v>98.96</v>
          </cell>
          <cell r="AL6">
            <v>61.81</v>
          </cell>
          <cell r="AN6">
            <v>221.94</v>
          </cell>
          <cell r="AR6">
            <v>137.25</v>
          </cell>
        </row>
        <row r="7">
          <cell r="B7">
            <v>37.22</v>
          </cell>
          <cell r="D7">
            <v>42.38</v>
          </cell>
          <cell r="F7">
            <v>53.03</v>
          </cell>
          <cell r="J7">
            <v>53.03</v>
          </cell>
          <cell r="P7">
            <v>68.040000000000006</v>
          </cell>
          <cell r="R7">
            <v>49.52</v>
          </cell>
          <cell r="V7">
            <v>18.3</v>
          </cell>
          <cell r="X7">
            <v>39.92</v>
          </cell>
          <cell r="Z7">
            <v>68.22</v>
          </cell>
          <cell r="AB7">
            <v>167.14</v>
          </cell>
          <cell r="AD7">
            <v>53.03</v>
          </cell>
          <cell r="AF7">
            <v>167.14</v>
          </cell>
          <cell r="AH7">
            <v>53.03</v>
          </cell>
          <cell r="AJ7">
            <v>99.59</v>
          </cell>
          <cell r="AL7">
            <v>62.51</v>
          </cell>
          <cell r="AN7">
            <v>222.82</v>
          </cell>
          <cell r="AR7">
            <v>137.94</v>
          </cell>
        </row>
        <row r="8">
          <cell r="B8">
            <v>37.35</v>
          </cell>
          <cell r="D8">
            <v>41.87</v>
          </cell>
          <cell r="F8">
            <v>53.13</v>
          </cell>
          <cell r="J8">
            <v>53.13</v>
          </cell>
          <cell r="P8">
            <v>68.52</v>
          </cell>
          <cell r="R8">
            <v>49.74</v>
          </cell>
          <cell r="V8">
            <v>18.3</v>
          </cell>
          <cell r="X8">
            <v>40.119999999999997</v>
          </cell>
          <cell r="Z8">
            <v>68.709999999999994</v>
          </cell>
          <cell r="AB8">
            <v>167.26</v>
          </cell>
          <cell r="AD8">
            <v>53.13</v>
          </cell>
          <cell r="AF8">
            <v>167.26</v>
          </cell>
          <cell r="AH8">
            <v>53.13</v>
          </cell>
          <cell r="AJ8">
            <v>99.84</v>
          </cell>
          <cell r="AL8">
            <v>63.18</v>
          </cell>
          <cell r="AN8">
            <v>221.47</v>
          </cell>
          <cell r="AR8">
            <v>139.28</v>
          </cell>
        </row>
        <row r="9">
          <cell r="B9">
            <v>37.869999999999997</v>
          </cell>
          <cell r="D9">
            <v>42.1</v>
          </cell>
          <cell r="F9">
            <v>53.43</v>
          </cell>
          <cell r="J9">
            <v>53.43</v>
          </cell>
          <cell r="P9">
            <v>68.89</v>
          </cell>
          <cell r="R9">
            <v>49.81</v>
          </cell>
          <cell r="V9">
            <v>18.29</v>
          </cell>
          <cell r="X9">
            <v>40.35</v>
          </cell>
          <cell r="Z9">
            <v>68.98</v>
          </cell>
          <cell r="AB9">
            <v>168.3</v>
          </cell>
          <cell r="AD9">
            <v>53.43</v>
          </cell>
          <cell r="AF9">
            <v>168.3</v>
          </cell>
          <cell r="AH9">
            <v>53.43</v>
          </cell>
          <cell r="AJ9">
            <v>100.6</v>
          </cell>
          <cell r="AL9">
            <v>63.73</v>
          </cell>
          <cell r="AN9">
            <v>223.26</v>
          </cell>
          <cell r="AR9">
            <v>140.66999999999999</v>
          </cell>
        </row>
        <row r="10">
          <cell r="B10">
            <v>38.29</v>
          </cell>
          <cell r="D10">
            <v>42.24</v>
          </cell>
          <cell r="F10">
            <v>53.97</v>
          </cell>
          <cell r="J10">
            <v>53.97</v>
          </cell>
          <cell r="P10">
            <v>69.349999999999994</v>
          </cell>
          <cell r="R10">
            <v>50.2</v>
          </cell>
          <cell r="V10">
            <v>18.3</v>
          </cell>
          <cell r="X10">
            <v>41.04</v>
          </cell>
          <cell r="Z10">
            <v>68.97</v>
          </cell>
          <cell r="AB10">
            <v>170.09</v>
          </cell>
          <cell r="AD10">
            <v>53.97</v>
          </cell>
          <cell r="AF10">
            <v>170.09</v>
          </cell>
          <cell r="AH10">
            <v>53.97</v>
          </cell>
          <cell r="AJ10">
            <v>102.25</v>
          </cell>
          <cell r="AL10">
            <v>64.33</v>
          </cell>
          <cell r="AN10">
            <v>223.87</v>
          </cell>
          <cell r="AR10">
            <v>141.94999999999999</v>
          </cell>
        </row>
        <row r="11">
          <cell r="B11">
            <v>38.409999999999997</v>
          </cell>
          <cell r="D11">
            <v>42.33</v>
          </cell>
          <cell r="F11">
            <v>54.02</v>
          </cell>
          <cell r="J11">
            <v>54.02</v>
          </cell>
          <cell r="P11">
            <v>69.430000000000007</v>
          </cell>
          <cell r="R11">
            <v>49.884999999999998</v>
          </cell>
          <cell r="V11">
            <v>18.309999999999999</v>
          </cell>
          <cell r="X11">
            <v>40.86</v>
          </cell>
          <cell r="Z11">
            <v>69.11</v>
          </cell>
          <cell r="AB11">
            <v>171.06</v>
          </cell>
          <cell r="AD11">
            <v>54.02</v>
          </cell>
          <cell r="AF11">
            <v>171.06</v>
          </cell>
          <cell r="AH11">
            <v>54.02</v>
          </cell>
          <cell r="AJ11">
            <v>103.45</v>
          </cell>
          <cell r="AL11">
            <v>64.760000000000005</v>
          </cell>
          <cell r="AN11">
            <v>224.37</v>
          </cell>
          <cell r="AR11">
            <v>142.77000000000001</v>
          </cell>
        </row>
        <row r="12">
          <cell r="B12">
            <v>38.1</v>
          </cell>
          <cell r="D12">
            <v>42.19</v>
          </cell>
          <cell r="F12">
            <v>53.96</v>
          </cell>
          <cell r="J12">
            <v>53.96</v>
          </cell>
          <cell r="P12">
            <v>69.27</v>
          </cell>
          <cell r="R12">
            <v>49.68</v>
          </cell>
          <cell r="V12">
            <v>18.315000000000001</v>
          </cell>
          <cell r="X12">
            <v>40.950000000000003</v>
          </cell>
          <cell r="Z12">
            <v>69.06</v>
          </cell>
          <cell r="AB12">
            <v>171.14</v>
          </cell>
          <cell r="AD12">
            <v>53.96</v>
          </cell>
          <cell r="AF12">
            <v>171.14</v>
          </cell>
          <cell r="AH12">
            <v>53.96</v>
          </cell>
          <cell r="AJ12">
            <v>103.73</v>
          </cell>
          <cell r="AL12">
            <v>64.55</v>
          </cell>
          <cell r="AN12">
            <v>224.88</v>
          </cell>
          <cell r="AR12">
            <v>142.47999999999999</v>
          </cell>
        </row>
        <row r="13">
          <cell r="B13">
            <v>38.869999999999997</v>
          </cell>
          <cell r="D13">
            <v>42.34</v>
          </cell>
          <cell r="F13">
            <v>54.68</v>
          </cell>
          <cell r="J13">
            <v>54.68</v>
          </cell>
          <cell r="P13">
            <v>69.87</v>
          </cell>
          <cell r="R13">
            <v>50.3</v>
          </cell>
          <cell r="V13">
            <v>18.324999999999999</v>
          </cell>
          <cell r="X13">
            <v>41.66</v>
          </cell>
          <cell r="Z13">
            <v>68.8</v>
          </cell>
          <cell r="AB13">
            <v>172.99</v>
          </cell>
          <cell r="AD13">
            <v>54.68</v>
          </cell>
          <cell r="AF13">
            <v>172.99</v>
          </cell>
          <cell r="AH13">
            <v>54.68</v>
          </cell>
          <cell r="AJ13">
            <v>104.96</v>
          </cell>
          <cell r="AL13">
            <v>65.58</v>
          </cell>
          <cell r="AN13">
            <v>227.46</v>
          </cell>
          <cell r="AR13">
            <v>144.16999999999999</v>
          </cell>
        </row>
        <row r="14">
          <cell r="B14">
            <v>38.659999999999997</v>
          </cell>
          <cell r="D14">
            <v>42.03</v>
          </cell>
          <cell r="F14">
            <v>54.31</v>
          </cell>
          <cell r="J14">
            <v>54.31</v>
          </cell>
          <cell r="P14">
            <v>69.87</v>
          </cell>
          <cell r="R14">
            <v>49.86</v>
          </cell>
          <cell r="V14">
            <v>18.34</v>
          </cell>
          <cell r="X14">
            <v>41.21</v>
          </cell>
          <cell r="Z14">
            <v>68.87</v>
          </cell>
          <cell r="AB14">
            <v>172.09</v>
          </cell>
          <cell r="AD14">
            <v>54.31</v>
          </cell>
          <cell r="AF14">
            <v>172.09</v>
          </cell>
          <cell r="AH14">
            <v>54.31</v>
          </cell>
          <cell r="AJ14">
            <v>104.29</v>
          </cell>
          <cell r="AL14">
            <v>65.849999999999994</v>
          </cell>
          <cell r="AN14">
            <v>227.33</v>
          </cell>
          <cell r="AR14">
            <v>145.41</v>
          </cell>
        </row>
        <row r="15">
          <cell r="B15">
            <v>37.89</v>
          </cell>
          <cell r="D15">
            <v>42.53</v>
          </cell>
          <cell r="F15">
            <v>53.83</v>
          </cell>
          <cell r="J15">
            <v>53.83</v>
          </cell>
          <cell r="P15">
            <v>68.73</v>
          </cell>
          <cell r="R15">
            <v>48.875</v>
          </cell>
          <cell r="V15">
            <v>18.32</v>
          </cell>
          <cell r="X15">
            <v>40.770000000000003</v>
          </cell>
          <cell r="Z15">
            <v>68.63</v>
          </cell>
          <cell r="AB15">
            <v>171.19</v>
          </cell>
          <cell r="AD15">
            <v>53.83</v>
          </cell>
          <cell r="AF15">
            <v>171.19</v>
          </cell>
          <cell r="AH15">
            <v>53.83</v>
          </cell>
          <cell r="AJ15">
            <v>104.07</v>
          </cell>
          <cell r="AL15">
            <v>65.180000000000007</v>
          </cell>
          <cell r="AN15">
            <v>226.17</v>
          </cell>
          <cell r="AR15">
            <v>144.11000000000001</v>
          </cell>
        </row>
        <row r="16">
          <cell r="B16">
            <v>37.880000000000003</v>
          </cell>
          <cell r="D16">
            <v>42.74</v>
          </cell>
          <cell r="F16">
            <v>54.31</v>
          </cell>
          <cell r="J16">
            <v>54.31</v>
          </cell>
          <cell r="P16">
            <v>69.040000000000006</v>
          </cell>
          <cell r="R16">
            <v>49.04</v>
          </cell>
          <cell r="V16">
            <v>18.32</v>
          </cell>
          <cell r="X16">
            <v>41.53</v>
          </cell>
          <cell r="Z16">
            <v>68.584999999999994</v>
          </cell>
          <cell r="AB16">
            <v>173.05</v>
          </cell>
          <cell r="AD16">
            <v>54.31</v>
          </cell>
          <cell r="AF16">
            <v>173.05</v>
          </cell>
          <cell r="AH16">
            <v>54.31</v>
          </cell>
          <cell r="AJ16">
            <v>105.78</v>
          </cell>
          <cell r="AL16">
            <v>64.92</v>
          </cell>
          <cell r="AN16">
            <v>227.08</v>
          </cell>
          <cell r="AR16">
            <v>142.93</v>
          </cell>
        </row>
        <row r="17">
          <cell r="B17">
            <v>37.15</v>
          </cell>
          <cell r="D17">
            <v>42.244999999999997</v>
          </cell>
          <cell r="F17">
            <v>54.07</v>
          </cell>
          <cell r="J17">
            <v>54.07</v>
          </cell>
          <cell r="P17">
            <v>68.989999999999995</v>
          </cell>
          <cell r="R17">
            <v>48.77</v>
          </cell>
          <cell r="V17">
            <v>18.260000000000002</v>
          </cell>
          <cell r="X17">
            <v>40.86</v>
          </cell>
          <cell r="Z17">
            <v>69.17</v>
          </cell>
          <cell r="AB17">
            <v>172.72</v>
          </cell>
          <cell r="AD17">
            <v>54.07</v>
          </cell>
          <cell r="AF17">
            <v>172.72</v>
          </cell>
          <cell r="AH17">
            <v>54.07</v>
          </cell>
          <cell r="AJ17">
            <v>105.45</v>
          </cell>
          <cell r="AL17">
            <v>65.040000000000006</v>
          </cell>
          <cell r="AN17">
            <v>227.79</v>
          </cell>
          <cell r="AR17">
            <v>143.82</v>
          </cell>
        </row>
        <row r="18">
          <cell r="B18">
            <v>37.450000000000003</v>
          </cell>
          <cell r="D18">
            <v>42.31</v>
          </cell>
          <cell r="F18">
            <v>54.4</v>
          </cell>
          <cell r="J18">
            <v>54.4</v>
          </cell>
          <cell r="P18">
            <v>68.989999999999995</v>
          </cell>
          <cell r="R18">
            <v>48.87</v>
          </cell>
          <cell r="V18">
            <v>18.28</v>
          </cell>
          <cell r="X18">
            <v>41.54</v>
          </cell>
          <cell r="Z18">
            <v>69.180000000000007</v>
          </cell>
          <cell r="AB18">
            <v>173.6</v>
          </cell>
          <cell r="AD18">
            <v>54.4</v>
          </cell>
          <cell r="AF18">
            <v>173.6</v>
          </cell>
          <cell r="AH18">
            <v>54.4</v>
          </cell>
          <cell r="AJ18">
            <v>107.23</v>
          </cell>
          <cell r="AL18">
            <v>65.28</v>
          </cell>
          <cell r="AN18">
            <v>226.83</v>
          </cell>
          <cell r="AR18">
            <v>143.57</v>
          </cell>
        </row>
        <row r="19">
          <cell r="B19">
            <v>37.409999999999997</v>
          </cell>
          <cell r="D19">
            <v>42.28</v>
          </cell>
          <cell r="F19">
            <v>54.29</v>
          </cell>
          <cell r="J19">
            <v>54.29</v>
          </cell>
          <cell r="P19">
            <v>68.78</v>
          </cell>
          <cell r="R19">
            <v>48.64</v>
          </cell>
          <cell r="V19">
            <v>18.27</v>
          </cell>
          <cell r="X19">
            <v>41.47</v>
          </cell>
          <cell r="Z19">
            <v>69.319999999999993</v>
          </cell>
          <cell r="AB19">
            <v>173.47</v>
          </cell>
          <cell r="AD19">
            <v>54.29</v>
          </cell>
          <cell r="AF19">
            <v>173.47</v>
          </cell>
          <cell r="AH19">
            <v>54.29</v>
          </cell>
          <cell r="AJ19">
            <v>106.99</v>
          </cell>
          <cell r="AL19">
            <v>65.44</v>
          </cell>
          <cell r="AN19">
            <v>225.99</v>
          </cell>
          <cell r="AR19">
            <v>144.13999999999999</v>
          </cell>
        </row>
        <row r="20">
          <cell r="B20">
            <v>37.51</v>
          </cell>
          <cell r="D20">
            <v>41.9</v>
          </cell>
          <cell r="F20">
            <v>54.19</v>
          </cell>
          <cell r="J20">
            <v>54.19</v>
          </cell>
          <cell r="P20">
            <v>68.31</v>
          </cell>
          <cell r="R20">
            <v>48.62</v>
          </cell>
          <cell r="V20">
            <v>18.27</v>
          </cell>
          <cell r="X20">
            <v>41.22</v>
          </cell>
          <cell r="Z20">
            <v>69.930000000000007</v>
          </cell>
          <cell r="AB20">
            <v>173.26</v>
          </cell>
          <cell r="AD20">
            <v>54.19</v>
          </cell>
          <cell r="AF20">
            <v>173.26</v>
          </cell>
          <cell r="AH20">
            <v>54.19</v>
          </cell>
          <cell r="AJ20">
            <v>106.29</v>
          </cell>
          <cell r="AL20">
            <v>65.540000000000006</v>
          </cell>
          <cell r="AN20">
            <v>225.35</v>
          </cell>
          <cell r="AR20">
            <v>144.13999999999999</v>
          </cell>
        </row>
        <row r="21">
          <cell r="B21">
            <v>36.99</v>
          </cell>
          <cell r="D21">
            <v>41.71</v>
          </cell>
          <cell r="F21">
            <v>53.98</v>
          </cell>
          <cell r="J21">
            <v>53.98</v>
          </cell>
          <cell r="P21">
            <v>67.75</v>
          </cell>
          <cell r="R21">
            <v>48.13</v>
          </cell>
          <cell r="V21">
            <v>18.25</v>
          </cell>
          <cell r="X21">
            <v>41.05</v>
          </cell>
          <cell r="Z21">
            <v>69.819999999999993</v>
          </cell>
          <cell r="AB21">
            <v>173.2</v>
          </cell>
          <cell r="AD21">
            <v>53.98</v>
          </cell>
          <cell r="AF21">
            <v>173.2</v>
          </cell>
          <cell r="AH21">
            <v>53.98</v>
          </cell>
          <cell r="AJ21">
            <v>106.85</v>
          </cell>
          <cell r="AL21">
            <v>64.63</v>
          </cell>
          <cell r="AN21">
            <v>225.63</v>
          </cell>
          <cell r="AR21">
            <v>142.93</v>
          </cell>
        </row>
        <row r="22">
          <cell r="B22">
            <v>37.71</v>
          </cell>
          <cell r="D22">
            <v>41.54</v>
          </cell>
          <cell r="F22">
            <v>54.45</v>
          </cell>
          <cell r="J22">
            <v>54.45</v>
          </cell>
          <cell r="P22">
            <v>69.08</v>
          </cell>
          <cell r="R22">
            <v>48.95</v>
          </cell>
          <cell r="V22">
            <v>18.260000000000002</v>
          </cell>
          <cell r="X22">
            <v>41.51</v>
          </cell>
          <cell r="Z22">
            <v>71.19</v>
          </cell>
          <cell r="AB22">
            <v>173.81</v>
          </cell>
          <cell r="AD22">
            <v>54.45</v>
          </cell>
          <cell r="AF22">
            <v>173.81</v>
          </cell>
          <cell r="AH22">
            <v>54.45</v>
          </cell>
          <cell r="AJ22">
            <v>107.24</v>
          </cell>
          <cell r="AL22">
            <v>66</v>
          </cell>
          <cell r="AN22">
            <v>228.71</v>
          </cell>
          <cell r="AR22">
            <v>146.33000000000001</v>
          </cell>
        </row>
        <row r="23">
          <cell r="B23">
            <v>37.630000000000003</v>
          </cell>
          <cell r="D23">
            <v>41.55</v>
          </cell>
          <cell r="F23">
            <v>54.59</v>
          </cell>
          <cell r="J23">
            <v>54.59</v>
          </cell>
          <cell r="P23">
            <v>68.92</v>
          </cell>
          <cell r="R23">
            <v>48.88</v>
          </cell>
          <cell r="V23">
            <v>18.27</v>
          </cell>
          <cell r="X23">
            <v>41.67</v>
          </cell>
          <cell r="Z23">
            <v>70.98</v>
          </cell>
          <cell r="AB23">
            <v>174.29</v>
          </cell>
          <cell r="AD23">
            <v>54.59</v>
          </cell>
          <cell r="AF23">
            <v>174.29</v>
          </cell>
          <cell r="AH23">
            <v>54.59</v>
          </cell>
          <cell r="AJ23">
            <v>108.29</v>
          </cell>
          <cell r="AL23">
            <v>66.08</v>
          </cell>
          <cell r="AN23">
            <v>228.44</v>
          </cell>
          <cell r="AR23">
            <v>145.84</v>
          </cell>
        </row>
        <row r="24">
          <cell r="B24">
            <v>36.71</v>
          </cell>
          <cell r="D24">
            <v>40.590000000000003</v>
          </cell>
          <cell r="F24">
            <v>54.284999999999997</v>
          </cell>
          <cell r="J24">
            <v>54.284999999999997</v>
          </cell>
          <cell r="P24">
            <v>68.430000000000007</v>
          </cell>
          <cell r="R24">
            <v>48.34</v>
          </cell>
          <cell r="V24">
            <v>18.239999999999998</v>
          </cell>
          <cell r="X24">
            <v>41.76</v>
          </cell>
          <cell r="Z24">
            <v>70.709999999999994</v>
          </cell>
          <cell r="AB24">
            <v>173.93</v>
          </cell>
          <cell r="AD24">
            <v>54.284999999999997</v>
          </cell>
          <cell r="AF24">
            <v>173.93</v>
          </cell>
          <cell r="AH24">
            <v>54.284999999999997</v>
          </cell>
          <cell r="AJ24">
            <v>108.22</v>
          </cell>
          <cell r="AL24">
            <v>65.25</v>
          </cell>
          <cell r="AN24">
            <v>226.91</v>
          </cell>
          <cell r="AR24">
            <v>144.54</v>
          </cell>
        </row>
        <row r="25">
          <cell r="B25">
            <v>37.11</v>
          </cell>
          <cell r="D25">
            <v>40.64</v>
          </cell>
          <cell r="F25">
            <v>54.93</v>
          </cell>
          <cell r="J25">
            <v>54.93</v>
          </cell>
          <cell r="P25">
            <v>68.290000000000006</v>
          </cell>
          <cell r="R25">
            <v>48.98</v>
          </cell>
          <cell r="V25">
            <v>18.260000000000002</v>
          </cell>
          <cell r="X25">
            <v>42.85</v>
          </cell>
          <cell r="Z25">
            <v>71.180000000000007</v>
          </cell>
          <cell r="AB25">
            <v>175.46</v>
          </cell>
          <cell r="AD25">
            <v>54.93</v>
          </cell>
          <cell r="AF25">
            <v>175.46</v>
          </cell>
          <cell r="AH25">
            <v>54.93</v>
          </cell>
          <cell r="AJ25">
            <v>109.64</v>
          </cell>
          <cell r="AL25">
            <v>65.510000000000005</v>
          </cell>
          <cell r="AN25">
            <v>228.88</v>
          </cell>
          <cell r="AR25">
            <v>144.26</v>
          </cell>
        </row>
      </sheetData>
      <sheetData sheetId="7"/>
      <sheetData sheetId="8">
        <row r="23">
          <cell r="D23">
            <v>19399.349999999999</v>
          </cell>
        </row>
        <row r="25">
          <cell r="D25">
            <v>49999.99</v>
          </cell>
        </row>
        <row r="26">
          <cell r="D26">
            <v>271784</v>
          </cell>
        </row>
      </sheetData>
      <sheetData sheetId="9">
        <row r="1">
          <cell r="C1" t="str">
            <v>6 months</v>
          </cell>
        </row>
        <row r="4">
          <cell r="D4">
            <v>905873.6108685279</v>
          </cell>
          <cell r="E4">
            <v>270796.77999999997</v>
          </cell>
          <cell r="F4">
            <v>212644.4229566</v>
          </cell>
          <cell r="G4">
            <v>1184447.4411026521</v>
          </cell>
          <cell r="H4">
            <v>77179.156613599989</v>
          </cell>
          <cell r="I4">
            <v>233692.43729490001</v>
          </cell>
          <cell r="J4">
            <v>919303.72</v>
          </cell>
          <cell r="K4">
            <v>92872.126873281988</v>
          </cell>
          <cell r="L4">
            <v>4836328.9942392008</v>
          </cell>
          <cell r="M4">
            <v>740196.85499999998</v>
          </cell>
          <cell r="N4">
            <v>289064.22106164997</v>
          </cell>
        </row>
        <row r="13">
          <cell r="H13">
            <v>1.363</v>
          </cell>
        </row>
        <row r="16">
          <cell r="K16" t="str">
            <v>1 month</v>
          </cell>
        </row>
        <row r="19">
          <cell r="AE19">
            <v>24</v>
          </cell>
        </row>
      </sheetData>
      <sheetData sheetId="10"/>
      <sheetData sheetId="11"/>
      <sheetData sheetId="12"/>
      <sheetData sheetId="13"/>
      <sheetData sheetId="14">
        <row r="870">
          <cell r="P870">
            <v>0</v>
          </cell>
        </row>
      </sheetData>
      <sheetData sheetId="15"/>
      <sheetData sheetId="16"/>
      <sheetData sheetId="17"/>
      <sheetData sheetId="18"/>
      <sheetData sheetId="19"/>
      <sheetData sheetId="20">
        <row r="528">
          <cell r="P528">
            <v>-919303.72</v>
          </cell>
        </row>
      </sheetData>
      <sheetData sheetId="21"/>
      <sheetData sheetId="22"/>
      <sheetData sheetId="23">
        <row r="359">
          <cell r="P359">
            <v>-92872.126873281988</v>
          </cell>
        </row>
      </sheetData>
      <sheetData sheetId="24"/>
      <sheetData sheetId="25">
        <row r="6">
          <cell r="C6">
            <v>2008</v>
          </cell>
        </row>
        <row r="7">
          <cell r="C7">
            <v>2015</v>
          </cell>
        </row>
      </sheetData>
      <sheetData sheetId="26"/>
      <sheetData sheetId="27"/>
      <sheetData sheetId="28">
        <row r="240">
          <cell r="P240">
            <v>-212644.4229566</v>
          </cell>
        </row>
      </sheetData>
      <sheetData sheetId="29"/>
      <sheetData sheetId="30">
        <row r="786">
          <cell r="P786">
            <v>-289064.22106164997</v>
          </cell>
        </row>
      </sheetData>
      <sheetData sheetId="31"/>
      <sheetData sheetId="32">
        <row r="1">
          <cell r="A1">
            <v>1238.4900000000159</v>
          </cell>
        </row>
        <row r="759">
          <cell r="P759">
            <v>-1184447.4411026521</v>
          </cell>
        </row>
      </sheetData>
      <sheetData sheetId="33"/>
      <sheetData sheetId="34">
        <row r="171">
          <cell r="P171">
            <v>-233692.43729490001</v>
          </cell>
        </row>
      </sheetData>
      <sheetData sheetId="35"/>
      <sheetData sheetId="36">
        <row r="266">
          <cell r="P266">
            <v>-77179.156613599989</v>
          </cell>
        </row>
      </sheetData>
      <sheetData sheetId="37"/>
      <sheetData sheetId="38"/>
      <sheetData sheetId="39"/>
      <sheetData sheetId="4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EE2C7-554E-4897-AD21-79EF5B91C826}" name="eRRSP_Tx_Table" displayName="eRRSP_Tx_Table" ref="A3:X1089" totalsRowShown="0" headerRowDxfId="13">
  <autoFilter ref="A3:X1089" xr:uid="{00000000-0009-0000-0100-000001000000}"/>
  <tableColumns count="24">
    <tableColumn id="1" xr3:uid="{C501AA8E-5DEA-49FD-9126-2792ADA735EB}" name="Date" dataDxfId="12"/>
    <tableColumn id="2" xr3:uid="{434B65F5-A5C4-48DC-A33F-EA1191E16FE9}" name="Action"/>
    <tableColumn id="3" xr3:uid="{F627960C-0978-4B5F-B036-65B1705A03DB}" name="Security"/>
    <tableColumn id="4" xr3:uid="{11876BCA-4ECC-426A-BD9B-BB26C4E90D5D}" name="Amount" dataCellStyle="Comma"/>
    <tableColumn id="5" xr3:uid="{F8A5DF1A-AF83-478D-8ED1-2E31300AF245}" name="Price"/>
    <tableColumn id="6" xr3:uid="{F2F6487F-3111-452F-B47B-66F549013333}" name="Quantity" dataCellStyle="Comma"/>
    <tableColumn id="7" xr3:uid="{C0E07CE6-735A-478B-97C2-5A08AF20F6FE}" name="Commission"/>
    <tableColumn id="8" xr3:uid="{2D92BA5C-CF36-4B62-813C-E15CDCFB9050}" name="Category"/>
    <tableColumn id="9" xr3:uid="{C0498A1C-EB64-4EEF-81A8-441BD23646DB}" name="Sub-Category"/>
    <tableColumn id="10" xr3:uid="{33B090A4-EA6D-4241-91F7-C6167F482AF2}" name="Memo"/>
    <tableColumn id="11" xr3:uid="{5C35FB02-DAFD-4510-8BAD-6D04C874EA5F}" name="Split"/>
    <tableColumn id="12" xr3:uid="{B69C4121-B928-4BB8-B53C-1326CA475A80}" name="New Shares"/>
    <tableColumn id="13" xr3:uid="{457E5131-3E91-47FA-AF6B-C26AE2B83307}" name="Calc Total" dataDxfId="11" dataCellStyle="Comma"/>
    <tableColumn id="14" xr3:uid="{1FEEFC48-4BA9-4541-B671-38D1C29AA084}" name="Net" dataDxfId="10">
      <calculatedColumnFormula>IF(OR(B4="Buy",B4="ReinvDiv"),-M4-G4,M4+G4)</calculatedColumnFormula>
    </tableColumn>
    <tableColumn id="15" xr3:uid="{0ABA904B-22DF-4E76-9411-7928D44FA2A9}" name="Cash Balance" dataDxfId="9"/>
    <tableColumn id="16" xr3:uid="{3BF65EFA-03AC-404C-8A21-5120CFB576C4}" name="Cash Flow" dataDxfId="8" dataCellStyle="Comma"/>
    <tableColumn id="17" xr3:uid="{53053C17-F456-4F83-9A99-E705D279F106}" name="In Range" dataDxfId="7">
      <calculatedColumnFormula>IF(AND(S4&gt;=[1]eRRSP_Rpt!$C$6,S4&lt;=[1]eRRSP_Rpt!$C$7),1,0)</calculatedColumnFormula>
    </tableColumn>
    <tableColumn id="18" xr3:uid="{F97B6DCD-94BE-4CFB-BE32-2C8B498DFF50}" name="Column1" dataDxfId="6"/>
    <tableColumn id="19" xr3:uid="{E96739B8-B3D0-4DA8-95A5-E4C03D34CF62}" name="Year" dataDxfId="5">
      <calculatedColumnFormula>YEAR(A4)</calculatedColumnFormula>
    </tableColumn>
    <tableColumn id="20" xr3:uid="{41D8041D-923E-47AF-8AAB-1806B858496E}" name="Formatted Date" dataDxfId="4"/>
    <tableColumn id="21" xr3:uid="{5F075FD9-13E7-4EB9-BA6D-6F6C9543703A}" name="Match" dataDxfId="3"/>
    <tableColumn id="22" xr3:uid="{424345F4-8CB7-4AEA-92C3-90C66696C1AF}" name="ACB" dataDxfId="2" dataCellStyle="Currency">
      <calculatedColumnFormula>IFERROR(IF(AND(AB4&gt;0,B4&lt;&gt;"Sell"),(AA4-SUMIF(C3:C$4,C4,AC$4:AC4))/AB4,0),"")</calculatedColumnFormula>
    </tableColumn>
    <tableColumn id="23" xr3:uid="{07DAD512-7E45-45BC-991E-2B2F10C38039}" name="Capital Gain" dataDxfId="1">
      <calculatedColumnFormula>IF(B4="Sell",N4+AC4,"")</calculatedColumnFormula>
    </tableColumn>
    <tableColumn id="24" xr3:uid="{0758C466-7CFC-4268-B30C-260812C84CA6}" name="Last ACB Lookup Help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1335-11A2-4FFE-8984-44E5D42ED6DE}">
  <sheetPr codeName="Sheet3">
    <tabColor theme="7" tint="0.59999389629810485"/>
  </sheetPr>
  <dimension ref="A1:AE1089"/>
  <sheetViews>
    <sheetView tabSelected="1" zoomScale="80" zoomScaleNormal="80" workbookViewId="0">
      <pane xSplit="3" ySplit="3" topLeftCell="D4" activePane="bottomRight" state="frozen"/>
      <selection activeCell="K2" sqref="K2"/>
      <selection pane="topRight" activeCell="K2" sqref="K2"/>
      <selection pane="bottomLeft" activeCell="K2" sqref="K2"/>
      <selection pane="bottomRight" activeCell="F1087" sqref="F1087"/>
    </sheetView>
  </sheetViews>
  <sheetFormatPr defaultRowHeight="15" outlineLevelCol="1" x14ac:dyDescent="0.25"/>
  <cols>
    <col min="1" max="1" width="14.42578125" customWidth="1"/>
    <col min="2" max="2" width="12.42578125" customWidth="1"/>
    <col min="3" max="3" width="35.5703125" customWidth="1"/>
    <col min="4" max="4" width="19.5703125" style="3" customWidth="1"/>
    <col min="5" max="5" width="19.5703125" customWidth="1"/>
    <col min="6" max="6" width="19.5703125" style="3" customWidth="1"/>
    <col min="7" max="7" width="13" customWidth="1" outlineLevel="1"/>
    <col min="8" max="8" width="10.140625" customWidth="1" outlineLevel="1"/>
    <col min="9" max="9" width="13.85546875" customWidth="1" outlineLevel="1"/>
    <col min="10" max="11" width="9.140625" customWidth="1" outlineLevel="1"/>
    <col min="12" max="12" width="12.42578125" customWidth="1" outlineLevel="1"/>
    <col min="13" max="13" width="14.42578125" customWidth="1" outlineLevel="1"/>
    <col min="14" max="14" width="13.42578125" bestFit="1" customWidth="1"/>
    <col min="15" max="15" width="16.42578125" bestFit="1" customWidth="1"/>
    <col min="16" max="16" width="15" customWidth="1"/>
    <col min="17" max="17" width="12.42578125" bestFit="1" customWidth="1"/>
    <col min="18" max="19" width="10.28515625" customWidth="1"/>
    <col min="20" max="20" width="14.42578125" customWidth="1"/>
    <col min="21" max="21" width="34.140625" bestFit="1" customWidth="1"/>
    <col min="22" max="22" width="26.85546875" bestFit="1" customWidth="1"/>
    <col min="23" max="23" width="14.140625" bestFit="1" customWidth="1"/>
    <col min="24" max="24" width="17.140625" customWidth="1"/>
    <col min="25" max="25" width="12.42578125" customWidth="1"/>
    <col min="26" max="26" width="19.42578125" bestFit="1" customWidth="1"/>
    <col min="27" max="27" width="28.42578125" bestFit="1" customWidth="1"/>
    <col min="28" max="28" width="9.140625" bestFit="1" customWidth="1"/>
    <col min="29" max="29" width="28.42578125" bestFit="1" customWidth="1"/>
    <col min="30" max="30" width="11.42578125" bestFit="1" customWidth="1"/>
    <col min="31" max="31" width="10.85546875" bestFit="1" customWidth="1"/>
  </cols>
  <sheetData>
    <row r="1" spans="1:31" ht="14.1" customHeight="1" x14ac:dyDescent="0.25">
      <c r="A1" s="1">
        <f ca="1">N1</f>
        <v>32080.712919999907</v>
      </c>
      <c r="B1" s="2">
        <f ca="1">XIRR(INDIRECT($T$1),INDIRECT($S$1))</f>
        <v>9.3804904818534859E-2</v>
      </c>
      <c r="M1" s="4"/>
      <c r="N1" s="5">
        <f ca="1">INDEX(O:O,U1)*USD_Rate</f>
        <v>32080.712919999907</v>
      </c>
      <c r="O1" s="6">
        <f ca="1">XIRR(P4:P1089,A4:A1089)</f>
        <v>9.3804904818534859E-2</v>
      </c>
      <c r="P1" s="4"/>
      <c r="Q1" s="4">
        <f>MATCH("Market Value Today",C:C,0)</f>
        <v>1089</v>
      </c>
      <c r="R1" s="4">
        <f ca="1">COUNTA(P:P)+2</f>
        <v>1089</v>
      </c>
      <c r="S1" s="7" t="str">
        <f>"a4:a"&amp;Q1</f>
        <v>a4:a1089</v>
      </c>
      <c r="T1" s="8" t="str">
        <f>"P4:P"&amp;Q1</f>
        <v>P4:P1089</v>
      </c>
      <c r="U1" s="9">
        <f>Q1-1</f>
        <v>1088</v>
      </c>
      <c r="V1" s="4"/>
      <c r="W1" s="8" t="str">
        <f ca="1">"eRRSP!q4:q"&amp;COUNTA(Tx!P:P)+2</f>
        <v>eRRSP!q4:q1089</v>
      </c>
      <c r="X1" s="4"/>
      <c r="Y1" s="10"/>
      <c r="Z1" s="10"/>
    </row>
    <row r="2" spans="1:31" ht="24.95" customHeight="1" x14ac:dyDescent="0.25">
      <c r="B2" s="11">
        <v>3</v>
      </c>
      <c r="C2" s="12" t="s">
        <v>0</v>
      </c>
      <c r="E2" s="13"/>
      <c r="G2" s="13"/>
      <c r="M2" s="1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10"/>
      <c r="Z2" s="10"/>
    </row>
    <row r="3" spans="1:31" x14ac:dyDescent="0.25">
      <c r="A3" s="15" t="s">
        <v>1</v>
      </c>
      <c r="B3" s="15" t="s">
        <v>2</v>
      </c>
      <c r="C3" s="15" t="s">
        <v>3</v>
      </c>
      <c r="D3" s="16" t="s">
        <v>4</v>
      </c>
      <c r="E3" s="15" t="s">
        <v>5</v>
      </c>
      <c r="F3" s="16" t="s">
        <v>6</v>
      </c>
      <c r="G3" s="15" t="s">
        <v>7</v>
      </c>
      <c r="H3" s="15" t="s">
        <v>8</v>
      </c>
      <c r="I3" s="15" t="s">
        <v>9</v>
      </c>
      <c r="J3" s="15" t="s">
        <v>10</v>
      </c>
      <c r="K3" s="15" t="s">
        <v>11</v>
      </c>
      <c r="L3" s="15" t="s">
        <v>12</v>
      </c>
      <c r="M3" s="17" t="s">
        <v>13</v>
      </c>
      <c r="N3" s="17" t="s">
        <v>14</v>
      </c>
      <c r="O3" s="17" t="s">
        <v>15</v>
      </c>
      <c r="P3" s="17" t="s">
        <v>16</v>
      </c>
      <c r="Q3" s="17" t="s">
        <v>17</v>
      </c>
      <c r="R3" s="17" t="s">
        <v>18</v>
      </c>
      <c r="S3" s="17" t="s">
        <v>19</v>
      </c>
      <c r="T3" s="17" t="s">
        <v>20</v>
      </c>
      <c r="U3" s="17" t="s">
        <v>21</v>
      </c>
      <c r="V3" s="17" t="s">
        <v>22</v>
      </c>
      <c r="W3" s="17" t="s">
        <v>23</v>
      </c>
      <c r="X3" s="17" t="s">
        <v>24</v>
      </c>
      <c r="Y3" s="18" t="s">
        <v>25</v>
      </c>
      <c r="Z3" s="19" t="s">
        <v>26</v>
      </c>
      <c r="AA3" s="19" t="s">
        <v>27</v>
      </c>
      <c r="AB3" s="19" t="s">
        <v>28</v>
      </c>
      <c r="AC3" s="19" t="s">
        <v>29</v>
      </c>
    </row>
    <row r="4" spans="1:31" x14ac:dyDescent="0.25">
      <c r="A4" s="20">
        <v>36161</v>
      </c>
      <c r="B4" t="s">
        <v>30</v>
      </c>
      <c r="C4" t="s">
        <v>31</v>
      </c>
      <c r="D4" s="3">
        <v>1851.7</v>
      </c>
      <c r="M4" s="21">
        <f>ROUND(IF(OR(B4="Buy",B4="Sell"),E4*F4,D4),2)</f>
        <v>1851.7</v>
      </c>
      <c r="N4" s="8">
        <f>IF(OR(B4="Buy",B4="ReinvDiv"),-M4-G4,M4-G4)</f>
        <v>1851.7</v>
      </c>
      <c r="O4" s="8">
        <f>IF(OR($B4="Cash",$B4="Buy",$B4="Sell",$B4="Div",$B4="Rebate",$B4="Fees",$B4="IntInc",$B4="Tax",$B4="Distr"),$N4,0)</f>
        <v>1851.7</v>
      </c>
      <c r="P4" s="8">
        <f>IF(OR($B4="Cash"),$N4,0)</f>
        <v>1851.7</v>
      </c>
      <c r="Q4" s="4">
        <f>IF(AND(S4&gt;=[1]eRRSP_Rpt!$C$6,S4&lt;=[1]eRRSP_Rpt!$C$7),1,0)</f>
        <v>0</v>
      </c>
      <c r="R4" s="4"/>
      <c r="S4" s="4">
        <f>YEAR(A4)</f>
        <v>1999</v>
      </c>
      <c r="T4" s="22">
        <f>DATE(YEAR(A4),MONTH(A4),DAY(A4))</f>
        <v>36161</v>
      </c>
      <c r="U4" s="4" t="str">
        <f>CONCATENATE(B4,C4)</f>
        <v>CashContribution</v>
      </c>
      <c r="V4" s="23">
        <f>IFERROR(IF(AND(AB4&gt;0,B4&lt;&gt;"Sell"),(AA4-SUMIF(C3:C$4,C4,AC$4:AC4))/AB4,0),"")</f>
        <v>0</v>
      </c>
      <c r="W4" s="24" t="str">
        <f>IF(B4="Sell",N4+AC4,"")</f>
        <v/>
      </c>
      <c r="X4" s="25" t="str">
        <f t="shared" ref="X4:X67" si="0">IF(V4,CONCATENATE(C4,"_ACB"),"")</f>
        <v/>
      </c>
      <c r="Y4" s="10" t="str">
        <f>IF(S5&lt;&gt;eRRSP_Tx_Table[[#This Row],[Year]],SUMIFS($W$4:$W4,$S$4:$S4,eRRSP_Tx_Table[[#This Row],[Year]],$W$4:$W4,"&gt;0"),"")</f>
        <v/>
      </c>
      <c r="Z4" s="10" t="str">
        <f>IF(S5&lt;&gt;eRRSP_Tx_Table[[#This Row],[Year]],SUMIFS($W$4:$W4,$S$4:$S4,eRRSP_Tx_Table[[#This Row],[Year]],$W$4:$W4,"&lt;0"),"")</f>
        <v/>
      </c>
      <c r="AA4" s="3">
        <f>(SUMIF($U$4:$U4,CONCATENATE("Buy",$C4),$N$4:$N4)+SUMIF($U$4:$U4,CONCATENATE("ReinvDiv",$C4),$N$4:$N4))</f>
        <v>0</v>
      </c>
      <c r="AB4" s="3">
        <f>(SUMIF($U$4:$U4,CONCATENATE("Buy",$C4),$F$4:$F4)+SUMIF($U$4:$U4,CONCATENATE("ReinvDiv",$C4),$F$4:$F4)+SUMIF($U$4:$U4,CONCATENATE("StkSplit",$C4),$F$4:$F4)-SUMIF($U$4:$U4,CONCATENATE("Sell",$C4),$F$4:$F4))</f>
        <v>0</v>
      </c>
      <c r="AC4" s="3">
        <f>IF(B4="Sell",F4*INDEX(V:V,LOOKUP(2,1/(X3:X$4=CONCATENATE(C4,"_ACB")),ROW(V3:V$4))),0)</f>
        <v>0</v>
      </c>
      <c r="AD4" s="26" t="str">
        <f>IFERROR((SUMIF($U$4:$U4,CONCATENATE("Buy",$C4),$N$4:$N4)+SUMIF($U$4:$U4,CONCATENATE("ReinvDiv",$C4),$N$4:$N4))/(SUMIF($U$4:$U4,CONCATENATE("Buy",$C4),$F$4:$F4)+SUMIF($U$4:$U4,CONCATENATE("ReinvDiv",$C4),$F$4:$F4)+SUMIF($U$4:$U4,CONCATENATE("StkSplit",$C4),$F$4:$F4)),"")</f>
        <v/>
      </c>
    </row>
    <row r="5" spans="1:31" x14ac:dyDescent="0.25">
      <c r="A5" s="27">
        <v>36161</v>
      </c>
      <c r="B5" s="28" t="s">
        <v>32</v>
      </c>
      <c r="C5" s="28" t="s">
        <v>33</v>
      </c>
      <c r="D5" s="29">
        <v>1851.7</v>
      </c>
      <c r="E5" s="28">
        <v>25.718056000000001</v>
      </c>
      <c r="F5" s="29">
        <v>72</v>
      </c>
      <c r="G5" s="28"/>
      <c r="H5" s="28"/>
      <c r="I5" s="28"/>
      <c r="J5" s="28"/>
      <c r="K5" s="28"/>
      <c r="L5" s="28"/>
      <c r="M5" s="21">
        <f t="shared" ref="M5:M72" si="1">ROUND(IF(OR(B5="Buy",B5="Sell"),E5*F5,D5),2)</f>
        <v>1851.7</v>
      </c>
      <c r="N5" s="8">
        <f t="shared" ref="N5:N28" si="2">IF(OR(B5="Buy",B5="ReinvDiv"),-M5-G5,M5-G5)</f>
        <v>-1851.7</v>
      </c>
      <c r="O5" s="8">
        <f>O4+IF(OR(B5="Cash",B5="Buy",B5="Sell",B5="Div",B5="Rebate",B5="Fees",B5="IntInc",B5="Tax",B5="Distr"),N5,0)</f>
        <v>0</v>
      </c>
      <c r="P5" s="8">
        <f t="shared" ref="P5:P72" si="3">IF(OR($B5="Cash"),$N5,0)</f>
        <v>0</v>
      </c>
      <c r="Q5" s="4">
        <f>IF(AND(S5&gt;=[1]eRRSP_Rpt!$C$6,S5&lt;=[1]eRRSP_Rpt!$C$7),1,0)</f>
        <v>0</v>
      </c>
      <c r="R5" s="4"/>
      <c r="S5" s="4">
        <f t="shared" ref="S5:S68" si="4">YEAR(A5)</f>
        <v>1999</v>
      </c>
      <c r="T5" s="22">
        <f t="shared" ref="T5:T38" si="5">DATE(YEAR(A5),MONTH(A5),DAY(A5))</f>
        <v>36161</v>
      </c>
      <c r="U5" s="4" t="str">
        <f t="shared" ref="U5:U72" si="6">CONCATENATE(B5,C5)</f>
        <v>BuyEnbridge</v>
      </c>
      <c r="V5" s="23">
        <f>IFERROR(IF(AND(AB5&gt;0,B5&lt;&gt;"Sell"),(AA5-SUMIF(C4:C$4,C5,AC$4:AC5))/AB5,0),"")</f>
        <v>-25.718055555555555</v>
      </c>
      <c r="W5" s="24" t="str">
        <f t="shared" ref="W5:W68" si="7">IF(B5="Sell",N5+AC5,"")</f>
        <v/>
      </c>
      <c r="X5" s="25" t="str">
        <f t="shared" si="0"/>
        <v>Enbridge_ACB</v>
      </c>
      <c r="Y5" s="10" t="str">
        <f>IF(S6&lt;&gt;eRRSP_Tx_Table[[#This Row],[Year]],SUMIFS($W$4:$W5,$S$4:$S5,eRRSP_Tx_Table[[#This Row],[Year]],$W$4:$W5,"&gt;0"),"")</f>
        <v/>
      </c>
      <c r="Z5" s="10" t="str">
        <f>IF(S6&lt;&gt;eRRSP_Tx_Table[[#This Row],[Year]],SUMIFS($W$4:$W5,$S$4:$S5,eRRSP_Tx_Table[[#This Row],[Year]],$W$4:$W5,"&lt;0"),"")</f>
        <v/>
      </c>
      <c r="AA5" s="3">
        <f>(SUMIF($U$4:$U5,CONCATENATE("Buy",$C5),$N$4:$N5)+SUMIF($U$4:$U5,CONCATENATE("ReinvDiv",$C5),$N$4:$N5))</f>
        <v>-1851.7</v>
      </c>
      <c r="AB5" s="3">
        <f>(SUMIF($U$4:$U5,CONCATENATE("Buy",$C5),$F$4:$F5)+SUMIF($U$4:$U5,CONCATENATE("ReinvDiv",$C5),$F$4:$F5)+SUMIF($U$4:$U5,CONCATENATE("StkSplit",$C5),$F$4:$F5)-SUMIF($U$4:$U5,CONCATENATE("Sell",$C5),$F$4:$F5))</f>
        <v>72</v>
      </c>
      <c r="AC5" s="3">
        <f>IF(B5="Sell",F5*INDEX(V:V,LOOKUP(2,1/(X4:X$4=CONCATENATE(C5,"_ACB")),ROW(V4:V$4))),0)</f>
        <v>0</v>
      </c>
      <c r="AD5" s="30"/>
      <c r="AE5" s="31"/>
    </row>
    <row r="6" spans="1:31" x14ac:dyDescent="0.25">
      <c r="A6" s="20">
        <v>36161</v>
      </c>
      <c r="B6" t="s">
        <v>30</v>
      </c>
      <c r="C6" t="s">
        <v>31</v>
      </c>
      <c r="D6" s="3">
        <v>4796.32</v>
      </c>
      <c r="M6" s="21">
        <f t="shared" si="1"/>
        <v>4796.32</v>
      </c>
      <c r="N6" s="8">
        <f t="shared" si="2"/>
        <v>4796.32</v>
      </c>
      <c r="O6" s="8">
        <f>O5+IF(OR(B6="Cash",B6="Buy",B6="Sell",B6="Div",B6="Rebate",B6="Fees",B6="IntInc",B6="Tax",B6="Distr"),N6,0)</f>
        <v>4796.32</v>
      </c>
      <c r="P6" s="8">
        <f t="shared" si="3"/>
        <v>4796.32</v>
      </c>
      <c r="Q6" s="4">
        <f>IF(AND(S6&gt;=[1]eRRSP_Rpt!$C$6,S6&lt;=[1]eRRSP_Rpt!$C$7),1,0)</f>
        <v>0</v>
      </c>
      <c r="R6" s="4"/>
      <c r="S6" s="4">
        <f t="shared" si="4"/>
        <v>1999</v>
      </c>
      <c r="T6" s="22">
        <f t="shared" si="5"/>
        <v>36161</v>
      </c>
      <c r="U6" s="4" t="str">
        <f t="shared" si="6"/>
        <v>CashContribution</v>
      </c>
      <c r="V6" s="23">
        <f>IFERROR(IF(AND(AB6&gt;0,B6&lt;&gt;"Sell"),(AA6-SUMIF(C$4:C5,C6,AC$4:AC6))/AB6,0),"")</f>
        <v>0</v>
      </c>
      <c r="W6" s="24" t="str">
        <f t="shared" si="7"/>
        <v/>
      </c>
      <c r="X6" s="25" t="str">
        <f t="shared" si="0"/>
        <v/>
      </c>
      <c r="Y6" s="10" t="str">
        <f>IF(S7&lt;&gt;eRRSP_Tx_Table[[#This Row],[Year]],SUMIFS($W$4:$W6,$S$4:$S6,eRRSP_Tx_Table[[#This Row],[Year]],$W$4:$W6,"&gt;0"),"")</f>
        <v/>
      </c>
      <c r="Z6" s="10" t="str">
        <f>IF(S7&lt;&gt;eRRSP_Tx_Table[[#This Row],[Year]],SUMIFS($W$4:$W6,$S$4:$S6,eRRSP_Tx_Table[[#This Row],[Year]],$W$4:$W6,"&lt;0"),"")</f>
        <v/>
      </c>
      <c r="AA6" s="3">
        <f>(SUMIF($U$4:$U6,CONCATENATE("Buy",$C6),$N$4:$N6)+SUMIF($U$4:$U6,CONCATENATE("ReinvDiv",$C6),$N$4:$N6))</f>
        <v>0</v>
      </c>
      <c r="AB6" s="3">
        <f>(SUMIF($U$4:$U6,CONCATENATE("Buy",$C6),$F$4:$F6)+SUMIF($U$4:$U6,CONCATENATE("ReinvDiv",$C6),$F$4:$F6)+SUMIF($U$4:$U6,CONCATENATE("StkSplit",$C6),$F$4:$F6)-SUMIF($U$4:$U6,CONCATENATE("Sell",$C6),$F$4:$F6))</f>
        <v>0</v>
      </c>
      <c r="AC6" s="3">
        <f>IF(B6="Sell",F6*INDEX(V:V,LOOKUP(2,1/(X$4:X5=CONCATENATE(C6,"_ACB")),ROW(V$4:V5))),0)</f>
        <v>0</v>
      </c>
    </row>
    <row r="7" spans="1:31" ht="12.75" customHeight="1" x14ac:dyDescent="0.25">
      <c r="A7" s="32">
        <v>36525</v>
      </c>
      <c r="B7" s="33"/>
      <c r="C7" s="33"/>
      <c r="D7" s="34"/>
      <c r="E7" s="33"/>
      <c r="F7" s="34"/>
      <c r="G7" s="33"/>
      <c r="H7" s="33"/>
      <c r="I7" s="33"/>
      <c r="J7" s="33"/>
      <c r="K7" s="33"/>
      <c r="L7" s="33"/>
      <c r="M7" s="35"/>
      <c r="N7" s="8">
        <f t="shared" si="2"/>
        <v>0</v>
      </c>
      <c r="O7" s="36"/>
      <c r="P7" s="37">
        <v>-2129.46</v>
      </c>
      <c r="Q7" s="4">
        <f>IF(AND(S7&gt;=[1]eRRSP_Rpt!$C$6,S7&lt;=[1]eRRSP_Rpt!$C$7),1,0)</f>
        <v>0</v>
      </c>
      <c r="R7" s="4" t="s">
        <v>34</v>
      </c>
      <c r="S7" s="4">
        <f>YEAR(A7)</f>
        <v>1999</v>
      </c>
      <c r="T7" s="22"/>
      <c r="U7" s="4"/>
      <c r="V7" s="23">
        <f>IFERROR(IF(AND(AB7&gt;0,B7&lt;&gt;"Sell"),(AA7-SUMIF(C$4:C6,C7,AC$4:AC7))/AB7,0),"")</f>
        <v>0</v>
      </c>
      <c r="W7" s="24" t="str">
        <f t="shared" si="7"/>
        <v/>
      </c>
      <c r="X7" s="25" t="str">
        <f t="shared" si="0"/>
        <v/>
      </c>
      <c r="Y7" s="10">
        <f>IF(S8&lt;&gt;eRRSP_Tx_Table[[#This Row],[Year]],SUMIFS($W$4:$W7,$S$4:$S7,eRRSP_Tx_Table[[#This Row],[Year]],$W$4:$W7,"&gt;0"),"")</f>
        <v>0</v>
      </c>
      <c r="Z7" s="10">
        <f>IF(S8&lt;&gt;eRRSP_Tx_Table[[#This Row],[Year]],SUMIFS($W$4:$W7,$S$4:$S7,eRRSP_Tx_Table[[#This Row],[Year]],$W$4:$W7,"&lt;0"),"")</f>
        <v>0</v>
      </c>
      <c r="AA7" s="3">
        <f>(SUMIF($U$4:$U7,CONCATENATE("Buy",$C7),$N$4:$N7)+SUMIF($U$4:$U7,CONCATENATE("ReinvDiv",$C7),$N$4:$N7))</f>
        <v>0</v>
      </c>
      <c r="AB7" s="3">
        <f>(SUMIF($U$4:$U7,CONCATENATE("Buy",$C7),$F$4:$F7)+SUMIF($U$4:$U7,CONCATENATE("ReinvDiv",$C7),$F$4:$F7)+SUMIF($U$4:$U7,CONCATENATE("StkSplit",$C7),$F$4:$F7)-SUMIF($U$4:$U7,CONCATENATE("Sell",$C7),$F$4:$F7))</f>
        <v>0</v>
      </c>
      <c r="AC7" s="3">
        <f>IF(B7="Sell",F7*INDEX(V:V,LOOKUP(2,1/(X$4:X6=CONCATENATE(C7,"_ACB")),ROW(V$4:V6))),0)</f>
        <v>0</v>
      </c>
    </row>
    <row r="8" spans="1:31" ht="13.5" customHeight="1" x14ac:dyDescent="0.25">
      <c r="A8" s="32">
        <v>36526</v>
      </c>
      <c r="B8" s="33"/>
      <c r="C8" s="33"/>
      <c r="D8" s="34"/>
      <c r="E8" s="33"/>
      <c r="F8" s="34"/>
      <c r="G8" s="33"/>
      <c r="H8" s="33"/>
      <c r="I8" s="33"/>
      <c r="J8" s="33"/>
      <c r="K8" s="33"/>
      <c r="L8" s="33"/>
      <c r="M8" s="35"/>
      <c r="N8" s="8">
        <f t="shared" si="2"/>
        <v>0</v>
      </c>
      <c r="O8" s="36"/>
      <c r="P8" s="37">
        <f>-P7</f>
        <v>2129.46</v>
      </c>
      <c r="Q8" s="4">
        <f>IF(AND(S8&gt;=[1]eRRSP_Rpt!$C$6,S8&lt;=[1]eRRSP_Rpt!$C$7),1,0)</f>
        <v>0</v>
      </c>
      <c r="R8" s="4" t="s">
        <v>34</v>
      </c>
      <c r="S8" s="4">
        <f>YEAR(A8)</f>
        <v>2000</v>
      </c>
      <c r="T8" s="22"/>
      <c r="U8" s="4"/>
      <c r="V8" s="23">
        <f>IFERROR(IF(AND(AB8&gt;0,B8&lt;&gt;"Sell"),(AA8-SUMIF(C$4:C7,C8,AC$4:AC8))/AB8,0),"")</f>
        <v>0</v>
      </c>
      <c r="W8" s="24" t="str">
        <f t="shared" si="7"/>
        <v/>
      </c>
      <c r="X8" s="25" t="str">
        <f t="shared" si="0"/>
        <v/>
      </c>
      <c r="Y8" s="10" t="str">
        <f>IF(S9&lt;&gt;eRRSP_Tx_Table[[#This Row],[Year]],SUMIFS($W$4:$W8,$S$4:$S8,eRRSP_Tx_Table[[#This Row],[Year]],$W$4:$W8,"&gt;0"),"")</f>
        <v/>
      </c>
      <c r="Z8" s="10" t="str">
        <f>IF(S9&lt;&gt;eRRSP_Tx_Table[[#This Row],[Year]],SUMIFS($W$4:$W8,$S$4:$S8,eRRSP_Tx_Table[[#This Row],[Year]],$W$4:$W8,"&lt;0"),"")</f>
        <v/>
      </c>
      <c r="AA8" s="3">
        <f>(SUMIF($U$4:$U8,CONCATENATE("Buy",$C8),$N$4:$N8)+SUMIF($U$4:$U8,CONCATENATE("ReinvDiv",$C8),$N$4:$N8))</f>
        <v>0</v>
      </c>
      <c r="AB8" s="3">
        <f>(SUMIF($U$4:$U8,CONCATENATE("Buy",$C8),$F$4:$F8)+SUMIF($U$4:$U8,CONCATENATE("ReinvDiv",$C8),$F$4:$F8)+SUMIF($U$4:$U8,CONCATENATE("StkSplit",$C8),$F$4:$F8)-SUMIF($U$4:$U8,CONCATENATE("Sell",$C8),$F$4:$F8))</f>
        <v>0</v>
      </c>
      <c r="AC8" s="3">
        <f>IF(B8="Sell",F8*INDEX(V:V,LOOKUP(2,1/(X$4:X7=CONCATENATE(C8,"_ACB")),ROW(V$4:V7))),0)</f>
        <v>0</v>
      </c>
    </row>
    <row r="9" spans="1:31" x14ac:dyDescent="0.25">
      <c r="A9" s="20">
        <v>36693</v>
      </c>
      <c r="B9" t="s">
        <v>35</v>
      </c>
      <c r="C9" t="s">
        <v>36</v>
      </c>
      <c r="D9" s="3">
        <v>-106.15</v>
      </c>
      <c r="M9" s="21">
        <f t="shared" si="1"/>
        <v>-106.15</v>
      </c>
      <c r="N9" s="8">
        <f t="shared" si="2"/>
        <v>-106.15</v>
      </c>
      <c r="O9" s="8">
        <f>O6+IF(OR(B9="Cash",B9="Buy",B9="Sell",B9="Div",B9="Rebate",B9="Fees",B9="IntInc",B9="Tax",B9="Distr"),N9,0)</f>
        <v>4690.17</v>
      </c>
      <c r="P9" s="8">
        <f t="shared" si="3"/>
        <v>0</v>
      </c>
      <c r="Q9" s="4">
        <f>IF(AND(S9&gt;=[1]eRRSP_Rpt!$C$6,S9&lt;=[1]eRRSP_Rpt!$C$7),1,0)</f>
        <v>0</v>
      </c>
      <c r="R9" s="4"/>
      <c r="S9" s="4">
        <f t="shared" si="4"/>
        <v>2000</v>
      </c>
      <c r="T9" s="22">
        <f t="shared" si="5"/>
        <v>36693</v>
      </c>
      <c r="U9" s="4" t="str">
        <f t="shared" si="6"/>
        <v>FeesTDW</v>
      </c>
      <c r="V9" s="23">
        <f>IFERROR(IF(AND(AB9&gt;0,B9&lt;&gt;"Sell"),(AA9-SUMIF(C$4:C8,C9,AC$4:AC9))/AB9,0),"")</f>
        <v>0</v>
      </c>
      <c r="W9" s="24" t="str">
        <f t="shared" si="7"/>
        <v/>
      </c>
      <c r="X9" s="25" t="str">
        <f t="shared" si="0"/>
        <v/>
      </c>
      <c r="Y9" s="10" t="str">
        <f>IF(S10&lt;&gt;eRRSP_Tx_Table[[#This Row],[Year]],SUMIFS($W$4:$W9,$S$4:$S9,eRRSP_Tx_Table[[#This Row],[Year]],$W$4:$W9,"&gt;0"),"")</f>
        <v/>
      </c>
      <c r="Z9" s="10" t="str">
        <f>IF(S10&lt;&gt;eRRSP_Tx_Table[[#This Row],[Year]],SUMIFS($W$4:$W9,$S$4:$S9,eRRSP_Tx_Table[[#This Row],[Year]],$W$4:$W9,"&lt;0"),"")</f>
        <v/>
      </c>
      <c r="AA9" s="3">
        <f>(SUMIF($U$4:$U9,CONCATENATE("Buy",$C9),$N$4:$N9)+SUMIF($U$4:$U9,CONCATENATE("ReinvDiv",$C9),$N$4:$N9))</f>
        <v>0</v>
      </c>
      <c r="AB9" s="3">
        <f>(SUMIF($U$4:$U9,CONCATENATE("Buy",$C9),$F$4:$F9)+SUMIF($U$4:$U9,CONCATENATE("ReinvDiv",$C9),$F$4:$F9)+SUMIF($U$4:$U9,CONCATENATE("StkSplit",$C9),$F$4:$F9)-SUMIF($U$4:$U9,CONCATENATE("Sell",$C9),$F$4:$F9))</f>
        <v>0</v>
      </c>
      <c r="AC9" s="3">
        <f>IF(B9="Sell",F9*INDEX(V:V,LOOKUP(2,1/(X$4:X8=CONCATENATE(C9,"_ACB")),ROW(V$4:V8))),0)</f>
        <v>0</v>
      </c>
    </row>
    <row r="10" spans="1:31" x14ac:dyDescent="0.25">
      <c r="A10" s="20">
        <v>36721</v>
      </c>
      <c r="B10" t="s">
        <v>32</v>
      </c>
      <c r="C10" t="s">
        <v>37</v>
      </c>
      <c r="D10" s="3">
        <v>1058.6099999999999</v>
      </c>
      <c r="E10">
        <v>27.22</v>
      </c>
      <c r="F10" s="3">
        <v>38.890999999999998</v>
      </c>
      <c r="M10" s="21">
        <f t="shared" si="1"/>
        <v>1058.6099999999999</v>
      </c>
      <c r="N10" s="8">
        <f t="shared" si="2"/>
        <v>-1058.6099999999999</v>
      </c>
      <c r="O10" s="8">
        <f t="shared" ref="O10:O28" si="8">O9+IF(OR(B10="Cash",B10="Buy",B10="Sell",B10="Div",B10="Rebate",B10="Fees",B10="IntInc",B10="Tax",B10="Distr"),N10,0)</f>
        <v>3631.5600000000004</v>
      </c>
      <c r="P10" s="8">
        <f t="shared" si="3"/>
        <v>0</v>
      </c>
      <c r="Q10" s="4">
        <f>IF(AND(S10&gt;=[1]eRRSP_Rpt!$C$6,S10&lt;=[1]eRRSP_Rpt!$C$7),1,0)</f>
        <v>0</v>
      </c>
      <c r="R10" s="4"/>
      <c r="S10" s="4">
        <f t="shared" si="4"/>
        <v>2000</v>
      </c>
      <c r="T10" s="22">
        <f t="shared" si="5"/>
        <v>36721</v>
      </c>
      <c r="U10" s="4" t="str">
        <f t="shared" si="6"/>
        <v>BuyTrimark Fund</v>
      </c>
      <c r="V10" s="23">
        <f>IFERROR(IF(AND(AB10&gt;0,B10&lt;&gt;"Sell"),(AA10-SUMIF(C$4:C9,C10,AC$4:AC10))/AB10,0),"")</f>
        <v>-27.219922347072586</v>
      </c>
      <c r="W10" s="24" t="str">
        <f t="shared" si="7"/>
        <v/>
      </c>
      <c r="X10" s="25" t="str">
        <f t="shared" si="0"/>
        <v>Trimark Fund_ACB</v>
      </c>
      <c r="Y10" s="10" t="str">
        <f>IF(S11&lt;&gt;eRRSP_Tx_Table[[#This Row],[Year]],SUMIFS($W$4:$W10,$S$4:$S10,eRRSP_Tx_Table[[#This Row],[Year]],$W$4:$W10,"&gt;0"),"")</f>
        <v/>
      </c>
      <c r="Z10" s="10" t="str">
        <f>IF(S11&lt;&gt;eRRSP_Tx_Table[[#This Row],[Year]],SUMIFS($W$4:$W10,$S$4:$S10,eRRSP_Tx_Table[[#This Row],[Year]],$W$4:$W10,"&lt;0"),"")</f>
        <v/>
      </c>
      <c r="AA10" s="3">
        <f>(SUMIF($U$4:$U10,CONCATENATE("Buy",$C10),$N$4:$N10)+SUMIF($U$4:$U10,CONCATENATE("ReinvDiv",$C10),$N$4:$N10))</f>
        <v>-1058.6099999999999</v>
      </c>
      <c r="AB10" s="3">
        <f>(SUMIF($U$4:$U10,CONCATENATE("Buy",$C10),$F$4:$F10)+SUMIF($U$4:$U10,CONCATENATE("ReinvDiv",$C10),$F$4:$F10)+SUMIF($U$4:$U10,CONCATENATE("StkSplit",$C10),$F$4:$F10)-SUMIF($U$4:$U10,CONCATENATE("Sell",$C10),$F$4:$F10))</f>
        <v>38.890999999999998</v>
      </c>
      <c r="AC10" s="3">
        <f>IF(B10="Sell",F10*INDEX(V:V,LOOKUP(2,1/(X$4:X9=CONCATENATE(C10,"_ACB")),ROW(V$4:V9))),0)</f>
        <v>0</v>
      </c>
    </row>
    <row r="11" spans="1:31" x14ac:dyDescent="0.25">
      <c r="A11" s="20">
        <v>36721</v>
      </c>
      <c r="B11" t="s">
        <v>32</v>
      </c>
      <c r="C11" t="s">
        <v>38</v>
      </c>
      <c r="D11" s="3">
        <v>1773.11</v>
      </c>
      <c r="E11">
        <v>9.4351500000000001</v>
      </c>
      <c r="F11" s="3">
        <v>187.92599999999999</v>
      </c>
      <c r="M11" s="21">
        <f t="shared" si="1"/>
        <v>1773.11</v>
      </c>
      <c r="N11" s="8">
        <f t="shared" si="2"/>
        <v>-1773.11</v>
      </c>
      <c r="O11" s="25">
        <f t="shared" si="8"/>
        <v>1858.4500000000005</v>
      </c>
      <c r="P11" s="8">
        <f t="shared" si="3"/>
        <v>0</v>
      </c>
      <c r="Q11" s="4">
        <f>IF(AND(S11&gt;=[1]eRRSP_Rpt!$C$6,S11&lt;=[1]eRRSP_Rpt!$C$7),1,0)</f>
        <v>0</v>
      </c>
      <c r="R11" s="4"/>
      <c r="S11" s="4">
        <f t="shared" si="4"/>
        <v>2000</v>
      </c>
      <c r="T11" s="22">
        <f t="shared" si="5"/>
        <v>36721</v>
      </c>
      <c r="U11" s="4" t="str">
        <f t="shared" si="6"/>
        <v>BuyTrimark IntInc</v>
      </c>
      <c r="V11" s="23">
        <f>IFERROR(IF(AND(AB11&gt;0,B11&lt;&gt;"Sell"),(AA11-SUMIF(C$4:C10,C11,AC$4:AC11))/AB11,0),"")</f>
        <v>-9.4351500058533677</v>
      </c>
      <c r="W11" s="24" t="str">
        <f t="shared" si="7"/>
        <v/>
      </c>
      <c r="X11" s="25" t="str">
        <f t="shared" si="0"/>
        <v>Trimark IntInc_ACB</v>
      </c>
      <c r="Y11" s="10" t="str">
        <f>IF(S12&lt;&gt;eRRSP_Tx_Table[[#This Row],[Year]],SUMIFS($W$4:$W11,$S$4:$S11,eRRSP_Tx_Table[[#This Row],[Year]],$W$4:$W11,"&gt;0"),"")</f>
        <v/>
      </c>
      <c r="Z11" s="10" t="str">
        <f>IF(S12&lt;&gt;eRRSP_Tx_Table[[#This Row],[Year]],SUMIFS($W$4:$W11,$S$4:$S11,eRRSP_Tx_Table[[#This Row],[Year]],$W$4:$W11,"&lt;0"),"")</f>
        <v/>
      </c>
      <c r="AA11" s="3">
        <f>(SUMIF($U$4:$U11,CONCATENATE("Buy",$C11),$N$4:$N11)+SUMIF($U$4:$U11,CONCATENATE("ReinvDiv",$C11),$N$4:$N11))</f>
        <v>-1773.11</v>
      </c>
      <c r="AB11" s="3">
        <f>(SUMIF($U$4:$U11,CONCATENATE("Buy",$C11),$F$4:$F11)+SUMIF($U$4:$U11,CONCATENATE("ReinvDiv",$C11),$F$4:$F11)+SUMIF($U$4:$U11,CONCATENATE("StkSplit",$C11),$F$4:$F11)-SUMIF($U$4:$U11,CONCATENATE("Sell",$C11),$F$4:$F11))</f>
        <v>187.92599999999999</v>
      </c>
      <c r="AC11" s="3">
        <f>IF(B11="Sell",F11*INDEX(V:V,LOOKUP(2,1/(X$4:X10=CONCATENATE(C11,"_ACB")),ROW(V$4:V10))),0)</f>
        <v>0</v>
      </c>
    </row>
    <row r="12" spans="1:31" x14ac:dyDescent="0.25">
      <c r="A12" s="20">
        <v>36721</v>
      </c>
      <c r="B12" t="s">
        <v>32</v>
      </c>
      <c r="C12" t="s">
        <v>39</v>
      </c>
      <c r="D12" s="3">
        <v>1964.6</v>
      </c>
      <c r="E12">
        <v>7.69</v>
      </c>
      <c r="F12" s="3">
        <v>255.47499999999999</v>
      </c>
      <c r="M12" s="21">
        <f t="shared" si="1"/>
        <v>1964.6</v>
      </c>
      <c r="N12" s="8">
        <f t="shared" si="2"/>
        <v>-1964.6</v>
      </c>
      <c r="O12" s="25">
        <f t="shared" si="8"/>
        <v>-106.14999999999941</v>
      </c>
      <c r="P12" s="8">
        <f t="shared" si="3"/>
        <v>0</v>
      </c>
      <c r="Q12" s="4">
        <f>IF(AND(S12&gt;=[1]eRRSP_Rpt!$C$6,S12&lt;=[1]eRRSP_Rpt!$C$7),1,0)</f>
        <v>0</v>
      </c>
      <c r="R12" s="4"/>
      <c r="S12" s="4">
        <f t="shared" si="4"/>
        <v>2000</v>
      </c>
      <c r="T12" s="22">
        <f t="shared" si="5"/>
        <v>36721</v>
      </c>
      <c r="U12" s="4" t="str">
        <f t="shared" si="6"/>
        <v>BuyTrimark Income Growth</v>
      </c>
      <c r="V12" s="23">
        <f>IFERROR(IF(AND(AB12&gt;0,B12&lt;&gt;"Sell"),(AA12-SUMIF(C$4:C11,C12,AC$4:AC12))/AB12,0),"")</f>
        <v>-7.689989235737352</v>
      </c>
      <c r="W12" s="24" t="str">
        <f t="shared" si="7"/>
        <v/>
      </c>
      <c r="X12" s="25" t="str">
        <f t="shared" si="0"/>
        <v>Trimark Income Growth_ACB</v>
      </c>
      <c r="Y12" s="10" t="str">
        <f>IF(S13&lt;&gt;eRRSP_Tx_Table[[#This Row],[Year]],SUMIFS($W$4:$W12,$S$4:$S12,eRRSP_Tx_Table[[#This Row],[Year]],$W$4:$W12,"&gt;0"),"")</f>
        <v/>
      </c>
      <c r="Z12" s="10" t="str">
        <f>IF(S13&lt;&gt;eRRSP_Tx_Table[[#This Row],[Year]],SUMIFS($W$4:$W12,$S$4:$S12,eRRSP_Tx_Table[[#This Row],[Year]],$W$4:$W12,"&lt;0"),"")</f>
        <v/>
      </c>
      <c r="AA12" s="3">
        <f>(SUMIF($U$4:$U12,CONCATENATE("Buy",$C12),$N$4:$N12)+SUMIF($U$4:$U12,CONCATENATE("ReinvDiv",$C12),$N$4:$N12))</f>
        <v>-1964.6</v>
      </c>
      <c r="AB12" s="3">
        <f>(SUMIF($U$4:$U12,CONCATENATE("Buy",$C12),$F$4:$F12)+SUMIF($U$4:$U12,CONCATENATE("ReinvDiv",$C12),$F$4:$F12)+SUMIF($U$4:$U12,CONCATENATE("StkSplit",$C12),$F$4:$F12)-SUMIF($U$4:$U12,CONCATENATE("Sell",$C12),$F$4:$F12))</f>
        <v>255.47499999999999</v>
      </c>
      <c r="AC12" s="3">
        <f>IF(B12="Sell",F12*INDEX(V:V,LOOKUP(2,1/(X$4:X11=CONCATENATE(C12,"_ACB")),ROW(V$4:V11))),0)</f>
        <v>0</v>
      </c>
    </row>
    <row r="13" spans="1:31" x14ac:dyDescent="0.25">
      <c r="A13" s="20">
        <v>36727</v>
      </c>
      <c r="B13" t="s">
        <v>40</v>
      </c>
      <c r="C13" t="s">
        <v>38</v>
      </c>
      <c r="D13" s="3">
        <v>106.15</v>
      </c>
      <c r="E13">
        <v>10</v>
      </c>
      <c r="F13" s="3">
        <v>10.615</v>
      </c>
      <c r="M13" s="21">
        <f t="shared" si="1"/>
        <v>106.15</v>
      </c>
      <c r="N13" s="8">
        <f t="shared" si="2"/>
        <v>106.15</v>
      </c>
      <c r="O13" s="25">
        <f t="shared" si="8"/>
        <v>5.9685589803848416E-13</v>
      </c>
      <c r="P13" s="8">
        <f t="shared" si="3"/>
        <v>0</v>
      </c>
      <c r="Q13" s="4">
        <f>IF(AND(S13&gt;=[1]eRRSP_Rpt!$C$6,S13&lt;=[1]eRRSP_Rpt!$C$7),1,0)</f>
        <v>0</v>
      </c>
      <c r="R13" s="4"/>
      <c r="S13" s="4">
        <f t="shared" si="4"/>
        <v>2000</v>
      </c>
      <c r="T13" s="22">
        <f t="shared" si="5"/>
        <v>36727</v>
      </c>
      <c r="U13" s="4" t="str">
        <f t="shared" si="6"/>
        <v>SellTrimark IntInc</v>
      </c>
      <c r="V13" s="23">
        <f>IFERROR(IF(AND(AB13&gt;0,B13&lt;&gt;"Sell"),(AA13-SUMIF(C$4:C12,C13,AC$4:AC13))/AB13,0),"")</f>
        <v>0</v>
      </c>
      <c r="W13" s="24">
        <f t="shared" si="7"/>
        <v>5.9958826878665121</v>
      </c>
      <c r="X13" s="25" t="str">
        <f t="shared" si="0"/>
        <v/>
      </c>
      <c r="Y13" s="10" t="str">
        <f>IF(S14&lt;&gt;eRRSP_Tx_Table[[#This Row],[Year]],SUMIFS($W$4:$W13,$S$4:$S13,eRRSP_Tx_Table[[#This Row],[Year]],$W$4:$W13,"&gt;0"),"")</f>
        <v/>
      </c>
      <c r="Z13" s="10" t="str">
        <f>IF(S14&lt;&gt;eRRSP_Tx_Table[[#This Row],[Year]],SUMIFS($W$4:$W13,$S$4:$S13,eRRSP_Tx_Table[[#This Row],[Year]],$W$4:$W13,"&lt;0"),"")</f>
        <v/>
      </c>
      <c r="AA13" s="3">
        <f>(SUMIF($U$4:$U13,CONCATENATE("Buy",$C13),$N$4:$N13)+SUMIF($U$4:$U13,CONCATENATE("ReinvDiv",$C13),$N$4:$N13))</f>
        <v>-1773.11</v>
      </c>
      <c r="AB13" s="3">
        <f>(SUMIF($U$4:$U13,CONCATENATE("Buy",$C13),$F$4:$F13)+SUMIF($U$4:$U13,CONCATENATE("ReinvDiv",$C13),$F$4:$F13)+SUMIF($U$4:$U13,CONCATENATE("StkSplit",$C13),$F$4:$F13)-SUMIF($U$4:$U13,CONCATENATE("Sell",$C13),$F$4:$F13))</f>
        <v>177.31099999999998</v>
      </c>
      <c r="AC13" s="3">
        <f>IF(B13="Sell",F13*INDEX(V:V,LOOKUP(2,1/(X$4:X12=CONCATENATE(C13,"_ACB")),ROW(V$4:V12))),0)</f>
        <v>-100.15411731213349</v>
      </c>
      <c r="AD13">
        <f>INDEX(V:V,LOOKUP(2,1/(C$4:C12=C13),ROW(V$4:V12)))</f>
        <v>-9.4351500058533677</v>
      </c>
    </row>
    <row r="14" spans="1:31" x14ac:dyDescent="0.25">
      <c r="A14" s="20">
        <v>36738</v>
      </c>
      <c r="B14" t="s">
        <v>41</v>
      </c>
      <c r="C14" t="s">
        <v>38</v>
      </c>
      <c r="D14" s="3">
        <v>4.76</v>
      </c>
      <c r="E14">
        <v>10</v>
      </c>
      <c r="F14" s="3">
        <v>0.47599999999999998</v>
      </c>
      <c r="M14" s="21">
        <f t="shared" si="1"/>
        <v>4.76</v>
      </c>
      <c r="N14" s="8">
        <f t="shared" si="2"/>
        <v>-4.76</v>
      </c>
      <c r="O14" s="25">
        <f t="shared" si="8"/>
        <v>5.9685589803848416E-13</v>
      </c>
      <c r="P14" s="8">
        <f t="shared" si="3"/>
        <v>0</v>
      </c>
      <c r="Q14" s="4">
        <f>IF(AND(S14&gt;=[1]eRRSP_Rpt!$C$6,S14&lt;=[1]eRRSP_Rpt!$C$7),1,0)</f>
        <v>0</v>
      </c>
      <c r="R14" s="4"/>
      <c r="S14" s="4">
        <f t="shared" si="4"/>
        <v>2000</v>
      </c>
      <c r="T14" s="22">
        <f t="shared" si="5"/>
        <v>36738</v>
      </c>
      <c r="U14" s="4" t="str">
        <f t="shared" si="6"/>
        <v>ReinvDivTrimark IntInc</v>
      </c>
      <c r="V14" s="23">
        <f>IFERROR(IF(AND(AB14&gt;0,B14&lt;&gt;"Sell"),(AA14-SUMIF(C$4:C13,C14,AC$4:AC14))/AB14,0),"")</f>
        <v>-9.4366623132617491</v>
      </c>
      <c r="W14" s="24" t="str">
        <f t="shared" si="7"/>
        <v/>
      </c>
      <c r="X14" s="25" t="str">
        <f t="shared" si="0"/>
        <v>Trimark IntInc_ACB</v>
      </c>
      <c r="Y14" s="10" t="str">
        <f>IF(S15&lt;&gt;eRRSP_Tx_Table[[#This Row],[Year]],SUMIFS($W$4:$W14,$S$4:$S14,eRRSP_Tx_Table[[#This Row],[Year]],$W$4:$W14,"&gt;0"),"")</f>
        <v/>
      </c>
      <c r="Z14" s="10" t="str">
        <f>IF(S15&lt;&gt;eRRSP_Tx_Table[[#This Row],[Year]],SUMIFS($W$4:$W14,$S$4:$S14,eRRSP_Tx_Table[[#This Row],[Year]],$W$4:$W14,"&lt;0"),"")</f>
        <v/>
      </c>
      <c r="AA14" s="3">
        <f>(SUMIF($U$4:$U14,CONCATENATE("Buy",$C14),$N$4:$N14)+SUMIF($U$4:$U14,CONCATENATE("ReinvDiv",$C14),$N$4:$N14))</f>
        <v>-1777.87</v>
      </c>
      <c r="AB14" s="3">
        <f>(SUMIF($U$4:$U14,CONCATENATE("Buy",$C14),$F$4:$F14)+SUMIF($U$4:$U14,CONCATENATE("ReinvDiv",$C14),$F$4:$F14)+SUMIF($U$4:$U14,CONCATENATE("StkSplit",$C14),$F$4:$F14)-SUMIF($U$4:$U14,CONCATENATE("Sell",$C14),$F$4:$F14))</f>
        <v>177.78699999999998</v>
      </c>
      <c r="AC14" s="3">
        <f>IF(B14="Sell",F14*INDEX(V:V,LOOKUP(2,1/(X$4:X13=CONCATENATE(C14,"_ACB")),ROW(V$4:V13))),0)</f>
        <v>0</v>
      </c>
    </row>
    <row r="15" spans="1:31" x14ac:dyDescent="0.25">
      <c r="A15" s="20">
        <v>36769</v>
      </c>
      <c r="B15" t="s">
        <v>41</v>
      </c>
      <c r="C15" t="s">
        <v>38</v>
      </c>
      <c r="D15" s="3">
        <v>7.58</v>
      </c>
      <c r="E15">
        <v>10</v>
      </c>
      <c r="F15" s="3">
        <v>0.75800000000000001</v>
      </c>
      <c r="M15" s="21">
        <f t="shared" si="1"/>
        <v>7.58</v>
      </c>
      <c r="N15" s="8">
        <f t="shared" si="2"/>
        <v>-7.58</v>
      </c>
      <c r="O15" s="25">
        <f t="shared" si="8"/>
        <v>5.9685589803848416E-13</v>
      </c>
      <c r="P15" s="8">
        <f t="shared" si="3"/>
        <v>0</v>
      </c>
      <c r="Q15" s="4">
        <f>IF(AND(S15&gt;=[1]eRRSP_Rpt!$C$6,S15&lt;=[1]eRRSP_Rpt!$C$7),1,0)</f>
        <v>0</v>
      </c>
      <c r="R15" s="4"/>
      <c r="S15" s="4">
        <f t="shared" si="4"/>
        <v>2000</v>
      </c>
      <c r="T15" s="22">
        <f t="shared" si="5"/>
        <v>36769</v>
      </c>
      <c r="U15" s="4" t="str">
        <f t="shared" si="6"/>
        <v>ReinvDivTrimark IntInc</v>
      </c>
      <c r="V15" s="23">
        <f>IFERROR(IF(AND(AB15&gt;0,B15&lt;&gt;"Sell"),(AA15-SUMIF(C$4:C14,C15,AC$4:AC15))/AB15,0),"")</f>
        <v>-9.4390539230326613</v>
      </c>
      <c r="W15" s="24" t="str">
        <f t="shared" si="7"/>
        <v/>
      </c>
      <c r="X15" s="25" t="str">
        <f t="shared" si="0"/>
        <v>Trimark IntInc_ACB</v>
      </c>
      <c r="Y15" s="10" t="str">
        <f>IF(S16&lt;&gt;eRRSP_Tx_Table[[#This Row],[Year]],SUMIFS($W$4:$W15,$S$4:$S15,eRRSP_Tx_Table[[#This Row],[Year]],$W$4:$W15,"&gt;0"),"")</f>
        <v/>
      </c>
      <c r="Z15" s="10" t="str">
        <f>IF(S16&lt;&gt;eRRSP_Tx_Table[[#This Row],[Year]],SUMIFS($W$4:$W15,$S$4:$S15,eRRSP_Tx_Table[[#This Row],[Year]],$W$4:$W15,"&lt;0"),"")</f>
        <v/>
      </c>
      <c r="AA15" s="3">
        <f>(SUMIF($U$4:$U15,CONCATENATE("Buy",$C15),$N$4:$N15)+SUMIF($U$4:$U15,CONCATENATE("ReinvDiv",$C15),$N$4:$N15))</f>
        <v>-1785.4499999999998</v>
      </c>
      <c r="AB15" s="3">
        <f>(SUMIF($U$4:$U15,CONCATENATE("Buy",$C15),$F$4:$F15)+SUMIF($U$4:$U15,CONCATENATE("ReinvDiv",$C15),$F$4:$F15)+SUMIF($U$4:$U15,CONCATENATE("StkSplit",$C15),$F$4:$F15)-SUMIF($U$4:$U15,CONCATENATE("Sell",$C15),$F$4:$F15))</f>
        <v>178.54499999999999</v>
      </c>
      <c r="AC15" s="3">
        <f>IF(B15="Sell",F15*INDEX(V:V,LOOKUP(2,1/(X$4:X14=CONCATENATE(C15,"_ACB")),ROW(V$4:V14))),0)</f>
        <v>0</v>
      </c>
    </row>
    <row r="16" spans="1:31" x14ac:dyDescent="0.25">
      <c r="A16" s="20">
        <v>36769</v>
      </c>
      <c r="B16" t="s">
        <v>41</v>
      </c>
      <c r="C16" t="s">
        <v>39</v>
      </c>
      <c r="D16" s="3">
        <v>12.36</v>
      </c>
      <c r="E16">
        <v>8.0299999999999994</v>
      </c>
      <c r="F16" s="3">
        <v>1.5389999999999999</v>
      </c>
      <c r="M16" s="21">
        <f t="shared" si="1"/>
        <v>12.36</v>
      </c>
      <c r="N16" s="8">
        <f t="shared" si="2"/>
        <v>-12.36</v>
      </c>
      <c r="O16" s="25">
        <f t="shared" si="8"/>
        <v>5.9685589803848416E-13</v>
      </c>
      <c r="P16" s="8">
        <f t="shared" si="3"/>
        <v>0</v>
      </c>
      <c r="Q16" s="4">
        <f>IF(AND(S16&gt;=[1]eRRSP_Rpt!$C$6,S16&lt;=[1]eRRSP_Rpt!$C$7),1,0)</f>
        <v>0</v>
      </c>
      <c r="R16" s="4"/>
      <c r="S16" s="4">
        <f t="shared" si="4"/>
        <v>2000</v>
      </c>
      <c r="T16" s="22">
        <f t="shared" si="5"/>
        <v>36769</v>
      </c>
      <c r="U16" s="4" t="str">
        <f t="shared" si="6"/>
        <v>ReinvDivTrimark Income Growth</v>
      </c>
      <c r="V16" s="23">
        <f>IFERROR(IF(AND(AB16&gt;0,B16&lt;&gt;"Sell"),(AA16-SUMIF(C$4:C15,C16,AC$4:AC16))/AB16,0),"")</f>
        <v>-7.6920323406507025</v>
      </c>
      <c r="W16" s="24" t="str">
        <f t="shared" si="7"/>
        <v/>
      </c>
      <c r="X16" s="25" t="str">
        <f t="shared" si="0"/>
        <v>Trimark Income Growth_ACB</v>
      </c>
      <c r="Y16" s="10" t="str">
        <f>IF(S17&lt;&gt;eRRSP_Tx_Table[[#This Row],[Year]],SUMIFS($W$4:$W16,$S$4:$S16,eRRSP_Tx_Table[[#This Row],[Year]],$W$4:$W16,"&gt;0"),"")</f>
        <v/>
      </c>
      <c r="Z16" s="10" t="str">
        <f>IF(S17&lt;&gt;eRRSP_Tx_Table[[#This Row],[Year]],SUMIFS($W$4:$W16,$S$4:$S16,eRRSP_Tx_Table[[#This Row],[Year]],$W$4:$W16,"&lt;0"),"")</f>
        <v/>
      </c>
      <c r="AA16" s="3">
        <f>(SUMIF($U$4:$U16,CONCATENATE("Buy",$C16),$N$4:$N16)+SUMIF($U$4:$U16,CONCATENATE("ReinvDiv",$C16),$N$4:$N16))</f>
        <v>-1976.9599999999998</v>
      </c>
      <c r="AB16" s="3">
        <f>(SUMIF($U$4:$U16,CONCATENATE("Buy",$C16),$F$4:$F16)+SUMIF($U$4:$U16,CONCATENATE("ReinvDiv",$C16),$F$4:$F16)+SUMIF($U$4:$U16,CONCATENATE("StkSplit",$C16),$F$4:$F16)-SUMIF($U$4:$U16,CONCATENATE("Sell",$C16),$F$4:$F16))</f>
        <v>257.01400000000001</v>
      </c>
      <c r="AC16" s="3">
        <f>IF(B16="Sell",F16*INDEX(V:V,LOOKUP(2,1/(X$4:X15=CONCATENATE(C16,"_ACB")),ROW(V$4:V15))),0)</f>
        <v>0</v>
      </c>
    </row>
    <row r="17" spans="1:29" x14ac:dyDescent="0.25">
      <c r="A17" s="20">
        <v>36770</v>
      </c>
      <c r="B17" t="s">
        <v>42</v>
      </c>
      <c r="C17" t="s">
        <v>33</v>
      </c>
      <c r="D17" s="3">
        <v>23.22</v>
      </c>
      <c r="M17" s="21">
        <f t="shared" si="1"/>
        <v>23.22</v>
      </c>
      <c r="N17" s="8">
        <f t="shared" si="2"/>
        <v>23.22</v>
      </c>
      <c r="O17" s="25">
        <f t="shared" si="8"/>
        <v>23.220000000000596</v>
      </c>
      <c r="P17" s="8">
        <f t="shared" si="3"/>
        <v>0</v>
      </c>
      <c r="Q17" s="4">
        <f>IF(AND(S17&gt;=[1]eRRSP_Rpt!$C$6,S17&lt;=[1]eRRSP_Rpt!$C$7),1,0)</f>
        <v>0</v>
      </c>
      <c r="R17" s="4"/>
      <c r="S17" s="4">
        <f t="shared" si="4"/>
        <v>2000</v>
      </c>
      <c r="T17" s="22">
        <f t="shared" si="5"/>
        <v>36770</v>
      </c>
      <c r="U17" s="4" t="str">
        <f t="shared" si="6"/>
        <v>DivEnbridge</v>
      </c>
      <c r="V17" s="23">
        <f>IFERROR(IF(AND(AB17&gt;0,B17&lt;&gt;"Sell"),(AA17-SUMIF(C$4:C16,C17,AC$4:AC17))/AB17,0),"")</f>
        <v>-25.718055555555555</v>
      </c>
      <c r="W17" s="24" t="str">
        <f t="shared" si="7"/>
        <v/>
      </c>
      <c r="X17" s="25" t="str">
        <f t="shared" si="0"/>
        <v>Enbridge_ACB</v>
      </c>
      <c r="Y17" s="10" t="str">
        <f>IF(S18&lt;&gt;eRRSP_Tx_Table[[#This Row],[Year]],SUMIFS($W$4:$W17,$S$4:$S17,eRRSP_Tx_Table[[#This Row],[Year]],$W$4:$W17,"&gt;0"),"")</f>
        <v/>
      </c>
      <c r="Z17" s="10" t="str">
        <f>IF(S18&lt;&gt;eRRSP_Tx_Table[[#This Row],[Year]],SUMIFS($W$4:$W17,$S$4:$S17,eRRSP_Tx_Table[[#This Row],[Year]],$W$4:$W17,"&lt;0"),"")</f>
        <v/>
      </c>
      <c r="AA17" s="3">
        <f>(SUMIF($U$4:$U17,CONCATENATE("Buy",$C17),$N$4:$N17)+SUMIF($U$4:$U17,CONCATENATE("ReinvDiv",$C17),$N$4:$N17))</f>
        <v>-1851.7</v>
      </c>
      <c r="AB17" s="3">
        <f>(SUMIF($U$4:$U17,CONCATENATE("Buy",$C17),$F$4:$F17)+SUMIF($U$4:$U17,CONCATENATE("ReinvDiv",$C17),$F$4:$F17)+SUMIF($U$4:$U17,CONCATENATE("StkSplit",$C17),$F$4:$F17)-SUMIF($U$4:$U17,CONCATENATE("Sell",$C17),$F$4:$F17))</f>
        <v>72</v>
      </c>
      <c r="AC17" s="3">
        <f>IF(B17="Sell",F17*INDEX(V:V,LOOKUP(2,1/(X$4:X16=CONCATENATE(C17,"_ACB")),ROW(V$4:V16))),0)</f>
        <v>0</v>
      </c>
    </row>
    <row r="18" spans="1:29" x14ac:dyDescent="0.25">
      <c r="A18" s="20">
        <v>36785</v>
      </c>
      <c r="B18" t="s">
        <v>43</v>
      </c>
      <c r="C18" t="s">
        <v>36</v>
      </c>
      <c r="D18" s="3">
        <v>0.03</v>
      </c>
      <c r="M18" s="21">
        <f t="shared" si="1"/>
        <v>0.03</v>
      </c>
      <c r="N18" s="8">
        <f t="shared" si="2"/>
        <v>0.03</v>
      </c>
      <c r="O18" s="25">
        <f t="shared" si="8"/>
        <v>23.250000000000597</v>
      </c>
      <c r="P18" s="8">
        <f t="shared" si="3"/>
        <v>0</v>
      </c>
      <c r="Q18" s="4">
        <f>IF(AND(S18&gt;=[1]eRRSP_Rpt!$C$6,S18&lt;=[1]eRRSP_Rpt!$C$7),1,0)</f>
        <v>0</v>
      </c>
      <c r="R18" s="4"/>
      <c r="S18" s="4">
        <f t="shared" si="4"/>
        <v>2000</v>
      </c>
      <c r="T18" s="22">
        <f t="shared" si="5"/>
        <v>36785</v>
      </c>
      <c r="U18" s="4" t="str">
        <f t="shared" si="6"/>
        <v>IntIncTDW</v>
      </c>
      <c r="V18" s="23">
        <f>IFERROR(IF(AND(AB18&gt;0,B18&lt;&gt;"Sell"),(AA18-SUMIF(C$4:C17,C18,AC$4:AC18))/AB18,0),"")</f>
        <v>0</v>
      </c>
      <c r="W18" s="24" t="str">
        <f t="shared" si="7"/>
        <v/>
      </c>
      <c r="X18" s="25" t="str">
        <f t="shared" si="0"/>
        <v/>
      </c>
      <c r="Y18" s="10" t="str">
        <f>IF(S19&lt;&gt;eRRSP_Tx_Table[[#This Row],[Year]],SUMIFS($W$4:$W18,$S$4:$S18,eRRSP_Tx_Table[[#This Row],[Year]],$W$4:$W18,"&gt;0"),"")</f>
        <v/>
      </c>
      <c r="Z18" s="10" t="str">
        <f>IF(S19&lt;&gt;eRRSP_Tx_Table[[#This Row],[Year]],SUMIFS($W$4:$W18,$S$4:$S18,eRRSP_Tx_Table[[#This Row],[Year]],$W$4:$W18,"&lt;0"),"")</f>
        <v/>
      </c>
      <c r="AA18" s="3">
        <f>(SUMIF($U$4:$U18,CONCATENATE("Buy",$C18),$N$4:$N18)+SUMIF($U$4:$U18,CONCATENATE("ReinvDiv",$C18),$N$4:$N18))</f>
        <v>0</v>
      </c>
      <c r="AB18" s="3">
        <f>(SUMIF($U$4:$U18,CONCATENATE("Buy",$C18),$F$4:$F18)+SUMIF($U$4:$U18,CONCATENATE("ReinvDiv",$C18),$F$4:$F18)+SUMIF($U$4:$U18,CONCATENATE("StkSplit",$C18),$F$4:$F18)-SUMIF($U$4:$U18,CONCATENATE("Sell",$C18),$F$4:$F18))</f>
        <v>0</v>
      </c>
      <c r="AC18" s="3">
        <f>IF(B18="Sell",F18*INDEX(V:V,LOOKUP(2,1/(X$4:X17=CONCATENATE(C18,"_ACB")),ROW(V$4:V17))),0)</f>
        <v>0</v>
      </c>
    </row>
    <row r="19" spans="1:29" x14ac:dyDescent="0.25">
      <c r="A19" s="20">
        <v>36798</v>
      </c>
      <c r="B19" t="s">
        <v>41</v>
      </c>
      <c r="C19" t="s">
        <v>38</v>
      </c>
      <c r="D19" s="3">
        <v>7.34</v>
      </c>
      <c r="E19">
        <v>10</v>
      </c>
      <c r="F19" s="3">
        <v>0.73399999999999999</v>
      </c>
      <c r="M19" s="21">
        <f t="shared" si="1"/>
        <v>7.34</v>
      </c>
      <c r="N19" s="8">
        <f t="shared" si="2"/>
        <v>-7.34</v>
      </c>
      <c r="O19" s="25">
        <f t="shared" si="8"/>
        <v>23.250000000000597</v>
      </c>
      <c r="P19" s="8">
        <f t="shared" si="3"/>
        <v>0</v>
      </c>
      <c r="Q19" s="4">
        <f>IF(AND(S19&gt;=[1]eRRSP_Rpt!$C$6,S19&lt;=[1]eRRSP_Rpt!$C$7),1,0)</f>
        <v>0</v>
      </c>
      <c r="R19" s="4"/>
      <c r="S19" s="4">
        <f t="shared" si="4"/>
        <v>2000</v>
      </c>
      <c r="T19" s="22">
        <f t="shared" si="5"/>
        <v>36798</v>
      </c>
      <c r="U19" s="4" t="str">
        <f t="shared" si="6"/>
        <v>ReinvDivTrimark IntInc</v>
      </c>
      <c r="V19" s="23">
        <f>IFERROR(IF(AND(AB19&gt;0,B19&lt;&gt;"Sell"),(AA19-SUMIF(C$4:C18,C19,AC$4:AC19))/AB19,0),"")</f>
        <v>-9.4413505356894394</v>
      </c>
      <c r="W19" s="24" t="str">
        <f t="shared" si="7"/>
        <v/>
      </c>
      <c r="X19" s="25" t="str">
        <f t="shared" si="0"/>
        <v>Trimark IntInc_ACB</v>
      </c>
      <c r="Y19" s="10" t="str">
        <f>IF(S20&lt;&gt;eRRSP_Tx_Table[[#This Row],[Year]],SUMIFS($W$4:$W19,$S$4:$S19,eRRSP_Tx_Table[[#This Row],[Year]],$W$4:$W19,"&gt;0"),"")</f>
        <v/>
      </c>
      <c r="Z19" s="10" t="str">
        <f>IF(S20&lt;&gt;eRRSP_Tx_Table[[#This Row],[Year]],SUMIFS($W$4:$W19,$S$4:$S19,eRRSP_Tx_Table[[#This Row],[Year]],$W$4:$W19,"&lt;0"),"")</f>
        <v/>
      </c>
      <c r="AA19" s="3">
        <f>(SUMIF($U$4:$U19,CONCATENATE("Buy",$C19),$N$4:$N19)+SUMIF($U$4:$U19,CONCATENATE("ReinvDiv",$C19),$N$4:$N19))</f>
        <v>-1792.79</v>
      </c>
      <c r="AB19" s="3">
        <f>(SUMIF($U$4:$U19,CONCATENATE("Buy",$C19),$F$4:$F19)+SUMIF($U$4:$U19,CONCATENATE("ReinvDiv",$C19),$F$4:$F19)+SUMIF($U$4:$U19,CONCATENATE("StkSplit",$C19),$F$4:$F19)-SUMIF($U$4:$U19,CONCATENATE("Sell",$C19),$F$4:$F19))</f>
        <v>179.27899999999997</v>
      </c>
      <c r="AC19" s="3">
        <f>IF(B19="Sell",F19*INDEX(V:V,LOOKUP(2,1/(X$4:X18=CONCATENATE(C19,"_ACB")),ROW(V$4:V18))),0)</f>
        <v>0</v>
      </c>
    </row>
    <row r="20" spans="1:29" x14ac:dyDescent="0.25">
      <c r="A20" s="20">
        <v>36815</v>
      </c>
      <c r="B20" t="s">
        <v>43</v>
      </c>
      <c r="C20" t="s">
        <v>36</v>
      </c>
      <c r="D20" s="3">
        <v>0.06</v>
      </c>
      <c r="M20" s="21">
        <f t="shared" si="1"/>
        <v>0.06</v>
      </c>
      <c r="N20" s="8">
        <f t="shared" si="2"/>
        <v>0.06</v>
      </c>
      <c r="O20" s="25">
        <f t="shared" si="8"/>
        <v>23.310000000000596</v>
      </c>
      <c r="P20" s="8">
        <f t="shared" si="3"/>
        <v>0</v>
      </c>
      <c r="Q20" s="4">
        <f>IF(AND(S20&gt;=[1]eRRSP_Rpt!$C$6,S20&lt;=[1]eRRSP_Rpt!$C$7),1,0)</f>
        <v>0</v>
      </c>
      <c r="R20" s="4"/>
      <c r="S20" s="4">
        <f t="shared" si="4"/>
        <v>2000</v>
      </c>
      <c r="T20" s="22">
        <f t="shared" si="5"/>
        <v>36815</v>
      </c>
      <c r="U20" s="4" t="str">
        <f t="shared" si="6"/>
        <v>IntIncTDW</v>
      </c>
      <c r="V20" s="23">
        <f>IFERROR(IF(AND(AB20&gt;0,B20&lt;&gt;"Sell"),(AA20-SUMIF(C$4:C19,C20,AC$4:AC20))/AB20,0),"")</f>
        <v>0</v>
      </c>
      <c r="W20" s="24" t="str">
        <f t="shared" si="7"/>
        <v/>
      </c>
      <c r="X20" s="25" t="str">
        <f t="shared" si="0"/>
        <v/>
      </c>
      <c r="Y20" s="10" t="str">
        <f>IF(S21&lt;&gt;eRRSP_Tx_Table[[#This Row],[Year]],SUMIFS($W$4:$W20,$S$4:$S20,eRRSP_Tx_Table[[#This Row],[Year]],$W$4:$W20,"&gt;0"),"")</f>
        <v/>
      </c>
      <c r="Z20" s="10" t="str">
        <f>IF(S21&lt;&gt;eRRSP_Tx_Table[[#This Row],[Year]],SUMIFS($W$4:$W20,$S$4:$S20,eRRSP_Tx_Table[[#This Row],[Year]],$W$4:$W20,"&lt;0"),"")</f>
        <v/>
      </c>
      <c r="AA20" s="3">
        <f>(SUMIF($U$4:$U20,CONCATENATE("Buy",$C20),$N$4:$N20)+SUMIF($U$4:$U20,CONCATENATE("ReinvDiv",$C20),$N$4:$N20))</f>
        <v>0</v>
      </c>
      <c r="AB20" s="3">
        <f>(SUMIF($U$4:$U20,CONCATENATE("Buy",$C20),$F$4:$F20)+SUMIF($U$4:$U20,CONCATENATE("ReinvDiv",$C20),$F$4:$F20)+SUMIF($U$4:$U20,CONCATENATE("StkSplit",$C20),$F$4:$F20)-SUMIF($U$4:$U20,CONCATENATE("Sell",$C20),$F$4:$F20))</f>
        <v>0</v>
      </c>
      <c r="AC20" s="3">
        <f>IF(B20="Sell",F20*INDEX(V:V,LOOKUP(2,1/(X$4:X19=CONCATENATE(C20,"_ACB")),ROW(V$4:V19))),0)</f>
        <v>0</v>
      </c>
    </row>
    <row r="21" spans="1:29" x14ac:dyDescent="0.25">
      <c r="A21" s="20">
        <v>36816</v>
      </c>
      <c r="B21" t="s">
        <v>35</v>
      </c>
      <c r="C21" t="s">
        <v>36</v>
      </c>
      <c r="D21" s="3">
        <v>-107</v>
      </c>
      <c r="M21" s="21">
        <f t="shared" si="1"/>
        <v>-107</v>
      </c>
      <c r="N21" s="8">
        <f t="shared" si="2"/>
        <v>-107</v>
      </c>
      <c r="O21" s="25">
        <f t="shared" si="8"/>
        <v>-83.689999999999401</v>
      </c>
      <c r="P21" s="8">
        <f t="shared" si="3"/>
        <v>0</v>
      </c>
      <c r="Q21" s="4">
        <f>IF(AND(S21&gt;=[1]eRRSP_Rpt!$C$6,S21&lt;=[1]eRRSP_Rpt!$C$7),1,0)</f>
        <v>0</v>
      </c>
      <c r="R21" s="4"/>
      <c r="S21" s="4">
        <f t="shared" si="4"/>
        <v>2000</v>
      </c>
      <c r="T21" s="22">
        <f t="shared" si="5"/>
        <v>36816</v>
      </c>
      <c r="U21" s="4" t="str">
        <f t="shared" si="6"/>
        <v>FeesTDW</v>
      </c>
      <c r="V21" s="23">
        <f>IFERROR(IF(AND(AB21&gt;0,B21&lt;&gt;"Sell"),(AA21-SUMIF(C$4:C20,C21,AC$4:AC21))/AB21,0),"")</f>
        <v>0</v>
      </c>
      <c r="W21" s="24" t="str">
        <f t="shared" si="7"/>
        <v/>
      </c>
      <c r="X21" s="25" t="str">
        <f t="shared" si="0"/>
        <v/>
      </c>
      <c r="Y21" s="10" t="str">
        <f>IF(S22&lt;&gt;eRRSP_Tx_Table[[#This Row],[Year]],SUMIFS($W$4:$W21,$S$4:$S21,eRRSP_Tx_Table[[#This Row],[Year]],$W$4:$W21,"&gt;0"),"")</f>
        <v/>
      </c>
      <c r="Z21" s="10" t="str">
        <f>IF(S22&lt;&gt;eRRSP_Tx_Table[[#This Row],[Year]],SUMIFS($W$4:$W21,$S$4:$S21,eRRSP_Tx_Table[[#This Row],[Year]],$W$4:$W21,"&lt;0"),"")</f>
        <v/>
      </c>
      <c r="AA21" s="3">
        <f>(SUMIF($U$4:$U21,CONCATENATE("Buy",$C21),$N$4:$N21)+SUMIF($U$4:$U21,CONCATENATE("ReinvDiv",$C21),$N$4:$N21))</f>
        <v>0</v>
      </c>
      <c r="AB21" s="3">
        <f>(SUMIF($U$4:$U21,CONCATENATE("Buy",$C21),$F$4:$F21)+SUMIF($U$4:$U21,CONCATENATE("ReinvDiv",$C21),$F$4:$F21)+SUMIF($U$4:$U21,CONCATENATE("StkSplit",$C21),$F$4:$F21)-SUMIF($U$4:$U21,CONCATENATE("Sell",$C21),$F$4:$F21))</f>
        <v>0</v>
      </c>
      <c r="AC21" s="3">
        <f>IF(B21="Sell",F21*INDEX(V:V,LOOKUP(2,1/(X$4:X20=CONCATENATE(C21,"_ACB")),ROW(V$4:V20))),0)</f>
        <v>0</v>
      </c>
    </row>
    <row r="22" spans="1:29" x14ac:dyDescent="0.25">
      <c r="A22" s="20">
        <v>36830</v>
      </c>
      <c r="B22" t="s">
        <v>41</v>
      </c>
      <c r="C22" t="s">
        <v>38</v>
      </c>
      <c r="D22" s="3">
        <v>7.56</v>
      </c>
      <c r="E22">
        <v>10</v>
      </c>
      <c r="F22" s="3">
        <v>0.75600000000000001</v>
      </c>
      <c r="M22" s="21">
        <f t="shared" si="1"/>
        <v>7.56</v>
      </c>
      <c r="N22" s="8">
        <f t="shared" si="2"/>
        <v>-7.56</v>
      </c>
      <c r="O22" s="25">
        <f t="shared" si="8"/>
        <v>-83.689999999999401</v>
      </c>
      <c r="P22" s="8">
        <f t="shared" si="3"/>
        <v>0</v>
      </c>
      <c r="Q22" s="4">
        <f>IF(AND(S22&gt;=[1]eRRSP_Rpt!$C$6,S22&lt;=[1]eRRSP_Rpt!$C$7),1,0)</f>
        <v>0</v>
      </c>
      <c r="R22" s="4"/>
      <c r="S22" s="4">
        <f t="shared" si="4"/>
        <v>2000</v>
      </c>
      <c r="T22" s="22">
        <f t="shared" si="5"/>
        <v>36830</v>
      </c>
      <c r="U22" s="4" t="str">
        <f t="shared" si="6"/>
        <v>ReinvDivTrimark IntInc</v>
      </c>
      <c r="V22" s="23">
        <f>IFERROR(IF(AND(AB22&gt;0,B22&lt;&gt;"Sell"),(AA22-SUMIF(C$4:C21,C22,AC$4:AC22))/AB22,0),"")</f>
        <v>-9.4436964072978409</v>
      </c>
      <c r="W22" s="24" t="str">
        <f t="shared" si="7"/>
        <v/>
      </c>
      <c r="X22" s="25" t="str">
        <f t="shared" si="0"/>
        <v>Trimark IntInc_ACB</v>
      </c>
      <c r="Y22" s="10" t="str">
        <f>IF(S23&lt;&gt;eRRSP_Tx_Table[[#This Row],[Year]],SUMIFS($W$4:$W22,$S$4:$S22,eRRSP_Tx_Table[[#This Row],[Year]],$W$4:$W22,"&gt;0"),"")</f>
        <v/>
      </c>
      <c r="Z22" s="10" t="str">
        <f>IF(S23&lt;&gt;eRRSP_Tx_Table[[#This Row],[Year]],SUMIFS($W$4:$W22,$S$4:$S22,eRRSP_Tx_Table[[#This Row],[Year]],$W$4:$W22,"&lt;0"),"")</f>
        <v/>
      </c>
      <c r="AA22" s="3">
        <f>(SUMIF($U$4:$U22,CONCATENATE("Buy",$C22),$N$4:$N22)+SUMIF($U$4:$U22,CONCATENATE("ReinvDiv",$C22),$N$4:$N22))</f>
        <v>-1800.35</v>
      </c>
      <c r="AB22" s="3">
        <f>(SUMIF($U$4:$U22,CONCATENATE("Buy",$C22),$F$4:$F22)+SUMIF($U$4:$U22,CONCATENATE("ReinvDiv",$C22),$F$4:$F22)+SUMIF($U$4:$U22,CONCATENATE("StkSplit",$C22),$F$4:$F22)-SUMIF($U$4:$U22,CONCATENATE("Sell",$C22),$F$4:$F22))</f>
        <v>180.03499999999997</v>
      </c>
      <c r="AC22" s="3">
        <f>IF(B22="Sell",F22*INDEX(V:V,LOOKUP(2,1/(X$4:X21=CONCATENATE(C22,"_ACB")),ROW(V$4:V21))),0)</f>
        <v>0</v>
      </c>
    </row>
    <row r="23" spans="1:29" x14ac:dyDescent="0.25">
      <c r="A23" s="20">
        <v>36854</v>
      </c>
      <c r="B23" t="s">
        <v>40</v>
      </c>
      <c r="C23" t="s">
        <v>38</v>
      </c>
      <c r="D23" s="3">
        <v>83.69</v>
      </c>
      <c r="E23">
        <v>10</v>
      </c>
      <c r="F23" s="3">
        <v>8.3689999999999998</v>
      </c>
      <c r="M23" s="21">
        <f t="shared" si="1"/>
        <v>83.69</v>
      </c>
      <c r="N23" s="8">
        <f t="shared" si="2"/>
        <v>83.69</v>
      </c>
      <c r="O23" s="25">
        <f t="shared" si="8"/>
        <v>5.9685589803848416E-13</v>
      </c>
      <c r="P23" s="8">
        <f t="shared" si="3"/>
        <v>0</v>
      </c>
      <c r="Q23" s="4">
        <f>IF(AND(S23&gt;=[1]eRRSP_Rpt!$C$6,S23&lt;=[1]eRRSP_Rpt!$C$7),1,0)</f>
        <v>0</v>
      </c>
      <c r="R23" s="4"/>
      <c r="S23" s="4">
        <f t="shared" si="4"/>
        <v>2000</v>
      </c>
      <c r="T23" s="22">
        <f t="shared" si="5"/>
        <v>36854</v>
      </c>
      <c r="U23" s="4" t="str">
        <f t="shared" si="6"/>
        <v>SellTrimark IntInc</v>
      </c>
      <c r="V23" s="23">
        <f>IFERROR(IF(AND(AB23&gt;0,B23&lt;&gt;"Sell"),(AA23-SUMIF(C$4:C22,C23,AC$4:AC23))/AB23,0),"")</f>
        <v>0</v>
      </c>
      <c r="W23" s="24">
        <f t="shared" si="7"/>
        <v>4.6557047673243659</v>
      </c>
      <c r="X23" s="25" t="str">
        <f t="shared" si="0"/>
        <v/>
      </c>
      <c r="Y23" s="10" t="str">
        <f>IF(S24&lt;&gt;eRRSP_Tx_Table[[#This Row],[Year]],SUMIFS($W$4:$W23,$S$4:$S23,eRRSP_Tx_Table[[#This Row],[Year]],$W$4:$W23,"&gt;0"),"")</f>
        <v/>
      </c>
      <c r="Z23" s="10" t="str">
        <f>IF(S24&lt;&gt;eRRSP_Tx_Table[[#This Row],[Year]],SUMIFS($W$4:$W23,$S$4:$S23,eRRSP_Tx_Table[[#This Row],[Year]],$W$4:$W23,"&lt;0"),"")</f>
        <v/>
      </c>
      <c r="AA23" s="3">
        <f>(SUMIF($U$4:$U23,CONCATENATE("Buy",$C23),$N$4:$N23)+SUMIF($U$4:$U23,CONCATENATE("ReinvDiv",$C23),$N$4:$N23))</f>
        <v>-1800.35</v>
      </c>
      <c r="AB23" s="3">
        <f>(SUMIF($U$4:$U23,CONCATENATE("Buy",$C23),$F$4:$F23)+SUMIF($U$4:$U23,CONCATENATE("ReinvDiv",$C23),$F$4:$F23)+SUMIF($U$4:$U23,CONCATENATE("StkSplit",$C23),$F$4:$F23)-SUMIF($U$4:$U23,CONCATENATE("Sell",$C23),$F$4:$F23))</f>
        <v>171.66599999999997</v>
      </c>
      <c r="AC23" s="3">
        <f>IF(B23="Sell",F23*INDEX(V:V,LOOKUP(2,1/(X$4:X22=CONCATENATE(C23,"_ACB")),ROW(V$4:V22))),0)</f>
        <v>-79.034295232675632</v>
      </c>
    </row>
    <row r="24" spans="1:29" x14ac:dyDescent="0.25">
      <c r="A24" s="20">
        <v>36860</v>
      </c>
      <c r="B24" t="s">
        <v>41</v>
      </c>
      <c r="C24" t="s">
        <v>38</v>
      </c>
      <c r="D24" s="3">
        <v>7.3</v>
      </c>
      <c r="E24">
        <v>10</v>
      </c>
      <c r="F24" s="3">
        <v>0.73</v>
      </c>
      <c r="M24" s="21">
        <f t="shared" si="1"/>
        <v>7.3</v>
      </c>
      <c r="N24" s="8">
        <f t="shared" si="2"/>
        <v>-7.3</v>
      </c>
      <c r="O24" s="25">
        <f t="shared" si="8"/>
        <v>5.9685589803848416E-13</v>
      </c>
      <c r="P24" s="8">
        <f t="shared" si="3"/>
        <v>0</v>
      </c>
      <c r="Q24" s="4">
        <f>IF(AND(S24&gt;=[1]eRRSP_Rpt!$C$6,S24&lt;=[1]eRRSP_Rpt!$C$7),1,0)</f>
        <v>0</v>
      </c>
      <c r="R24" s="4"/>
      <c r="S24" s="4">
        <f t="shared" si="4"/>
        <v>2000</v>
      </c>
      <c r="T24" s="22">
        <f t="shared" si="5"/>
        <v>36860</v>
      </c>
      <c r="U24" s="4" t="str">
        <f t="shared" si="6"/>
        <v>ReinvDivTrimark IntInc</v>
      </c>
      <c r="V24" s="23">
        <f>IFERROR(IF(AND(AB24&gt;0,B24&lt;&gt;"Sell"),(AA24-SUMIF(C$4:C23,C24,AC$4:AC24))/AB24,0),"")</f>
        <v>-9.4460520398106151</v>
      </c>
      <c r="W24" s="24" t="str">
        <f t="shared" si="7"/>
        <v/>
      </c>
      <c r="X24" s="25" t="str">
        <f t="shared" si="0"/>
        <v>Trimark IntInc_ACB</v>
      </c>
      <c r="Y24" s="10" t="str">
        <f>IF(S25&lt;&gt;eRRSP_Tx_Table[[#This Row],[Year]],SUMIFS($W$4:$W24,$S$4:$S24,eRRSP_Tx_Table[[#This Row],[Year]],$W$4:$W24,"&gt;0"),"")</f>
        <v/>
      </c>
      <c r="Z24" s="10" t="str">
        <f>IF(S25&lt;&gt;eRRSP_Tx_Table[[#This Row],[Year]],SUMIFS($W$4:$W24,$S$4:$S24,eRRSP_Tx_Table[[#This Row],[Year]],$W$4:$W24,"&lt;0"),"")</f>
        <v/>
      </c>
      <c r="AA24" s="3">
        <f>(SUMIF($U$4:$U24,CONCATENATE("Buy",$C24),$N$4:$N24)+SUMIF($U$4:$U24,CONCATENATE("ReinvDiv",$C24),$N$4:$N24))</f>
        <v>-1807.6499999999999</v>
      </c>
      <c r="AB24" s="3">
        <f>(SUMIF($U$4:$U24,CONCATENATE("Buy",$C24),$F$4:$F24)+SUMIF($U$4:$U24,CONCATENATE("ReinvDiv",$C24),$F$4:$F24)+SUMIF($U$4:$U24,CONCATENATE("StkSplit",$C24),$F$4:$F24)-SUMIF($U$4:$U24,CONCATENATE("Sell",$C24),$F$4:$F24))</f>
        <v>172.39599999999999</v>
      </c>
      <c r="AC24" s="3">
        <f>IF(B24="Sell",F24*INDEX(V:V,LOOKUP(2,1/(X$4:X23=CONCATENATE(C24,"_ACB")),ROW(V$4:V23))),0)</f>
        <v>0</v>
      </c>
    </row>
    <row r="25" spans="1:29" x14ac:dyDescent="0.25">
      <c r="A25" s="20">
        <v>36882</v>
      </c>
      <c r="B25" t="s">
        <v>42</v>
      </c>
      <c r="C25" t="s">
        <v>33</v>
      </c>
      <c r="D25" s="3">
        <v>23.22</v>
      </c>
      <c r="M25" s="21">
        <f t="shared" si="1"/>
        <v>23.22</v>
      </c>
      <c r="N25" s="8">
        <f t="shared" si="2"/>
        <v>23.22</v>
      </c>
      <c r="O25" s="25">
        <f t="shared" si="8"/>
        <v>23.220000000000596</v>
      </c>
      <c r="P25" s="8">
        <f t="shared" si="3"/>
        <v>0</v>
      </c>
      <c r="Q25" s="4">
        <f>IF(AND(S25&gt;=[1]eRRSP_Rpt!$C$6,S25&lt;=[1]eRRSP_Rpt!$C$7),1,0)</f>
        <v>0</v>
      </c>
      <c r="R25" s="4"/>
      <c r="S25" s="4">
        <f t="shared" si="4"/>
        <v>2000</v>
      </c>
      <c r="T25" s="22">
        <f t="shared" si="5"/>
        <v>36882</v>
      </c>
      <c r="U25" s="4" t="str">
        <f t="shared" si="6"/>
        <v>DivEnbridge</v>
      </c>
      <c r="V25" s="23">
        <f>IFERROR(IF(AND(AB25&gt;0,B25&lt;&gt;"Sell"),(AA25-SUMIF(C$4:C24,C25,AC$4:AC25))/AB25,0),"")</f>
        <v>-25.718055555555555</v>
      </c>
      <c r="W25" s="24" t="str">
        <f t="shared" si="7"/>
        <v/>
      </c>
      <c r="X25" s="25" t="str">
        <f t="shared" si="0"/>
        <v>Enbridge_ACB</v>
      </c>
      <c r="Y25" s="10" t="str">
        <f>IF(S26&lt;&gt;eRRSP_Tx_Table[[#This Row],[Year]],SUMIFS($W$4:$W25,$S$4:$S25,eRRSP_Tx_Table[[#This Row],[Year]],$W$4:$W25,"&gt;0"),"")</f>
        <v/>
      </c>
      <c r="Z25" s="10" t="str">
        <f>IF(S26&lt;&gt;eRRSP_Tx_Table[[#This Row],[Year]],SUMIFS($W$4:$W25,$S$4:$S25,eRRSP_Tx_Table[[#This Row],[Year]],$W$4:$W25,"&lt;0"),"")</f>
        <v/>
      </c>
      <c r="AA25" s="3">
        <f>(SUMIF($U$4:$U25,CONCATENATE("Buy",$C25),$N$4:$N25)+SUMIF($U$4:$U25,CONCATENATE("ReinvDiv",$C25),$N$4:$N25))</f>
        <v>-1851.7</v>
      </c>
      <c r="AB25" s="3">
        <f>(SUMIF($U$4:$U25,CONCATENATE("Buy",$C25),$F$4:$F25)+SUMIF($U$4:$U25,CONCATENATE("ReinvDiv",$C25),$F$4:$F25)+SUMIF($U$4:$U25,CONCATENATE("StkSplit",$C25),$F$4:$F25)-SUMIF($U$4:$U25,CONCATENATE("Sell",$C25),$F$4:$F25))</f>
        <v>72</v>
      </c>
      <c r="AC25" s="3">
        <f>IF(B25="Sell",F25*INDEX(V:V,LOOKUP(2,1/(X$4:X24=CONCATENATE(C25,"_ACB")),ROW(V$4:V24))),0)</f>
        <v>0</v>
      </c>
    </row>
    <row r="26" spans="1:29" x14ac:dyDescent="0.25">
      <c r="A26" s="20">
        <v>36882</v>
      </c>
      <c r="B26" t="s">
        <v>41</v>
      </c>
      <c r="C26" t="s">
        <v>39</v>
      </c>
      <c r="D26" s="3">
        <v>40.07</v>
      </c>
      <c r="E26">
        <v>8.24</v>
      </c>
      <c r="F26" s="3">
        <v>4.8630000000000004</v>
      </c>
      <c r="M26" s="21">
        <f t="shared" si="1"/>
        <v>40.07</v>
      </c>
      <c r="N26" s="8">
        <f t="shared" si="2"/>
        <v>-40.07</v>
      </c>
      <c r="O26" s="25">
        <f t="shared" si="8"/>
        <v>23.220000000000596</v>
      </c>
      <c r="P26" s="8">
        <f t="shared" si="3"/>
        <v>0</v>
      </c>
      <c r="Q26" s="4">
        <f>IF(AND(S26&gt;=[1]eRRSP_Rpt!$C$6,S26&lt;=[1]eRRSP_Rpt!$C$7),1,0)</f>
        <v>0</v>
      </c>
      <c r="R26" s="4"/>
      <c r="S26" s="4">
        <f t="shared" si="4"/>
        <v>2000</v>
      </c>
      <c r="T26" s="22">
        <f t="shared" si="5"/>
        <v>36882</v>
      </c>
      <c r="U26" s="4" t="str">
        <f t="shared" si="6"/>
        <v>ReinvDivTrimark Income Growth</v>
      </c>
      <c r="V26" s="23">
        <f>IFERROR(IF(AND(AB26&gt;0,B26&lt;&gt;"Sell"),(AA26-SUMIF(C$4:C25,C26,AC$4:AC26))/AB26,0),"")</f>
        <v>-7.7022037063201418</v>
      </c>
      <c r="W26" s="24" t="str">
        <f t="shared" si="7"/>
        <v/>
      </c>
      <c r="X26" s="25" t="str">
        <f t="shared" si="0"/>
        <v>Trimark Income Growth_ACB</v>
      </c>
      <c r="Y26" s="10" t="str">
        <f>IF(S27&lt;&gt;eRRSP_Tx_Table[[#This Row],[Year]],SUMIFS($W$4:$W26,$S$4:$S26,eRRSP_Tx_Table[[#This Row],[Year]],$W$4:$W26,"&gt;0"),"")</f>
        <v/>
      </c>
      <c r="Z26" s="10" t="str">
        <f>IF(S27&lt;&gt;eRRSP_Tx_Table[[#This Row],[Year]],SUMIFS($W$4:$W26,$S$4:$S26,eRRSP_Tx_Table[[#This Row],[Year]],$W$4:$W26,"&lt;0"),"")</f>
        <v/>
      </c>
      <c r="AA26" s="3">
        <f>(SUMIF($U$4:$U26,CONCATENATE("Buy",$C26),$N$4:$N26)+SUMIF($U$4:$U26,CONCATENATE("ReinvDiv",$C26),$N$4:$N26))</f>
        <v>-2017.03</v>
      </c>
      <c r="AB26" s="3">
        <f>(SUMIF($U$4:$U26,CONCATENATE("Buy",$C26),$F$4:$F26)+SUMIF($U$4:$U26,CONCATENATE("ReinvDiv",$C26),$F$4:$F26)+SUMIF($U$4:$U26,CONCATENATE("StkSplit",$C26),$F$4:$F26)-SUMIF($U$4:$U26,CONCATENATE("Sell",$C26),$F$4:$F26))</f>
        <v>261.87700000000001</v>
      </c>
      <c r="AC26" s="3">
        <f>IF(B26="Sell",F26*INDEX(V:V,LOOKUP(2,1/(X$4:X25=CONCATENATE(C26,"_ACB")),ROW(V$4:V25))),0)</f>
        <v>0</v>
      </c>
    </row>
    <row r="27" spans="1:29" x14ac:dyDescent="0.25">
      <c r="A27" s="20">
        <v>36882</v>
      </c>
      <c r="B27" t="s">
        <v>41</v>
      </c>
      <c r="C27" t="s">
        <v>37</v>
      </c>
      <c r="D27" s="3">
        <v>16.7</v>
      </c>
      <c r="E27">
        <v>27.42</v>
      </c>
      <c r="F27" s="3">
        <v>0.60899999999999999</v>
      </c>
      <c r="M27" s="21">
        <f t="shared" si="1"/>
        <v>16.7</v>
      </c>
      <c r="N27" s="8">
        <f t="shared" si="2"/>
        <v>-16.7</v>
      </c>
      <c r="O27" s="25">
        <f t="shared" si="8"/>
        <v>23.220000000000596</v>
      </c>
      <c r="P27" s="8">
        <f t="shared" si="3"/>
        <v>0</v>
      </c>
      <c r="Q27" s="4">
        <f>IF(AND(S27&gt;=[1]eRRSP_Rpt!$C$6,S27&lt;=[1]eRRSP_Rpt!$C$7),1,0)</f>
        <v>0</v>
      </c>
      <c r="R27" s="4"/>
      <c r="S27" s="4">
        <f t="shared" si="4"/>
        <v>2000</v>
      </c>
      <c r="T27" s="22">
        <f t="shared" si="5"/>
        <v>36882</v>
      </c>
      <c r="U27" s="4" t="str">
        <f t="shared" si="6"/>
        <v>ReinvDivTrimark Fund</v>
      </c>
      <c r="V27" s="23">
        <f>IFERROR(IF(AND(AB27&gt;0,B27&lt;&gt;"Sell"),(AA27-SUMIF(C$4:C26,C27,AC$4:AC27))/AB27,0),"")</f>
        <v>-27.223037974683542</v>
      </c>
      <c r="W27" s="24" t="str">
        <f t="shared" si="7"/>
        <v/>
      </c>
      <c r="X27" s="25" t="str">
        <f t="shared" si="0"/>
        <v>Trimark Fund_ACB</v>
      </c>
      <c r="Y27" s="10" t="str">
        <f>IF(S28&lt;&gt;eRRSP_Tx_Table[[#This Row],[Year]],SUMIFS($W$4:$W27,$S$4:$S27,eRRSP_Tx_Table[[#This Row],[Year]],$W$4:$W27,"&gt;0"),"")</f>
        <v/>
      </c>
      <c r="Z27" s="10" t="str">
        <f>IF(S28&lt;&gt;eRRSP_Tx_Table[[#This Row],[Year]],SUMIFS($W$4:$W27,$S$4:$S27,eRRSP_Tx_Table[[#This Row],[Year]],$W$4:$W27,"&lt;0"),"")</f>
        <v/>
      </c>
      <c r="AA27" s="3">
        <f>(SUMIF($U$4:$U27,CONCATENATE("Buy",$C27),$N$4:$N27)+SUMIF($U$4:$U27,CONCATENATE("ReinvDiv",$C27),$N$4:$N27))</f>
        <v>-1075.31</v>
      </c>
      <c r="AB27" s="3">
        <f>(SUMIF($U$4:$U27,CONCATENATE("Buy",$C27),$F$4:$F27)+SUMIF($U$4:$U27,CONCATENATE("ReinvDiv",$C27),$F$4:$F27)+SUMIF($U$4:$U27,CONCATENATE("StkSplit",$C27),$F$4:$F27)-SUMIF($U$4:$U27,CONCATENATE("Sell",$C27),$F$4:$F27))</f>
        <v>39.5</v>
      </c>
      <c r="AC27" s="3">
        <f>IF(B27="Sell",F27*INDEX(V:V,LOOKUP(2,1/(X$4:X26=CONCATENATE(C27,"_ACB")),ROW(V$4:V26))),0)</f>
        <v>0</v>
      </c>
    </row>
    <row r="28" spans="1:29" x14ac:dyDescent="0.25">
      <c r="A28" s="20">
        <v>36889</v>
      </c>
      <c r="B28" t="s">
        <v>41</v>
      </c>
      <c r="C28" t="s">
        <v>38</v>
      </c>
      <c r="D28" s="3">
        <v>7.3</v>
      </c>
      <c r="E28">
        <v>10</v>
      </c>
      <c r="F28" s="3">
        <v>0.73</v>
      </c>
      <c r="M28" s="21">
        <f t="shared" si="1"/>
        <v>7.3</v>
      </c>
      <c r="N28" s="8">
        <f t="shared" si="2"/>
        <v>-7.3</v>
      </c>
      <c r="O28" s="25">
        <f t="shared" si="8"/>
        <v>23.220000000000596</v>
      </c>
      <c r="P28" s="8">
        <f t="shared" si="3"/>
        <v>0</v>
      </c>
      <c r="Q28" s="4">
        <f>IF(AND(S28&gt;=[1]eRRSP_Rpt!$C$6,S28&lt;=[1]eRRSP_Rpt!$C$7),1,0)</f>
        <v>0</v>
      </c>
      <c r="R28" s="4"/>
      <c r="S28" s="4">
        <f t="shared" si="4"/>
        <v>2000</v>
      </c>
      <c r="T28" s="22">
        <f t="shared" si="5"/>
        <v>36889</v>
      </c>
      <c r="U28" s="4" t="str">
        <f t="shared" si="6"/>
        <v>ReinvDivTrimark IntInc</v>
      </c>
      <c r="V28" s="23">
        <f>IFERROR(IF(AND(AB28&gt;0,B28&lt;&gt;"Sell"),(AA28-SUMIF(C$4:C27,C28,AC$4:AC28))/AB28,0),"")</f>
        <v>-9.4483878068874176</v>
      </c>
      <c r="W28" s="24" t="str">
        <f t="shared" si="7"/>
        <v/>
      </c>
      <c r="X28" s="25" t="str">
        <f t="shared" si="0"/>
        <v>Trimark IntInc_ACB</v>
      </c>
      <c r="Y28" s="10" t="str">
        <f>IF(S29&lt;&gt;eRRSP_Tx_Table[[#This Row],[Year]],SUMIFS($W$4:$W28,$S$4:$S28,eRRSP_Tx_Table[[#This Row],[Year]],$W$4:$W28,"&gt;0"),"")</f>
        <v/>
      </c>
      <c r="Z28" s="10" t="str">
        <f>IF(S29&lt;&gt;eRRSP_Tx_Table[[#This Row],[Year]],SUMIFS($W$4:$W28,$S$4:$S28,eRRSP_Tx_Table[[#This Row],[Year]],$W$4:$W28,"&lt;0"),"")</f>
        <v/>
      </c>
      <c r="AA28" s="3">
        <f>(SUMIF($U$4:$U28,CONCATENATE("Buy",$C28),$N$4:$N28)+SUMIF($U$4:$U28,CONCATENATE("ReinvDiv",$C28),$N$4:$N28))</f>
        <v>-1814.9499999999998</v>
      </c>
      <c r="AB28" s="3">
        <f>(SUMIF($U$4:$U28,CONCATENATE("Buy",$C28),$F$4:$F28)+SUMIF($U$4:$U28,CONCATENATE("ReinvDiv",$C28),$F$4:$F28)+SUMIF($U$4:$U28,CONCATENATE("StkSplit",$C28),$F$4:$F28)-SUMIF($U$4:$U28,CONCATENATE("Sell",$C28),$F$4:$F28))</f>
        <v>173.12599999999998</v>
      </c>
      <c r="AC28" s="3">
        <f>IF(B28="Sell",F28*INDEX(V:V,LOOKUP(2,1/(X$4:X27=CONCATENATE(C28,"_ACB")),ROW(V$4:V27))),0)</f>
        <v>0</v>
      </c>
    </row>
    <row r="29" spans="1:29" ht="13.5" customHeight="1" x14ac:dyDescent="0.25">
      <c r="A29" s="32">
        <v>36891</v>
      </c>
      <c r="B29" s="33"/>
      <c r="C29" s="33"/>
      <c r="D29" s="34"/>
      <c r="E29" s="33"/>
      <c r="F29" s="34"/>
      <c r="G29" s="33"/>
      <c r="H29" s="33"/>
      <c r="I29" s="33"/>
      <c r="J29" s="33"/>
      <c r="K29" s="33"/>
      <c r="L29" s="33"/>
      <c r="M29" s="35"/>
      <c r="N29" s="8"/>
      <c r="O29" s="36"/>
      <c r="P29" s="37">
        <v>-8189.96</v>
      </c>
      <c r="Q29" s="4">
        <f>IF(AND(S29&gt;=[1]eRRSP_Rpt!$C$6,S29&lt;=[1]eRRSP_Rpt!$C$7),1,0)</f>
        <v>0</v>
      </c>
      <c r="R29" s="4" t="s">
        <v>34</v>
      </c>
      <c r="S29" s="4">
        <f>YEAR(A29)</f>
        <v>2000</v>
      </c>
      <c r="T29" s="22"/>
      <c r="U29" s="4"/>
      <c r="V29" s="23">
        <f>IFERROR(IF(AND(AB29&gt;0,B29&lt;&gt;"Sell"),(AA29-SUMIF(C$4:C28,C29,AC$4:AC29))/AB29,0),"")</f>
        <v>0</v>
      </c>
      <c r="W29" s="24" t="str">
        <f t="shared" si="7"/>
        <v/>
      </c>
      <c r="X29" s="25" t="str">
        <f t="shared" si="0"/>
        <v/>
      </c>
      <c r="Y29" s="10">
        <f>IF(S30&lt;&gt;eRRSP_Tx_Table[[#This Row],[Year]],SUMIFS($W$4:$W29,$S$4:$S29,eRRSP_Tx_Table[[#This Row],[Year]],$W$4:$W29,"&gt;0"),"")</f>
        <v>10.651587455190878</v>
      </c>
      <c r="Z29" s="10">
        <f>IF(S30&lt;&gt;eRRSP_Tx_Table[[#This Row],[Year]],SUMIFS($W$4:$W29,$S$4:$S29,eRRSP_Tx_Table[[#This Row],[Year]],$W$4:$W29,"&lt;0"),"")</f>
        <v>0</v>
      </c>
      <c r="AA29" s="3">
        <f>(SUMIF($U$4:$U29,CONCATENATE("Buy",$C29),$N$4:$N29)+SUMIF($U$4:$U29,CONCATENATE("ReinvDiv",$C29),$N$4:$N29))</f>
        <v>0</v>
      </c>
      <c r="AB29" s="3">
        <f>(SUMIF($U$4:$U29,CONCATENATE("Buy",$C29),$F$4:$F29)+SUMIF($U$4:$U29,CONCATENATE("ReinvDiv",$C29),$F$4:$F29)+SUMIF($U$4:$U29,CONCATENATE("StkSplit",$C29),$F$4:$F29)-SUMIF($U$4:$U29,CONCATENATE("Sell",$C29),$F$4:$F29))</f>
        <v>0</v>
      </c>
      <c r="AC29" s="3">
        <f>IF(B29="Sell",F29*INDEX(V:V,LOOKUP(2,1/(X$4:X28=CONCATENATE(C29,"_ACB")),ROW(V$4:V28))),0)</f>
        <v>0</v>
      </c>
    </row>
    <row r="30" spans="1:29" ht="13.5" customHeight="1" x14ac:dyDescent="0.25">
      <c r="A30" s="32">
        <v>36892</v>
      </c>
      <c r="B30" s="33"/>
      <c r="C30" s="33"/>
      <c r="D30" s="34"/>
      <c r="E30" s="33"/>
      <c r="F30" s="34"/>
      <c r="G30" s="33"/>
      <c r="H30" s="33"/>
      <c r="I30" s="33"/>
      <c r="J30" s="33"/>
      <c r="K30" s="33"/>
      <c r="L30" s="33"/>
      <c r="M30" s="35"/>
      <c r="N30" s="8"/>
      <c r="O30" s="36"/>
      <c r="P30" s="37">
        <f>-P29</f>
        <v>8189.96</v>
      </c>
      <c r="Q30" s="4">
        <f>IF(AND(S30&gt;=[1]eRRSP_Rpt!$C$6,S30&lt;=[1]eRRSP_Rpt!$C$7),1,0)</f>
        <v>0</v>
      </c>
      <c r="R30" s="4" t="s">
        <v>34</v>
      </c>
      <c r="S30" s="4">
        <f>YEAR(A30)</f>
        <v>2001</v>
      </c>
      <c r="T30" s="22"/>
      <c r="U30" s="4"/>
      <c r="V30" s="23">
        <f>IFERROR(IF(AND(AB30&gt;0,B30&lt;&gt;"Sell"),(AA30-SUMIF(C$4:C29,C30,AC$4:AC30))/AB30,0),"")</f>
        <v>0</v>
      </c>
      <c r="W30" s="24" t="str">
        <f t="shared" si="7"/>
        <v/>
      </c>
      <c r="X30" s="25" t="str">
        <f t="shared" si="0"/>
        <v/>
      </c>
      <c r="Y30" s="10" t="str">
        <f>IF(S31&lt;&gt;eRRSP_Tx_Table[[#This Row],[Year]],SUMIFS($W$4:$W30,$S$4:$S30,eRRSP_Tx_Table[[#This Row],[Year]],$W$4:$W30,"&gt;0"),"")</f>
        <v/>
      </c>
      <c r="Z30" s="10" t="str">
        <f>IF(S31&lt;&gt;eRRSP_Tx_Table[[#This Row],[Year]],SUMIFS($W$4:$W30,$S$4:$S30,eRRSP_Tx_Table[[#This Row],[Year]],$W$4:$W30,"&lt;0"),"")</f>
        <v/>
      </c>
      <c r="AA30" s="3">
        <f>(SUMIF($U$4:$U30,CONCATENATE("Buy",$C30),$N$4:$N30)+SUMIF($U$4:$U30,CONCATENATE("ReinvDiv",$C30),$N$4:$N30))</f>
        <v>0</v>
      </c>
      <c r="AB30" s="3">
        <f>(SUMIF($U$4:$U30,CONCATENATE("Buy",$C30),$F$4:$F30)+SUMIF($U$4:$U30,CONCATENATE("ReinvDiv",$C30),$F$4:$F30)+SUMIF($U$4:$U30,CONCATENATE("StkSplit",$C30),$F$4:$F30)-SUMIF($U$4:$U30,CONCATENATE("Sell",$C30),$F$4:$F30))</f>
        <v>0</v>
      </c>
      <c r="AC30" s="3">
        <f>IF(B30="Sell",F30*INDEX(V:V,LOOKUP(2,1/(X$4:X29=CONCATENATE(C30,"_ACB")),ROW(V$4:V29))),0)</f>
        <v>0</v>
      </c>
    </row>
    <row r="31" spans="1:29" x14ac:dyDescent="0.25">
      <c r="A31" s="20">
        <v>36907</v>
      </c>
      <c r="B31" t="s">
        <v>43</v>
      </c>
      <c r="C31" t="s">
        <v>36</v>
      </c>
      <c r="D31" s="3">
        <v>0.06</v>
      </c>
      <c r="M31" s="21">
        <f t="shared" si="1"/>
        <v>0.06</v>
      </c>
      <c r="N31" s="8">
        <f t="shared" ref="N31:N94" si="9">IF(OR(B31="Buy",B31="ReinvDiv"),-M31-G31,M31-G31)</f>
        <v>0.06</v>
      </c>
      <c r="O31" s="25">
        <f>O28+IF(OR(B31="Cash",B31="Buy",B31="Sell",B31="Div",B31="Rebate",B31="Fees",B31="IntInc",B31="Tax",B31="Distr"),N31,0)</f>
        <v>23.280000000000594</v>
      </c>
      <c r="P31" s="8">
        <f t="shared" si="3"/>
        <v>0</v>
      </c>
      <c r="Q31" s="4">
        <f>IF(AND(S31&gt;=[1]eRRSP_Rpt!$C$6,S31&lt;=[1]eRRSP_Rpt!$C$7),1,0)</f>
        <v>0</v>
      </c>
      <c r="R31" s="4"/>
      <c r="S31" s="4">
        <f t="shared" si="4"/>
        <v>2001</v>
      </c>
      <c r="T31" s="22">
        <f t="shared" si="5"/>
        <v>36907</v>
      </c>
      <c r="U31" s="4" t="str">
        <f t="shared" si="6"/>
        <v>IntIncTDW</v>
      </c>
      <c r="V31" s="23">
        <f>IFERROR(IF(AND(AB31&gt;0,B31&lt;&gt;"Sell"),(AA31-SUMIF(C$4:C30,C31,AC$4:AC31))/AB31,0),"")</f>
        <v>0</v>
      </c>
      <c r="W31" s="24" t="str">
        <f t="shared" si="7"/>
        <v/>
      </c>
      <c r="X31" s="25" t="str">
        <f t="shared" si="0"/>
        <v/>
      </c>
      <c r="Y31" s="10" t="str">
        <f>IF(S32&lt;&gt;eRRSP_Tx_Table[[#This Row],[Year]],SUMIFS($W$4:$W31,$S$4:$S31,eRRSP_Tx_Table[[#This Row],[Year]],$W$4:$W31,"&gt;0"),"")</f>
        <v/>
      </c>
      <c r="Z31" s="10" t="str">
        <f>IF(S32&lt;&gt;eRRSP_Tx_Table[[#This Row],[Year]],SUMIFS($W$4:$W31,$S$4:$S31,eRRSP_Tx_Table[[#This Row],[Year]],$W$4:$W31,"&lt;0"),"")</f>
        <v/>
      </c>
      <c r="AA31" s="3">
        <f>(SUMIF($U$4:$U31,CONCATENATE("Buy",$C31),$N$4:$N31)+SUMIF($U$4:$U31,CONCATENATE("ReinvDiv",$C31),$N$4:$N31))</f>
        <v>0</v>
      </c>
      <c r="AB31" s="3">
        <f>(SUMIF($U$4:$U31,CONCATENATE("Buy",$C31),$F$4:$F31)+SUMIF($U$4:$U31,CONCATENATE("ReinvDiv",$C31),$F$4:$F31)+SUMIF($U$4:$U31,CONCATENATE("StkSplit",$C31),$F$4:$F31)-SUMIF($U$4:$U31,CONCATENATE("Sell",$C31),$F$4:$F31))</f>
        <v>0</v>
      </c>
      <c r="AC31" s="3">
        <f>IF(B31="Sell",F31*INDEX(V:V,LOOKUP(2,1/(X$4:X30=CONCATENATE(C31,"_ACB")),ROW(V$4:V30))),0)</f>
        <v>0</v>
      </c>
    </row>
    <row r="32" spans="1:29" x14ac:dyDescent="0.25">
      <c r="A32" s="20">
        <v>36922</v>
      </c>
      <c r="B32" t="s">
        <v>41</v>
      </c>
      <c r="C32" t="s">
        <v>38</v>
      </c>
      <c r="D32" s="3">
        <v>7.25</v>
      </c>
      <c r="E32">
        <v>10</v>
      </c>
      <c r="F32" s="3">
        <v>0.72499999999999998</v>
      </c>
      <c r="M32" s="21">
        <f t="shared" si="1"/>
        <v>7.25</v>
      </c>
      <c r="N32" s="8">
        <f t="shared" si="9"/>
        <v>-7.25</v>
      </c>
      <c r="O32" s="25">
        <f t="shared" ref="O32:O95" si="10">O31+IF(OR(B32="Cash",B32="Buy",B32="Sell",B32="Div",B32="Rebate",B32="Fees",B32="IntInc",B32="Tax",B32="Distr"),N32,0)</f>
        <v>23.280000000000594</v>
      </c>
      <c r="P32" s="8">
        <f t="shared" si="3"/>
        <v>0</v>
      </c>
      <c r="Q32" s="4">
        <f>IF(AND(S32&gt;=[1]eRRSP_Rpt!$C$6,S32&lt;=[1]eRRSP_Rpt!$C$7),1,0)</f>
        <v>0</v>
      </c>
      <c r="R32" s="4"/>
      <c r="S32" s="4">
        <f t="shared" si="4"/>
        <v>2001</v>
      </c>
      <c r="T32" s="22">
        <f t="shared" si="5"/>
        <v>36922</v>
      </c>
      <c r="U32" s="4" t="str">
        <f t="shared" si="6"/>
        <v>ReinvDivTrimark IntInc</v>
      </c>
      <c r="V32" s="23">
        <f>IFERROR(IF(AND(AB32&gt;0,B32&lt;&gt;"Sell"),(AA32-SUMIF(C$4:C31,C32,AC$4:AC32))/AB32,0),"")</f>
        <v>-9.4506881608687383</v>
      </c>
      <c r="W32" s="24" t="str">
        <f t="shared" si="7"/>
        <v/>
      </c>
      <c r="X32" s="25" t="str">
        <f t="shared" si="0"/>
        <v>Trimark IntInc_ACB</v>
      </c>
      <c r="Y32" s="10" t="str">
        <f>IF(S33&lt;&gt;eRRSP_Tx_Table[[#This Row],[Year]],SUMIFS($W$4:$W32,$S$4:$S32,eRRSP_Tx_Table[[#This Row],[Year]],$W$4:$W32,"&gt;0"),"")</f>
        <v/>
      </c>
      <c r="Z32" s="10" t="str">
        <f>IF(S33&lt;&gt;eRRSP_Tx_Table[[#This Row],[Year]],SUMIFS($W$4:$W32,$S$4:$S32,eRRSP_Tx_Table[[#This Row],[Year]],$W$4:$W32,"&lt;0"),"")</f>
        <v/>
      </c>
      <c r="AA32" s="3">
        <f>(SUMIF($U$4:$U32,CONCATENATE("Buy",$C32),$N$4:$N32)+SUMIF($U$4:$U32,CONCATENATE("ReinvDiv",$C32),$N$4:$N32))</f>
        <v>-1822.1999999999998</v>
      </c>
      <c r="AB32" s="3">
        <f>(SUMIF($U$4:$U32,CONCATENATE("Buy",$C32),$F$4:$F32)+SUMIF($U$4:$U32,CONCATENATE("ReinvDiv",$C32),$F$4:$F32)+SUMIF($U$4:$U32,CONCATENATE("StkSplit",$C32),$F$4:$F32)-SUMIF($U$4:$U32,CONCATENATE("Sell",$C32),$F$4:$F32))</f>
        <v>173.85099999999997</v>
      </c>
      <c r="AC32" s="3">
        <f>IF(B32="Sell",F32*INDEX(V:V,LOOKUP(2,1/(X$4:X31=CONCATENATE(C32,"_ACB")),ROW(V$4:V31))),0)</f>
        <v>0</v>
      </c>
    </row>
    <row r="33" spans="1:29" x14ac:dyDescent="0.25">
      <c r="A33" s="20">
        <v>36924</v>
      </c>
      <c r="B33" t="s">
        <v>40</v>
      </c>
      <c r="C33" t="s">
        <v>38</v>
      </c>
      <c r="D33" s="3">
        <v>1738.51</v>
      </c>
      <c r="E33">
        <v>10</v>
      </c>
      <c r="F33" s="3">
        <v>173.851</v>
      </c>
      <c r="M33" s="21">
        <f t="shared" si="1"/>
        <v>1738.51</v>
      </c>
      <c r="N33" s="8">
        <f t="shared" si="9"/>
        <v>1738.51</v>
      </c>
      <c r="O33" s="25">
        <f t="shared" si="10"/>
        <v>1761.7900000000006</v>
      </c>
      <c r="P33" s="8">
        <f t="shared" si="3"/>
        <v>0</v>
      </c>
      <c r="Q33" s="4">
        <f>IF(AND(S33&gt;=[1]eRRSP_Rpt!$C$6,S33&lt;=[1]eRRSP_Rpt!$C$7),1,0)</f>
        <v>0</v>
      </c>
      <c r="R33" s="4"/>
      <c r="S33" s="4">
        <f t="shared" si="4"/>
        <v>2001</v>
      </c>
      <c r="T33" s="22">
        <f t="shared" si="5"/>
        <v>36924</v>
      </c>
      <c r="U33" s="4" t="str">
        <f t="shared" si="6"/>
        <v>SellTrimark IntInc</v>
      </c>
      <c r="V33" s="23">
        <f>IFERROR(IF(AND(AB33&gt;0,B33&lt;&gt;"Sell"),(AA33-SUMIF(C$4:C32,C33,AC$4:AC33))/AB33,0),"")</f>
        <v>0</v>
      </c>
      <c r="W33" s="24">
        <f t="shared" si="7"/>
        <v>95.498412544809071</v>
      </c>
      <c r="X33" s="25" t="str">
        <f t="shared" si="0"/>
        <v/>
      </c>
      <c r="Y33" s="10" t="str">
        <f>IF(S34&lt;&gt;eRRSP_Tx_Table[[#This Row],[Year]],SUMIFS($W$4:$W33,$S$4:$S33,eRRSP_Tx_Table[[#This Row],[Year]],$W$4:$W33,"&gt;0"),"")</f>
        <v/>
      </c>
      <c r="Z33" s="10" t="str">
        <f>IF(S34&lt;&gt;eRRSP_Tx_Table[[#This Row],[Year]],SUMIFS($W$4:$W33,$S$4:$S33,eRRSP_Tx_Table[[#This Row],[Year]],$W$4:$W33,"&lt;0"),"")</f>
        <v/>
      </c>
      <c r="AA33" s="3">
        <f>(SUMIF($U$4:$U33,CONCATENATE("Buy",$C33),$N$4:$N33)+SUMIF($U$4:$U33,CONCATENATE("ReinvDiv",$C33),$N$4:$N33))</f>
        <v>-1822.1999999999998</v>
      </c>
      <c r="AB33" s="3">
        <f>(SUMIF($U$4:$U33,CONCATENATE("Buy",$C33),$F$4:$F33)+SUMIF($U$4:$U33,CONCATENATE("ReinvDiv",$C33),$F$4:$F33)+SUMIF($U$4:$U33,CONCATENATE("StkSplit",$C33),$F$4:$F33)-SUMIF($U$4:$U33,CONCATENATE("Sell",$C33),$F$4:$F33))</f>
        <v>-2.8421709430404007E-14</v>
      </c>
      <c r="AC33" s="3">
        <f>IF(B33="Sell",F33*INDEX(V:V,LOOKUP(2,1/(X$4:X32=CONCATENATE(C33,"_ACB")),ROW(V$4:V32))),0)</f>
        <v>-1643.0115874551909</v>
      </c>
    </row>
    <row r="34" spans="1:29" x14ac:dyDescent="0.25">
      <c r="A34" s="20">
        <v>36927</v>
      </c>
      <c r="B34" t="s">
        <v>30</v>
      </c>
      <c r="C34" t="s">
        <v>31</v>
      </c>
      <c r="D34" s="3">
        <v>43.44</v>
      </c>
      <c r="M34" s="21">
        <f t="shared" si="1"/>
        <v>43.44</v>
      </c>
      <c r="N34" s="8">
        <f t="shared" si="9"/>
        <v>43.44</v>
      </c>
      <c r="O34" s="25">
        <f t="shared" si="10"/>
        <v>1805.2300000000007</v>
      </c>
      <c r="P34" s="8">
        <f t="shared" si="3"/>
        <v>43.44</v>
      </c>
      <c r="Q34" s="4">
        <f>IF(AND(S34&gt;=[1]eRRSP_Rpt!$C$6,S34&lt;=[1]eRRSP_Rpt!$C$7),1,0)</f>
        <v>0</v>
      </c>
      <c r="R34" s="4"/>
      <c r="S34" s="4">
        <f t="shared" si="4"/>
        <v>2001</v>
      </c>
      <c r="T34" s="22">
        <f t="shared" si="5"/>
        <v>36927</v>
      </c>
      <c r="U34" s="4" t="str">
        <f t="shared" si="6"/>
        <v>CashContribution</v>
      </c>
      <c r="V34" s="23">
        <f>IFERROR(IF(AND(AB34&gt;0,B34&lt;&gt;"Sell"),(AA34-SUMIF(C$4:C33,C34,AC$4:AC34))/AB34,0),"")</f>
        <v>0</v>
      </c>
      <c r="W34" s="24" t="str">
        <f t="shared" si="7"/>
        <v/>
      </c>
      <c r="X34" s="25" t="str">
        <f t="shared" si="0"/>
        <v/>
      </c>
      <c r="Y34" s="10" t="str">
        <f>IF(S35&lt;&gt;eRRSP_Tx_Table[[#This Row],[Year]],SUMIFS($W$4:$W34,$S$4:$S34,eRRSP_Tx_Table[[#This Row],[Year]],$W$4:$W34,"&gt;0"),"")</f>
        <v/>
      </c>
      <c r="Z34" s="10" t="str">
        <f>IF(S35&lt;&gt;eRRSP_Tx_Table[[#This Row],[Year]],SUMIFS($W$4:$W34,$S$4:$S34,eRRSP_Tx_Table[[#This Row],[Year]],$W$4:$W34,"&lt;0"),"")</f>
        <v/>
      </c>
      <c r="AA34" s="3">
        <f>(SUMIF($U$4:$U34,CONCATENATE("Buy",$C34),$N$4:$N34)+SUMIF($U$4:$U34,CONCATENATE("ReinvDiv",$C34),$N$4:$N34))</f>
        <v>0</v>
      </c>
      <c r="AB34" s="3">
        <f>(SUMIF($U$4:$U34,CONCATENATE("Buy",$C34),$F$4:$F34)+SUMIF($U$4:$U34,CONCATENATE("ReinvDiv",$C34),$F$4:$F34)+SUMIF($U$4:$U34,CONCATENATE("StkSplit",$C34),$F$4:$F34)-SUMIF($U$4:$U34,CONCATENATE("Sell",$C34),$F$4:$F34))</f>
        <v>0</v>
      </c>
      <c r="AC34" s="3">
        <f>IF(B34="Sell",F34*INDEX(V:V,LOOKUP(2,1/(X$4:X33=CONCATENATE(C34,"_ACB")),ROW(V$4:V33))),0)</f>
        <v>0</v>
      </c>
    </row>
    <row r="35" spans="1:29" x14ac:dyDescent="0.25">
      <c r="A35" s="20">
        <v>36928</v>
      </c>
      <c r="B35" t="s">
        <v>30</v>
      </c>
      <c r="C35" t="s">
        <v>31</v>
      </c>
      <c r="D35" s="3">
        <v>2850</v>
      </c>
      <c r="M35" s="21">
        <f t="shared" si="1"/>
        <v>2850</v>
      </c>
      <c r="N35" s="8">
        <f t="shared" si="9"/>
        <v>2850</v>
      </c>
      <c r="O35" s="25">
        <f t="shared" si="10"/>
        <v>4655.2300000000005</v>
      </c>
      <c r="P35" s="8">
        <f t="shared" si="3"/>
        <v>2850</v>
      </c>
      <c r="Q35" s="4">
        <f>IF(AND(S35&gt;=[1]eRRSP_Rpt!$C$6,S35&lt;=[1]eRRSP_Rpt!$C$7),1,0)</f>
        <v>0</v>
      </c>
      <c r="R35" s="4"/>
      <c r="S35" s="4">
        <f t="shared" si="4"/>
        <v>2001</v>
      </c>
      <c r="T35" s="22">
        <f t="shared" si="5"/>
        <v>36928</v>
      </c>
      <c r="U35" s="4" t="str">
        <f t="shared" si="6"/>
        <v>CashContribution</v>
      </c>
      <c r="V35" s="23">
        <f>IFERROR(IF(AND(AB35&gt;0,B35&lt;&gt;"Sell"),(AA35-SUMIF(C$4:C34,C35,AC$4:AC35))/AB35,0),"")</f>
        <v>0</v>
      </c>
      <c r="W35" s="24" t="str">
        <f t="shared" si="7"/>
        <v/>
      </c>
      <c r="X35" s="25" t="str">
        <f t="shared" si="0"/>
        <v/>
      </c>
      <c r="Y35" s="10" t="str">
        <f>IF(S36&lt;&gt;eRRSP_Tx_Table[[#This Row],[Year]],SUMIFS($W$4:$W35,$S$4:$S35,eRRSP_Tx_Table[[#This Row],[Year]],$W$4:$W35,"&gt;0"),"")</f>
        <v/>
      </c>
      <c r="Z35" s="10" t="str">
        <f>IF(S36&lt;&gt;eRRSP_Tx_Table[[#This Row],[Year]],SUMIFS($W$4:$W35,$S$4:$S35,eRRSP_Tx_Table[[#This Row],[Year]],$W$4:$W35,"&lt;0"),"")</f>
        <v/>
      </c>
      <c r="AA35" s="3">
        <f>(SUMIF($U$4:$U35,CONCATENATE("Buy",$C35),$N$4:$N35)+SUMIF($U$4:$U35,CONCATENATE("ReinvDiv",$C35),$N$4:$N35))</f>
        <v>0</v>
      </c>
      <c r="AB35" s="3">
        <f>(SUMIF($U$4:$U35,CONCATENATE("Buy",$C35),$F$4:$F35)+SUMIF($U$4:$U35,CONCATENATE("ReinvDiv",$C35),$F$4:$F35)+SUMIF($U$4:$U35,CONCATENATE("StkSplit",$C35),$F$4:$F35)-SUMIF($U$4:$U35,CONCATENATE("Sell",$C35),$F$4:$F35))</f>
        <v>0</v>
      </c>
      <c r="AC35" s="3">
        <f>IF(B35="Sell",F35*INDEX(V:V,LOOKUP(2,1/(X$4:X34=CONCATENATE(C35,"_ACB")),ROW(V$4:V34))),0)</f>
        <v>0</v>
      </c>
    </row>
    <row r="36" spans="1:29" x14ac:dyDescent="0.25">
      <c r="A36" s="20">
        <v>36934</v>
      </c>
      <c r="B36" t="s">
        <v>32</v>
      </c>
      <c r="C36" t="s">
        <v>44</v>
      </c>
      <c r="D36" s="3">
        <v>545.70000000000005</v>
      </c>
      <c r="E36">
        <v>51.67</v>
      </c>
      <c r="F36" s="3">
        <v>10</v>
      </c>
      <c r="G36">
        <v>29</v>
      </c>
      <c r="M36" s="21">
        <f t="shared" si="1"/>
        <v>516.70000000000005</v>
      </c>
      <c r="N36" s="8">
        <f t="shared" si="9"/>
        <v>-545.70000000000005</v>
      </c>
      <c r="O36" s="25">
        <f t="shared" si="10"/>
        <v>4109.5300000000007</v>
      </c>
      <c r="P36" s="8">
        <f t="shared" si="3"/>
        <v>0</v>
      </c>
      <c r="Q36" s="4">
        <f>IF(AND(S36&gt;=[1]eRRSP_Rpt!$C$6,S36&lt;=[1]eRRSP_Rpt!$C$7),1,0)</f>
        <v>0</v>
      </c>
      <c r="R36" s="4"/>
      <c r="S36" s="4">
        <f t="shared" si="4"/>
        <v>2001</v>
      </c>
      <c r="T36" s="22">
        <f t="shared" si="5"/>
        <v>36934</v>
      </c>
      <c r="U36" s="4" t="str">
        <f t="shared" si="6"/>
        <v>BuyNortel</v>
      </c>
      <c r="V36" s="23">
        <f>IFERROR(IF(AND(AB36&gt;0,B36&lt;&gt;"Sell"),(AA36-SUMIF(C$4:C35,C36,AC$4:AC36))/AB36,0),"")</f>
        <v>-54.570000000000007</v>
      </c>
      <c r="W36" s="24" t="str">
        <f t="shared" si="7"/>
        <v/>
      </c>
      <c r="X36" s="25" t="str">
        <f t="shared" si="0"/>
        <v>Nortel_ACB</v>
      </c>
      <c r="Y36" s="10" t="str">
        <f>IF(S37&lt;&gt;eRRSP_Tx_Table[[#This Row],[Year]],SUMIFS($W$4:$W36,$S$4:$S36,eRRSP_Tx_Table[[#This Row],[Year]],$W$4:$W36,"&gt;0"),"")</f>
        <v/>
      </c>
      <c r="Z36" s="10" t="str">
        <f>IF(S37&lt;&gt;eRRSP_Tx_Table[[#This Row],[Year]],SUMIFS($W$4:$W36,$S$4:$S36,eRRSP_Tx_Table[[#This Row],[Year]],$W$4:$W36,"&lt;0"),"")</f>
        <v/>
      </c>
      <c r="AA36" s="3">
        <f>(SUMIF($U$4:$U36,CONCATENATE("Buy",$C36),$N$4:$N36)+SUMIF($U$4:$U36,CONCATENATE("ReinvDiv",$C36),$N$4:$N36))</f>
        <v>-545.70000000000005</v>
      </c>
      <c r="AB36" s="3">
        <f>(SUMIF($U$4:$U36,CONCATENATE("Buy",$C36),$F$4:$F36)+SUMIF($U$4:$U36,CONCATENATE("ReinvDiv",$C36),$F$4:$F36)+SUMIF($U$4:$U36,CONCATENATE("StkSplit",$C36),$F$4:$F36)-SUMIF($U$4:$U36,CONCATENATE("Sell",$C36),$F$4:$F36))</f>
        <v>10</v>
      </c>
      <c r="AC36" s="3">
        <f>IF(B36="Sell",F36*INDEX(V:V,LOOKUP(2,1/(X$4:X35=CONCATENATE(C36,"_ACB")),ROW(V$4:V35))),0)</f>
        <v>0</v>
      </c>
    </row>
    <row r="37" spans="1:29" x14ac:dyDescent="0.25">
      <c r="A37" s="20">
        <v>36938</v>
      </c>
      <c r="B37" t="s">
        <v>43</v>
      </c>
      <c r="C37" t="s">
        <v>36</v>
      </c>
      <c r="D37" s="3">
        <v>4.6100000000000003</v>
      </c>
      <c r="M37" s="21">
        <f t="shared" si="1"/>
        <v>4.6100000000000003</v>
      </c>
      <c r="N37" s="8">
        <f t="shared" si="9"/>
        <v>4.6100000000000003</v>
      </c>
      <c r="O37" s="25">
        <f t="shared" si="10"/>
        <v>4114.1400000000003</v>
      </c>
      <c r="P37" s="8">
        <f t="shared" si="3"/>
        <v>0</v>
      </c>
      <c r="Q37" s="4">
        <f>IF(AND(S37&gt;=[1]eRRSP_Rpt!$C$6,S37&lt;=[1]eRRSP_Rpt!$C$7),1,0)</f>
        <v>0</v>
      </c>
      <c r="R37" s="4"/>
      <c r="S37" s="4">
        <f t="shared" si="4"/>
        <v>2001</v>
      </c>
      <c r="T37" s="22">
        <f t="shared" si="5"/>
        <v>36938</v>
      </c>
      <c r="U37" s="4" t="str">
        <f t="shared" si="6"/>
        <v>IntIncTDW</v>
      </c>
      <c r="V37" s="23">
        <f>IFERROR(IF(AND(AB37&gt;0,B37&lt;&gt;"Sell"),(AA37-SUMIF(C$4:C36,C37,AC$4:AC37))/AB37,0),"")</f>
        <v>0</v>
      </c>
      <c r="W37" s="24" t="str">
        <f t="shared" si="7"/>
        <v/>
      </c>
      <c r="X37" s="25" t="str">
        <f t="shared" si="0"/>
        <v/>
      </c>
      <c r="Y37" s="10" t="str">
        <f>IF(S38&lt;&gt;eRRSP_Tx_Table[[#This Row],[Year]],SUMIFS($W$4:$W37,$S$4:$S37,eRRSP_Tx_Table[[#This Row],[Year]],$W$4:$W37,"&gt;0"),"")</f>
        <v/>
      </c>
      <c r="Z37" s="10" t="str">
        <f>IF(S38&lt;&gt;eRRSP_Tx_Table[[#This Row],[Year]],SUMIFS($W$4:$W37,$S$4:$S37,eRRSP_Tx_Table[[#This Row],[Year]],$W$4:$W37,"&lt;0"),"")</f>
        <v/>
      </c>
      <c r="AA37" s="3">
        <f>(SUMIF($U$4:$U37,CONCATENATE("Buy",$C37),$N$4:$N37)+SUMIF($U$4:$U37,CONCATENATE("ReinvDiv",$C37),$N$4:$N37))</f>
        <v>0</v>
      </c>
      <c r="AB37" s="3">
        <f>(SUMIF($U$4:$U37,CONCATENATE("Buy",$C37),$F$4:$F37)+SUMIF($U$4:$U37,CONCATENATE("ReinvDiv",$C37),$F$4:$F37)+SUMIF($U$4:$U37,CONCATENATE("StkSplit",$C37),$F$4:$F37)-SUMIF($U$4:$U37,CONCATENATE("Sell",$C37),$F$4:$F37))</f>
        <v>0</v>
      </c>
      <c r="AC37" s="3">
        <f>IF(B37="Sell",F37*INDEX(V:V,LOOKUP(2,1/(X$4:X36=CONCATENATE(C37,"_ACB")),ROW(V$4:V36))),0)</f>
        <v>0</v>
      </c>
    </row>
    <row r="38" spans="1:29" x14ac:dyDescent="0.25">
      <c r="A38" s="20">
        <v>36941</v>
      </c>
      <c r="B38" t="s">
        <v>30</v>
      </c>
      <c r="C38" t="s">
        <v>31</v>
      </c>
      <c r="D38" s="3">
        <v>6000</v>
      </c>
      <c r="M38" s="21">
        <f t="shared" si="1"/>
        <v>6000</v>
      </c>
      <c r="N38" s="8">
        <f t="shared" si="9"/>
        <v>6000</v>
      </c>
      <c r="O38" s="25">
        <f t="shared" si="10"/>
        <v>10114.14</v>
      </c>
      <c r="P38" s="8">
        <f t="shared" si="3"/>
        <v>6000</v>
      </c>
      <c r="Q38" s="4">
        <f>IF(AND(S38&gt;=[1]eRRSP_Rpt!$C$6,S38&lt;=[1]eRRSP_Rpt!$C$7),1,0)</f>
        <v>0</v>
      </c>
      <c r="R38" s="4"/>
      <c r="S38" s="4">
        <f t="shared" si="4"/>
        <v>2001</v>
      </c>
      <c r="T38" s="22">
        <f t="shared" si="5"/>
        <v>36941</v>
      </c>
      <c r="U38" s="4" t="str">
        <f t="shared" si="6"/>
        <v>CashContribution</v>
      </c>
      <c r="V38" s="23">
        <f>IFERROR(IF(AND(AB38&gt;0,B38&lt;&gt;"Sell"),(AA38-SUMIF(C$4:C37,C38,AC$4:AC38))/AB38,0),"")</f>
        <v>0</v>
      </c>
      <c r="W38" s="24" t="str">
        <f t="shared" si="7"/>
        <v/>
      </c>
      <c r="X38" s="25" t="str">
        <f t="shared" si="0"/>
        <v/>
      </c>
      <c r="Y38" s="10" t="str">
        <f>IF(S39&lt;&gt;eRRSP_Tx_Table[[#This Row],[Year]],SUMIFS($W$4:$W38,$S$4:$S38,eRRSP_Tx_Table[[#This Row],[Year]],$W$4:$W38,"&gt;0"),"")</f>
        <v/>
      </c>
      <c r="Z38" s="10" t="str">
        <f>IF(S39&lt;&gt;eRRSP_Tx_Table[[#This Row],[Year]],SUMIFS($W$4:$W38,$S$4:$S38,eRRSP_Tx_Table[[#This Row],[Year]],$W$4:$W38,"&lt;0"),"")</f>
        <v/>
      </c>
      <c r="AA38" s="3">
        <f>(SUMIF($U$4:$U38,CONCATENATE("Buy",$C38),$N$4:$N38)+SUMIF($U$4:$U38,CONCATENATE("ReinvDiv",$C38),$N$4:$N38))</f>
        <v>0</v>
      </c>
      <c r="AB38" s="3">
        <f>(SUMIF($U$4:$U38,CONCATENATE("Buy",$C38),$F$4:$F38)+SUMIF($U$4:$U38,CONCATENATE("ReinvDiv",$C38),$F$4:$F38)+SUMIF($U$4:$U38,CONCATENATE("StkSplit",$C38),$F$4:$F38)-SUMIF($U$4:$U38,CONCATENATE("Sell",$C38),$F$4:$F38))</f>
        <v>0</v>
      </c>
      <c r="AC38" s="3">
        <f>IF(B38="Sell",F38*INDEX(V:V,LOOKUP(2,1/(X$4:X37=CONCATENATE(C38,"_ACB")),ROW(V$4:V37))),0)</f>
        <v>0</v>
      </c>
    </row>
    <row r="39" spans="1:29" x14ac:dyDescent="0.25">
      <c r="A39" s="20">
        <v>36942</v>
      </c>
      <c r="B39" t="s">
        <v>32</v>
      </c>
      <c r="C39" t="s">
        <v>45</v>
      </c>
      <c r="D39" s="3">
        <v>885.8</v>
      </c>
      <c r="E39">
        <v>42.84</v>
      </c>
      <c r="F39" s="3">
        <v>20</v>
      </c>
      <c r="G39">
        <v>29</v>
      </c>
      <c r="M39" s="21">
        <f t="shared" si="1"/>
        <v>856.8</v>
      </c>
      <c r="N39" s="8">
        <f t="shared" si="9"/>
        <v>-885.8</v>
      </c>
      <c r="O39" s="25">
        <f t="shared" si="10"/>
        <v>9228.34</v>
      </c>
      <c r="P39" s="8">
        <f t="shared" si="3"/>
        <v>0</v>
      </c>
      <c r="Q39" s="4">
        <f>IF(AND(S39&gt;=[1]eRRSP_Rpt!$C$6,S39&lt;=[1]eRRSP_Rpt!$C$7),1,0)</f>
        <v>0</v>
      </c>
      <c r="R39" s="4"/>
      <c r="S39" s="4">
        <f t="shared" si="4"/>
        <v>2001</v>
      </c>
      <c r="T39" s="4"/>
      <c r="U39" s="4" t="str">
        <f t="shared" si="6"/>
        <v>BuyTD Bank</v>
      </c>
      <c r="V39" s="23">
        <f>IFERROR(IF(AND(AB39&gt;0,B39&lt;&gt;"Sell"),(AA39-SUMIF(C$4:C38,C39,AC$4:AC39))/AB39,0),"")</f>
        <v>-44.29</v>
      </c>
      <c r="W39" s="24" t="str">
        <f t="shared" si="7"/>
        <v/>
      </c>
      <c r="X39" s="25" t="str">
        <f t="shared" si="0"/>
        <v>TD Bank_ACB</v>
      </c>
      <c r="Y39" s="10" t="str">
        <f>IF(S40&lt;&gt;eRRSP_Tx_Table[[#This Row],[Year]],SUMIFS($W$4:$W39,$S$4:$S39,eRRSP_Tx_Table[[#This Row],[Year]],$W$4:$W39,"&gt;0"),"")</f>
        <v/>
      </c>
      <c r="Z39" s="10" t="str">
        <f>IF(S40&lt;&gt;eRRSP_Tx_Table[[#This Row],[Year]],SUMIFS($W$4:$W39,$S$4:$S39,eRRSP_Tx_Table[[#This Row],[Year]],$W$4:$W39,"&lt;0"),"")</f>
        <v/>
      </c>
      <c r="AA39" s="3">
        <f>(SUMIF($U$4:$U39,CONCATENATE("Buy",$C39),$N$4:$N39)+SUMIF($U$4:$U39,CONCATENATE("ReinvDiv",$C39),$N$4:$N39))</f>
        <v>-885.8</v>
      </c>
      <c r="AB39" s="3">
        <f>(SUMIF($U$4:$U39,CONCATENATE("Buy",$C39),$F$4:$F39)+SUMIF($U$4:$U39,CONCATENATE("ReinvDiv",$C39),$F$4:$F39)+SUMIF($U$4:$U39,CONCATENATE("StkSplit",$C39),$F$4:$F39)-SUMIF($U$4:$U39,CONCATENATE("Sell",$C39),$F$4:$F39))</f>
        <v>20</v>
      </c>
      <c r="AC39" s="3">
        <f>IF(B39="Sell",F39*INDEX(V:V,LOOKUP(2,1/(X$4:X38=CONCATENATE(C39,"_ACB")),ROW(V$4:V38))),0)</f>
        <v>0</v>
      </c>
    </row>
    <row r="40" spans="1:29" x14ac:dyDescent="0.25">
      <c r="A40" s="20">
        <v>36944</v>
      </c>
      <c r="B40" t="s">
        <v>32</v>
      </c>
      <c r="C40" t="s">
        <v>46</v>
      </c>
      <c r="D40" s="3">
        <v>809</v>
      </c>
      <c r="E40">
        <v>39</v>
      </c>
      <c r="F40" s="3">
        <v>20</v>
      </c>
      <c r="G40">
        <v>29</v>
      </c>
      <c r="M40" s="21">
        <f t="shared" si="1"/>
        <v>780</v>
      </c>
      <c r="N40" s="8">
        <f t="shared" si="9"/>
        <v>-809</v>
      </c>
      <c r="O40" s="25">
        <f t="shared" si="10"/>
        <v>8419.34</v>
      </c>
      <c r="P40" s="8">
        <f t="shared" si="3"/>
        <v>0</v>
      </c>
      <c r="Q40" s="4">
        <f>IF(AND(S40&gt;=[1]eRRSP_Rpt!$C$6,S40&lt;=[1]eRRSP_Rpt!$C$7),1,0)</f>
        <v>0</v>
      </c>
      <c r="R40" s="4"/>
      <c r="S40" s="4">
        <f t="shared" si="4"/>
        <v>2001</v>
      </c>
      <c r="T40" s="4"/>
      <c r="U40" s="4" t="str">
        <f t="shared" si="6"/>
        <v>BuyBCE</v>
      </c>
      <c r="V40" s="23">
        <f>IFERROR(IF(AND(AB40&gt;0,B40&lt;&gt;"Sell"),(AA40-SUMIF(C$4:C39,C40,AC$4:AC40))/AB40,0),"")</f>
        <v>-40.450000000000003</v>
      </c>
      <c r="W40" s="24" t="str">
        <f t="shared" si="7"/>
        <v/>
      </c>
      <c r="X40" s="25" t="str">
        <f t="shared" si="0"/>
        <v>BCE_ACB</v>
      </c>
      <c r="Y40" s="10" t="str">
        <f>IF(S41&lt;&gt;eRRSP_Tx_Table[[#This Row],[Year]],SUMIFS($W$4:$W40,$S$4:$S40,eRRSP_Tx_Table[[#This Row],[Year]],$W$4:$W40,"&gt;0"),"")</f>
        <v/>
      </c>
      <c r="Z40" s="10" t="str">
        <f>IF(S41&lt;&gt;eRRSP_Tx_Table[[#This Row],[Year]],SUMIFS($W$4:$W40,$S$4:$S40,eRRSP_Tx_Table[[#This Row],[Year]],$W$4:$W40,"&lt;0"),"")</f>
        <v/>
      </c>
      <c r="AA40" s="3">
        <f>(SUMIF($U$4:$U40,CONCATENATE("Buy",$C40),$N$4:$N40)+SUMIF($U$4:$U40,CONCATENATE("ReinvDiv",$C40),$N$4:$N40))</f>
        <v>-809</v>
      </c>
      <c r="AB40" s="3">
        <f>(SUMIF($U$4:$U40,CONCATENATE("Buy",$C40),$F$4:$F40)+SUMIF($U$4:$U40,CONCATENATE("ReinvDiv",$C40),$F$4:$F40)+SUMIF($U$4:$U40,CONCATENATE("StkSplit",$C40),$F$4:$F40)-SUMIF($U$4:$U40,CONCATENATE("Sell",$C40),$F$4:$F40))</f>
        <v>20</v>
      </c>
      <c r="AC40" s="3">
        <f>IF(B40="Sell",F40*INDEX(V:V,LOOKUP(2,1/(X$4:X39=CONCATENATE(C40,"_ACB")),ROW(V$4:V39))),0)</f>
        <v>0</v>
      </c>
    </row>
    <row r="41" spans="1:29" x14ac:dyDescent="0.25">
      <c r="A41" s="20">
        <v>36944</v>
      </c>
      <c r="B41" t="s">
        <v>32</v>
      </c>
      <c r="C41" t="s">
        <v>47</v>
      </c>
      <c r="D41" s="3">
        <v>696.5</v>
      </c>
      <c r="E41">
        <v>22.25</v>
      </c>
      <c r="F41" s="3">
        <v>30</v>
      </c>
      <c r="G41">
        <v>29</v>
      </c>
      <c r="M41" s="21">
        <f t="shared" si="1"/>
        <v>667.5</v>
      </c>
      <c r="N41" s="8">
        <f t="shared" si="9"/>
        <v>-696.5</v>
      </c>
      <c r="O41" s="25">
        <f t="shared" si="10"/>
        <v>7722.84</v>
      </c>
      <c r="P41" s="8">
        <f t="shared" si="3"/>
        <v>0</v>
      </c>
      <c r="Q41" s="4">
        <f>IF(AND(S41&gt;=[1]eRRSP_Rpt!$C$6,S41&lt;=[1]eRRSP_Rpt!$C$7),1,0)</f>
        <v>0</v>
      </c>
      <c r="R41" s="4"/>
      <c r="S41" s="4">
        <f t="shared" si="4"/>
        <v>2001</v>
      </c>
      <c r="T41" s="4"/>
      <c r="U41" s="4" t="str">
        <f t="shared" si="6"/>
        <v>BuyBombardier</v>
      </c>
      <c r="V41" s="23">
        <f>IFERROR(IF(AND(AB41&gt;0,B41&lt;&gt;"Sell"),(AA41-SUMIF(C$4:C40,C41,AC$4:AC41))/AB41,0),"")</f>
        <v>-23.216666666666665</v>
      </c>
      <c r="W41" s="24" t="str">
        <f t="shared" si="7"/>
        <v/>
      </c>
      <c r="X41" s="25" t="str">
        <f t="shared" si="0"/>
        <v>Bombardier_ACB</v>
      </c>
      <c r="Y41" s="10" t="str">
        <f>IF(S42&lt;&gt;eRRSP_Tx_Table[[#This Row],[Year]],SUMIFS($W$4:$W41,$S$4:$S41,eRRSP_Tx_Table[[#This Row],[Year]],$W$4:$W41,"&gt;0"),"")</f>
        <v/>
      </c>
      <c r="Z41" s="10" t="str">
        <f>IF(S42&lt;&gt;eRRSP_Tx_Table[[#This Row],[Year]],SUMIFS($W$4:$W41,$S$4:$S41,eRRSP_Tx_Table[[#This Row],[Year]],$W$4:$W41,"&lt;0"),"")</f>
        <v/>
      </c>
      <c r="AA41" s="3">
        <f>(SUMIF($U$4:$U41,CONCATENATE("Buy",$C41),$N$4:$N41)+SUMIF($U$4:$U41,CONCATENATE("ReinvDiv",$C41),$N$4:$N41))</f>
        <v>-696.5</v>
      </c>
      <c r="AB41" s="3">
        <f>(SUMIF($U$4:$U41,CONCATENATE("Buy",$C41),$F$4:$F41)+SUMIF($U$4:$U41,CONCATENATE("ReinvDiv",$C41),$F$4:$F41)+SUMIF($U$4:$U41,CONCATENATE("StkSplit",$C41),$F$4:$F41)-SUMIF($U$4:$U41,CONCATENATE("Sell",$C41),$F$4:$F41))</f>
        <v>30</v>
      </c>
      <c r="AC41" s="3">
        <f>IF(B41="Sell",F41*INDEX(V:V,LOOKUP(2,1/(X$4:X40=CONCATENATE(C41,"_ACB")),ROW(V$4:V40))),0)</f>
        <v>0</v>
      </c>
    </row>
    <row r="42" spans="1:29" x14ac:dyDescent="0.25">
      <c r="A42" s="20">
        <v>36944</v>
      </c>
      <c r="B42" t="s">
        <v>32</v>
      </c>
      <c r="C42" t="s">
        <v>48</v>
      </c>
      <c r="D42" s="3">
        <v>809</v>
      </c>
      <c r="E42">
        <v>39</v>
      </c>
      <c r="F42" s="3">
        <v>20</v>
      </c>
      <c r="G42">
        <v>29</v>
      </c>
      <c r="M42" s="21">
        <f t="shared" si="1"/>
        <v>780</v>
      </c>
      <c r="N42" s="8">
        <f t="shared" si="9"/>
        <v>-809</v>
      </c>
      <c r="O42" s="25">
        <f t="shared" si="10"/>
        <v>6913.84</v>
      </c>
      <c r="P42" s="8">
        <f t="shared" si="3"/>
        <v>0</v>
      </c>
      <c r="Q42" s="4">
        <f>IF(AND(S42&gt;=[1]eRRSP_Rpt!$C$6,S42&lt;=[1]eRRSP_Rpt!$C$7),1,0)</f>
        <v>0</v>
      </c>
      <c r="R42" s="4"/>
      <c r="S42" s="4">
        <f t="shared" si="4"/>
        <v>2001</v>
      </c>
      <c r="T42" s="4"/>
      <c r="U42" s="4" t="str">
        <f t="shared" si="6"/>
        <v>BuyTelus</v>
      </c>
      <c r="V42" s="23">
        <f>IFERROR(IF(AND(AB42&gt;0,B42&lt;&gt;"Sell"),(AA42-SUMIF(C$4:C41,C42,AC$4:AC42))/AB42,0),"")</f>
        <v>-40.450000000000003</v>
      </c>
      <c r="W42" s="24" t="str">
        <f t="shared" si="7"/>
        <v/>
      </c>
      <c r="X42" s="25" t="str">
        <f t="shared" si="0"/>
        <v>Telus_ACB</v>
      </c>
      <c r="Y42" s="10" t="str">
        <f>IF(S43&lt;&gt;eRRSP_Tx_Table[[#This Row],[Year]],SUMIFS($W$4:$W42,$S$4:$S42,eRRSP_Tx_Table[[#This Row],[Year]],$W$4:$W42,"&gt;0"),"")</f>
        <v/>
      </c>
      <c r="Z42" s="10" t="str">
        <f>IF(S43&lt;&gt;eRRSP_Tx_Table[[#This Row],[Year]],SUMIFS($W$4:$W42,$S$4:$S42,eRRSP_Tx_Table[[#This Row],[Year]],$W$4:$W42,"&lt;0"),"")</f>
        <v/>
      </c>
      <c r="AA42" s="3">
        <f>(SUMIF($U$4:$U42,CONCATENATE("Buy",$C42),$N$4:$N42)+SUMIF($U$4:$U42,CONCATENATE("ReinvDiv",$C42),$N$4:$N42))</f>
        <v>-809</v>
      </c>
      <c r="AB42" s="3">
        <f>(SUMIF($U$4:$U42,CONCATENATE("Buy",$C42),$F$4:$F42)+SUMIF($U$4:$U42,CONCATENATE("ReinvDiv",$C42),$F$4:$F42)+SUMIF($U$4:$U42,CONCATENATE("StkSplit",$C42),$F$4:$F42)-SUMIF($U$4:$U42,CONCATENATE("Sell",$C42),$F$4:$F42))</f>
        <v>20</v>
      </c>
      <c r="AC42" s="3">
        <f>IF(B42="Sell",F42*INDEX(V:V,LOOKUP(2,1/(X$4:X41=CONCATENATE(C42,"_ACB")),ROW(V$4:V41))),0)</f>
        <v>0</v>
      </c>
    </row>
    <row r="43" spans="1:29" x14ac:dyDescent="0.25">
      <c r="A43" s="20">
        <v>36945</v>
      </c>
      <c r="B43" t="s">
        <v>32</v>
      </c>
      <c r="C43" t="s">
        <v>44</v>
      </c>
      <c r="D43" s="3">
        <v>659</v>
      </c>
      <c r="E43">
        <v>31.5</v>
      </c>
      <c r="F43" s="3">
        <v>20</v>
      </c>
      <c r="G43">
        <v>29</v>
      </c>
      <c r="M43" s="21">
        <f t="shared" si="1"/>
        <v>630</v>
      </c>
      <c r="N43" s="8">
        <f t="shared" si="9"/>
        <v>-659</v>
      </c>
      <c r="O43" s="25">
        <f t="shared" si="10"/>
        <v>6254.84</v>
      </c>
      <c r="P43" s="8">
        <f t="shared" si="3"/>
        <v>0</v>
      </c>
      <c r="Q43" s="4">
        <f>IF(AND(S43&gt;=[1]eRRSP_Rpt!$C$6,S43&lt;=[1]eRRSP_Rpt!$C$7),1,0)</f>
        <v>0</v>
      </c>
      <c r="R43" s="4"/>
      <c r="S43" s="4">
        <f t="shared" si="4"/>
        <v>2001</v>
      </c>
      <c r="T43" s="4"/>
      <c r="U43" s="4" t="str">
        <f t="shared" si="6"/>
        <v>BuyNortel</v>
      </c>
      <c r="V43" s="23">
        <f>IFERROR(IF(AND(AB43&gt;0,B43&lt;&gt;"Sell"),(AA43-SUMIF(C$4:C42,C43,AC$4:AC43))/AB43,0),"")</f>
        <v>-40.156666666666666</v>
      </c>
      <c r="W43" s="24" t="str">
        <f t="shared" si="7"/>
        <v/>
      </c>
      <c r="X43" s="25" t="str">
        <f t="shared" si="0"/>
        <v>Nortel_ACB</v>
      </c>
      <c r="Y43" s="10" t="str">
        <f>IF(S44&lt;&gt;eRRSP_Tx_Table[[#This Row],[Year]],SUMIFS($W$4:$W43,$S$4:$S43,eRRSP_Tx_Table[[#This Row],[Year]],$W$4:$W43,"&gt;0"),"")</f>
        <v/>
      </c>
      <c r="Z43" s="10" t="str">
        <f>IF(S44&lt;&gt;eRRSP_Tx_Table[[#This Row],[Year]],SUMIFS($W$4:$W43,$S$4:$S43,eRRSP_Tx_Table[[#This Row],[Year]],$W$4:$W43,"&lt;0"),"")</f>
        <v/>
      </c>
      <c r="AA43" s="3">
        <f>(SUMIF($U$4:$U43,CONCATENATE("Buy",$C43),$N$4:$N43)+SUMIF($U$4:$U43,CONCATENATE("ReinvDiv",$C43),$N$4:$N43))</f>
        <v>-1204.7</v>
      </c>
      <c r="AB43" s="3">
        <f>(SUMIF($U$4:$U43,CONCATENATE("Buy",$C43),$F$4:$F43)+SUMIF($U$4:$U43,CONCATENATE("ReinvDiv",$C43),$F$4:$F43)+SUMIF($U$4:$U43,CONCATENATE("StkSplit",$C43),$F$4:$F43)-SUMIF($U$4:$U43,CONCATENATE("Sell",$C43),$F$4:$F43))</f>
        <v>30</v>
      </c>
      <c r="AC43" s="3">
        <f>IF(B43="Sell",F43*INDEX(V:V,LOOKUP(2,1/(X$4:X42=CONCATENATE(C43,"_ACB")),ROW(V$4:V42))),0)</f>
        <v>0</v>
      </c>
    </row>
    <row r="44" spans="1:29" x14ac:dyDescent="0.25">
      <c r="A44" s="20">
        <v>36951</v>
      </c>
      <c r="B44" t="s">
        <v>42</v>
      </c>
      <c r="C44" t="s">
        <v>33</v>
      </c>
      <c r="D44" s="3">
        <v>25.2</v>
      </c>
      <c r="M44" s="21">
        <f t="shared" si="1"/>
        <v>25.2</v>
      </c>
      <c r="N44" s="8">
        <f t="shared" si="9"/>
        <v>25.2</v>
      </c>
      <c r="O44" s="25">
        <f t="shared" si="10"/>
        <v>6280.04</v>
      </c>
      <c r="P44" s="8">
        <f t="shared" si="3"/>
        <v>0</v>
      </c>
      <c r="Q44" s="4">
        <f>IF(AND(S44&gt;=[1]eRRSP_Rpt!$C$6,S44&lt;=[1]eRRSP_Rpt!$C$7),1,0)</f>
        <v>0</v>
      </c>
      <c r="R44" s="4"/>
      <c r="S44" s="4">
        <f t="shared" si="4"/>
        <v>2001</v>
      </c>
      <c r="T44" s="4"/>
      <c r="U44" s="4" t="str">
        <f t="shared" si="6"/>
        <v>DivEnbridge</v>
      </c>
      <c r="V44" s="23">
        <f>IFERROR(IF(AND(AB44&gt;0,B44&lt;&gt;"Sell"),(AA44-SUMIF(C$4:C43,C44,AC$4:AC44))/AB44,0),"")</f>
        <v>-25.718055555555555</v>
      </c>
      <c r="W44" s="24" t="str">
        <f t="shared" si="7"/>
        <v/>
      </c>
      <c r="X44" s="25" t="str">
        <f t="shared" si="0"/>
        <v>Enbridge_ACB</v>
      </c>
      <c r="Y44" s="10" t="str">
        <f>IF(S45&lt;&gt;eRRSP_Tx_Table[[#This Row],[Year]],SUMIFS($W$4:$W44,$S$4:$S44,eRRSP_Tx_Table[[#This Row],[Year]],$W$4:$W44,"&gt;0"),"")</f>
        <v/>
      </c>
      <c r="Z44" s="10" t="str">
        <f>IF(S45&lt;&gt;eRRSP_Tx_Table[[#This Row],[Year]],SUMIFS($W$4:$W44,$S$4:$S44,eRRSP_Tx_Table[[#This Row],[Year]],$W$4:$W44,"&lt;0"),"")</f>
        <v/>
      </c>
      <c r="AA44" s="3">
        <f>(SUMIF($U$4:$U44,CONCATENATE("Buy",$C44),$N$4:$N44)+SUMIF($U$4:$U44,CONCATENATE("ReinvDiv",$C44),$N$4:$N44))</f>
        <v>-1851.7</v>
      </c>
      <c r="AB44" s="3">
        <f>(SUMIF($U$4:$U44,CONCATENATE("Buy",$C44),$F$4:$F44)+SUMIF($U$4:$U44,CONCATENATE("ReinvDiv",$C44),$F$4:$F44)+SUMIF($U$4:$U44,CONCATENATE("StkSplit",$C44),$F$4:$F44)-SUMIF($U$4:$U44,CONCATENATE("Sell",$C44),$F$4:$F44))</f>
        <v>72</v>
      </c>
      <c r="AC44" s="3">
        <f>IF(B44="Sell",F44*INDEX(V:V,LOOKUP(2,1/(X$4:X43=CONCATENATE(C44,"_ACB")),ROW(V$4:V43))),0)</f>
        <v>0</v>
      </c>
    </row>
    <row r="45" spans="1:29" x14ac:dyDescent="0.25">
      <c r="A45" s="20">
        <v>36965</v>
      </c>
      <c r="B45" t="s">
        <v>41</v>
      </c>
      <c r="C45" t="s">
        <v>39</v>
      </c>
      <c r="D45" s="3">
        <v>13.15</v>
      </c>
      <c r="E45">
        <v>8.6060210000000001</v>
      </c>
      <c r="F45" s="3">
        <v>1.528</v>
      </c>
      <c r="M45" s="21">
        <f t="shared" si="1"/>
        <v>13.15</v>
      </c>
      <c r="N45" s="8">
        <f t="shared" si="9"/>
        <v>-13.15</v>
      </c>
      <c r="O45" s="25">
        <f t="shared" si="10"/>
        <v>6280.04</v>
      </c>
      <c r="P45" s="8">
        <f t="shared" si="3"/>
        <v>0</v>
      </c>
      <c r="Q45" s="4">
        <f>IF(AND(S45&gt;=[1]eRRSP_Rpt!$C$6,S45&lt;=[1]eRRSP_Rpt!$C$7),1,0)</f>
        <v>0</v>
      </c>
      <c r="R45" s="4"/>
      <c r="S45" s="4">
        <f t="shared" si="4"/>
        <v>2001</v>
      </c>
      <c r="T45" s="4"/>
      <c r="U45" s="4" t="str">
        <f t="shared" si="6"/>
        <v>ReinvDivTrimark Income Growth</v>
      </c>
      <c r="V45" s="23">
        <f>IFERROR(IF(AND(AB45&gt;0,B45&lt;&gt;"Sell"),(AA45-SUMIF(C$4:C44,C45,AC$4:AC45))/AB45,0),"")</f>
        <v>-7.7074467075416182</v>
      </c>
      <c r="W45" s="24" t="str">
        <f t="shared" si="7"/>
        <v/>
      </c>
      <c r="X45" s="25" t="str">
        <f t="shared" si="0"/>
        <v>Trimark Income Growth_ACB</v>
      </c>
      <c r="Y45" s="10" t="str">
        <f>IF(S46&lt;&gt;eRRSP_Tx_Table[[#This Row],[Year]],SUMIFS($W$4:$W45,$S$4:$S45,eRRSP_Tx_Table[[#This Row],[Year]],$W$4:$W45,"&gt;0"),"")</f>
        <v/>
      </c>
      <c r="Z45" s="10" t="str">
        <f>IF(S46&lt;&gt;eRRSP_Tx_Table[[#This Row],[Year]],SUMIFS($W$4:$W45,$S$4:$S45,eRRSP_Tx_Table[[#This Row],[Year]],$W$4:$W45,"&lt;0"),"")</f>
        <v/>
      </c>
      <c r="AA45" s="3">
        <f>(SUMIF($U$4:$U45,CONCATENATE("Buy",$C45),$N$4:$N45)+SUMIF($U$4:$U45,CONCATENATE("ReinvDiv",$C45),$N$4:$N45))</f>
        <v>-2030.1799999999998</v>
      </c>
      <c r="AB45" s="3">
        <f>(SUMIF($U$4:$U45,CONCATENATE("Buy",$C45),$F$4:$F45)+SUMIF($U$4:$U45,CONCATENATE("ReinvDiv",$C45),$F$4:$F45)+SUMIF($U$4:$U45,CONCATENATE("StkSplit",$C45),$F$4:$F45)-SUMIF($U$4:$U45,CONCATENATE("Sell",$C45),$F$4:$F45))</f>
        <v>263.40499999999997</v>
      </c>
      <c r="AC45" s="3">
        <f>IF(B45="Sell",F45*INDEX(V:V,LOOKUP(2,1/(X$4:X44=CONCATENATE(C45,"_ACB")),ROW(V$4:V44))),0)</f>
        <v>0</v>
      </c>
    </row>
    <row r="46" spans="1:29" x14ac:dyDescent="0.25">
      <c r="A46" s="20">
        <v>36966</v>
      </c>
      <c r="B46" t="s">
        <v>43</v>
      </c>
      <c r="C46" t="s">
        <v>36</v>
      </c>
      <c r="D46" s="3">
        <v>15.21</v>
      </c>
      <c r="M46" s="21">
        <f t="shared" si="1"/>
        <v>15.21</v>
      </c>
      <c r="N46" s="8">
        <f t="shared" si="9"/>
        <v>15.21</v>
      </c>
      <c r="O46" s="25">
        <f t="shared" si="10"/>
        <v>6295.25</v>
      </c>
      <c r="P46" s="8">
        <f t="shared" si="3"/>
        <v>0</v>
      </c>
      <c r="Q46" s="4">
        <f>IF(AND(S46&gt;=[1]eRRSP_Rpt!$C$6,S46&lt;=[1]eRRSP_Rpt!$C$7),1,0)</f>
        <v>0</v>
      </c>
      <c r="R46" s="4"/>
      <c r="S46" s="4">
        <f t="shared" si="4"/>
        <v>2001</v>
      </c>
      <c r="T46" s="4"/>
      <c r="U46" s="4" t="str">
        <f t="shared" si="6"/>
        <v>IntIncTDW</v>
      </c>
      <c r="V46" s="23">
        <f>IFERROR(IF(AND(AB46&gt;0,B46&lt;&gt;"Sell"),(AA46-SUMIF(C$4:C45,C46,AC$4:AC46))/AB46,0),"")</f>
        <v>0</v>
      </c>
      <c r="W46" s="24" t="str">
        <f t="shared" si="7"/>
        <v/>
      </c>
      <c r="X46" s="25" t="str">
        <f t="shared" si="0"/>
        <v/>
      </c>
      <c r="Y46" s="10" t="str">
        <f>IF(S47&lt;&gt;eRRSP_Tx_Table[[#This Row],[Year]],SUMIFS($W$4:$W46,$S$4:$S46,eRRSP_Tx_Table[[#This Row],[Year]],$W$4:$W46,"&gt;0"),"")</f>
        <v/>
      </c>
      <c r="Z46" s="10" t="str">
        <f>IF(S47&lt;&gt;eRRSP_Tx_Table[[#This Row],[Year]],SUMIFS($W$4:$W46,$S$4:$S46,eRRSP_Tx_Table[[#This Row],[Year]],$W$4:$W46,"&lt;0"),"")</f>
        <v/>
      </c>
      <c r="AA46" s="3">
        <f>(SUMIF($U$4:$U46,CONCATENATE("Buy",$C46),$N$4:$N46)+SUMIF($U$4:$U46,CONCATENATE("ReinvDiv",$C46),$N$4:$N46))</f>
        <v>0</v>
      </c>
      <c r="AB46" s="3">
        <f>(SUMIF($U$4:$U46,CONCATENATE("Buy",$C46),$F$4:$F46)+SUMIF($U$4:$U46,CONCATENATE("ReinvDiv",$C46),$F$4:$F46)+SUMIF($U$4:$U46,CONCATENATE("StkSplit",$C46),$F$4:$F46)-SUMIF($U$4:$U46,CONCATENATE("Sell",$C46),$F$4:$F46))</f>
        <v>0</v>
      </c>
      <c r="AC46" s="3">
        <f>IF(B46="Sell",F46*INDEX(V:V,LOOKUP(2,1/(X$4:X45=CONCATENATE(C46,"_ACB")),ROW(V$4:V45))),0)</f>
        <v>0</v>
      </c>
    </row>
    <row r="47" spans="1:29" x14ac:dyDescent="0.25">
      <c r="A47" s="20">
        <v>36972</v>
      </c>
      <c r="B47" t="s">
        <v>32</v>
      </c>
      <c r="C47" t="s">
        <v>49</v>
      </c>
      <c r="D47" s="3">
        <v>2000</v>
      </c>
      <c r="E47">
        <v>8.74</v>
      </c>
      <c r="F47" s="3">
        <v>228.833</v>
      </c>
      <c r="M47" s="21">
        <f t="shared" si="1"/>
        <v>2000</v>
      </c>
      <c r="N47" s="8">
        <f t="shared" si="9"/>
        <v>-2000</v>
      </c>
      <c r="O47" s="25">
        <f t="shared" si="10"/>
        <v>4295.25</v>
      </c>
      <c r="P47" s="8">
        <f t="shared" si="3"/>
        <v>0</v>
      </c>
      <c r="Q47" s="4">
        <f>IF(AND(S47&gt;=[1]eRRSP_Rpt!$C$6,S47&lt;=[1]eRRSP_Rpt!$C$7),1,0)</f>
        <v>0</v>
      </c>
      <c r="R47" s="4"/>
      <c r="S47" s="4">
        <f t="shared" si="4"/>
        <v>2001</v>
      </c>
      <c r="T47" s="4"/>
      <c r="U47" s="4" t="str">
        <f t="shared" si="6"/>
        <v>BuyTD US RSP Index - I</v>
      </c>
      <c r="V47" s="23">
        <f>IFERROR(IF(AND(AB47&gt;0,B47&lt;&gt;"Sell"),(AA47-SUMIF(C$4:C46,C47,AC$4:AC47))/AB47,0),"")</f>
        <v>-8.7399981646003848</v>
      </c>
      <c r="W47" s="24" t="str">
        <f t="shared" si="7"/>
        <v/>
      </c>
      <c r="X47" s="25" t="str">
        <f t="shared" si="0"/>
        <v>TD US RSP Index - I_ACB</v>
      </c>
      <c r="Y47" s="10" t="str">
        <f>IF(S48&lt;&gt;eRRSP_Tx_Table[[#This Row],[Year]],SUMIFS($W$4:$W47,$S$4:$S47,eRRSP_Tx_Table[[#This Row],[Year]],$W$4:$W47,"&gt;0"),"")</f>
        <v/>
      </c>
      <c r="Z47" s="10" t="str">
        <f>IF(S48&lt;&gt;eRRSP_Tx_Table[[#This Row],[Year]],SUMIFS($W$4:$W47,$S$4:$S47,eRRSP_Tx_Table[[#This Row],[Year]],$W$4:$W47,"&lt;0"),"")</f>
        <v/>
      </c>
      <c r="AA47" s="3">
        <f>(SUMIF($U$4:$U47,CONCATENATE("Buy",$C47),$N$4:$N47)+SUMIF($U$4:$U47,CONCATENATE("ReinvDiv",$C47),$N$4:$N47))</f>
        <v>-2000</v>
      </c>
      <c r="AB47" s="3">
        <f>(SUMIF($U$4:$U47,CONCATENATE("Buy",$C47),$F$4:$F47)+SUMIF($U$4:$U47,CONCATENATE("ReinvDiv",$C47),$F$4:$F47)+SUMIF($U$4:$U47,CONCATENATE("StkSplit",$C47),$F$4:$F47)-SUMIF($U$4:$U47,CONCATENATE("Sell",$C47),$F$4:$F47))</f>
        <v>228.833</v>
      </c>
      <c r="AC47" s="3">
        <f>IF(B47="Sell",F47*INDEX(V:V,LOOKUP(2,1/(X$4:X46=CONCATENATE(C47,"_ACB")),ROW(V$4:V46))),0)</f>
        <v>0</v>
      </c>
    </row>
    <row r="48" spans="1:29" x14ac:dyDescent="0.25">
      <c r="A48" s="20">
        <v>36976</v>
      </c>
      <c r="B48" t="s">
        <v>32</v>
      </c>
      <c r="C48" t="s">
        <v>50</v>
      </c>
      <c r="D48" s="3">
        <v>1500</v>
      </c>
      <c r="E48">
        <v>5.69</v>
      </c>
      <c r="F48" s="3">
        <v>263.62</v>
      </c>
      <c r="M48" s="21">
        <f t="shared" si="1"/>
        <v>1500</v>
      </c>
      <c r="N48" s="8">
        <f t="shared" si="9"/>
        <v>-1500</v>
      </c>
      <c r="O48" s="25">
        <f t="shared" si="10"/>
        <v>2795.25</v>
      </c>
      <c r="P48" s="8">
        <f t="shared" si="3"/>
        <v>0</v>
      </c>
      <c r="Q48" s="4">
        <f>IF(AND(S48&gt;=[1]eRRSP_Rpt!$C$6,S48&lt;=[1]eRRSP_Rpt!$C$7),1,0)</f>
        <v>0</v>
      </c>
      <c r="R48" s="4"/>
      <c r="S48" s="4">
        <f t="shared" si="4"/>
        <v>2001</v>
      </c>
      <c r="T48" s="4"/>
      <c r="U48" s="4" t="str">
        <f t="shared" si="6"/>
        <v>BuyTalvest Global Health Care RSP</v>
      </c>
      <c r="V48" s="23">
        <f>IFERROR(IF(AND(AB48&gt;0,B48&lt;&gt;"Sell"),(AA48-SUMIF(C$4:C47,C48,AC$4:AC48))/AB48,0),"")</f>
        <v>-5.6900083453455732</v>
      </c>
      <c r="W48" s="24" t="str">
        <f t="shared" si="7"/>
        <v/>
      </c>
      <c r="X48" s="25" t="str">
        <f t="shared" si="0"/>
        <v>Talvest Global Health Care RSP_ACB</v>
      </c>
      <c r="Y48" s="10" t="str">
        <f>IF(S49&lt;&gt;eRRSP_Tx_Table[[#This Row],[Year]],SUMIFS($W$4:$W48,$S$4:$S48,eRRSP_Tx_Table[[#This Row],[Year]],$W$4:$W48,"&gt;0"),"")</f>
        <v/>
      </c>
      <c r="Z48" s="10" t="str">
        <f>IF(S49&lt;&gt;eRRSP_Tx_Table[[#This Row],[Year]],SUMIFS($W$4:$W48,$S$4:$S48,eRRSP_Tx_Table[[#This Row],[Year]],$W$4:$W48,"&lt;0"),"")</f>
        <v/>
      </c>
      <c r="AA48" s="3">
        <f>(SUMIF($U$4:$U48,CONCATENATE("Buy",$C48),$N$4:$N48)+SUMIF($U$4:$U48,CONCATENATE("ReinvDiv",$C48),$N$4:$N48))</f>
        <v>-1500</v>
      </c>
      <c r="AB48" s="3">
        <f>(SUMIF($U$4:$U48,CONCATENATE("Buy",$C48),$F$4:$F48)+SUMIF($U$4:$U48,CONCATENATE("ReinvDiv",$C48),$F$4:$F48)+SUMIF($U$4:$U48,CONCATENATE("StkSplit",$C48),$F$4:$F48)-SUMIF($U$4:$U48,CONCATENATE("Sell",$C48),$F$4:$F48))</f>
        <v>263.62</v>
      </c>
      <c r="AC48" s="3">
        <f>IF(B48="Sell",F48*INDEX(V:V,LOOKUP(2,1/(X$4:X47=CONCATENATE(C48,"_ACB")),ROW(V$4:V47))),0)</f>
        <v>0</v>
      </c>
    </row>
    <row r="49" spans="1:29" x14ac:dyDescent="0.25">
      <c r="A49" s="20">
        <v>36976</v>
      </c>
      <c r="B49" t="s">
        <v>32</v>
      </c>
      <c r="C49" t="s">
        <v>51</v>
      </c>
      <c r="D49" s="3">
        <v>1500</v>
      </c>
      <c r="E49">
        <v>14.868709000000001</v>
      </c>
      <c r="F49" s="3">
        <v>100.883</v>
      </c>
      <c r="M49" s="21">
        <f t="shared" si="1"/>
        <v>1500</v>
      </c>
      <c r="N49" s="8">
        <f t="shared" si="9"/>
        <v>-1500</v>
      </c>
      <c r="O49" s="25">
        <f t="shared" si="10"/>
        <v>1295.25</v>
      </c>
      <c r="P49" s="8">
        <f t="shared" si="3"/>
        <v>0</v>
      </c>
      <c r="Q49" s="4">
        <f>IF(AND(S49&gt;=[1]eRRSP_Rpt!$C$6,S49&lt;=[1]eRRSP_Rpt!$C$7),1,0)</f>
        <v>0</v>
      </c>
      <c r="R49" s="4"/>
      <c r="S49" s="4">
        <f t="shared" si="4"/>
        <v>2001</v>
      </c>
      <c r="T49" s="4"/>
      <c r="U49" s="4" t="str">
        <f t="shared" si="6"/>
        <v>BuyCIBC Energy Fund</v>
      </c>
      <c r="V49" s="23">
        <f>IFERROR(IF(AND(AB49&gt;0,B49&lt;&gt;"Sell"),(AA49-SUMIF(C$4:C48,C49,AC$4:AC49))/AB49,0),"")</f>
        <v>-14.8687092969083</v>
      </c>
      <c r="W49" s="24" t="str">
        <f t="shared" si="7"/>
        <v/>
      </c>
      <c r="X49" s="25" t="str">
        <f t="shared" si="0"/>
        <v>CIBC Energy Fund_ACB</v>
      </c>
      <c r="Y49" s="10" t="str">
        <f>IF(S50&lt;&gt;eRRSP_Tx_Table[[#This Row],[Year]],SUMIFS($W$4:$W49,$S$4:$S49,eRRSP_Tx_Table[[#This Row],[Year]],$W$4:$W49,"&gt;0"),"")</f>
        <v/>
      </c>
      <c r="Z49" s="10" t="str">
        <f>IF(S50&lt;&gt;eRRSP_Tx_Table[[#This Row],[Year]],SUMIFS($W$4:$W49,$S$4:$S49,eRRSP_Tx_Table[[#This Row],[Year]],$W$4:$W49,"&lt;0"),"")</f>
        <v/>
      </c>
      <c r="AA49" s="3">
        <f>(SUMIF($U$4:$U49,CONCATENATE("Buy",$C49),$N$4:$N49)+SUMIF($U$4:$U49,CONCATENATE("ReinvDiv",$C49),$N$4:$N49))</f>
        <v>-1500</v>
      </c>
      <c r="AB49" s="3">
        <f>(SUMIF($U$4:$U49,CONCATENATE("Buy",$C49),$F$4:$F49)+SUMIF($U$4:$U49,CONCATENATE("ReinvDiv",$C49),$F$4:$F49)+SUMIF($U$4:$U49,CONCATENATE("StkSplit",$C49),$F$4:$F49)-SUMIF($U$4:$U49,CONCATENATE("Sell",$C49),$F$4:$F49))</f>
        <v>100.883</v>
      </c>
      <c r="AC49" s="3">
        <f>IF(B49="Sell",F49*INDEX(V:V,LOOKUP(2,1/(X$4:X48=CONCATENATE(C49,"_ACB")),ROW(V$4:V48))),0)</f>
        <v>0</v>
      </c>
    </row>
    <row r="50" spans="1:29" x14ac:dyDescent="0.25">
      <c r="A50" s="20">
        <v>36980</v>
      </c>
      <c r="B50" t="s">
        <v>42</v>
      </c>
      <c r="C50" t="s">
        <v>44</v>
      </c>
      <c r="D50" s="3">
        <v>0.88</v>
      </c>
      <c r="M50" s="21">
        <f t="shared" si="1"/>
        <v>0.88</v>
      </c>
      <c r="N50" s="8">
        <f t="shared" si="9"/>
        <v>0.88</v>
      </c>
      <c r="O50" s="25">
        <f t="shared" si="10"/>
        <v>1296.1300000000001</v>
      </c>
      <c r="P50" s="8">
        <f t="shared" si="3"/>
        <v>0</v>
      </c>
      <c r="Q50" s="4">
        <f>IF(AND(S50&gt;=[1]eRRSP_Rpt!$C$6,S50&lt;=[1]eRRSP_Rpt!$C$7),1,0)</f>
        <v>0</v>
      </c>
      <c r="R50" s="4"/>
      <c r="S50" s="4">
        <f t="shared" si="4"/>
        <v>2001</v>
      </c>
      <c r="T50" s="4"/>
      <c r="U50" s="4" t="str">
        <f t="shared" si="6"/>
        <v>DivNortel</v>
      </c>
      <c r="V50" s="23">
        <f>IFERROR(IF(AND(AB50&gt;0,B50&lt;&gt;"Sell"),(AA50-SUMIF(C$4:C49,C50,AC$4:AC50))/AB50,0),"")</f>
        <v>-40.156666666666666</v>
      </c>
      <c r="W50" s="24" t="str">
        <f t="shared" si="7"/>
        <v/>
      </c>
      <c r="X50" s="25" t="str">
        <f t="shared" si="0"/>
        <v>Nortel_ACB</v>
      </c>
      <c r="Y50" s="10" t="str">
        <f>IF(S51&lt;&gt;eRRSP_Tx_Table[[#This Row],[Year]],SUMIFS($W$4:$W50,$S$4:$S50,eRRSP_Tx_Table[[#This Row],[Year]],$W$4:$W50,"&gt;0"),"")</f>
        <v/>
      </c>
      <c r="Z50" s="10" t="str">
        <f>IF(S51&lt;&gt;eRRSP_Tx_Table[[#This Row],[Year]],SUMIFS($W$4:$W50,$S$4:$S50,eRRSP_Tx_Table[[#This Row],[Year]],$W$4:$W50,"&lt;0"),"")</f>
        <v/>
      </c>
      <c r="AA50" s="3">
        <f>(SUMIF($U$4:$U50,CONCATENATE("Buy",$C50),$N$4:$N50)+SUMIF($U$4:$U50,CONCATENATE("ReinvDiv",$C50),$N$4:$N50))</f>
        <v>-1204.7</v>
      </c>
      <c r="AB50" s="3">
        <f>(SUMIF($U$4:$U50,CONCATENATE("Buy",$C50),$F$4:$F50)+SUMIF($U$4:$U50,CONCATENATE("ReinvDiv",$C50),$F$4:$F50)+SUMIF($U$4:$U50,CONCATENATE("StkSplit",$C50),$F$4:$F50)-SUMIF($U$4:$U50,CONCATENATE("Sell",$C50),$F$4:$F50))</f>
        <v>30</v>
      </c>
      <c r="AC50" s="3">
        <f>IF(B50="Sell",F50*INDEX(V:V,LOOKUP(2,1/(X$4:X49=CONCATENATE(C50,"_ACB")),ROW(V$4:V49))),0)</f>
        <v>0</v>
      </c>
    </row>
    <row r="51" spans="1:29" x14ac:dyDescent="0.25">
      <c r="A51" s="20">
        <v>36982</v>
      </c>
      <c r="B51" t="s">
        <v>42</v>
      </c>
      <c r="C51" t="s">
        <v>48</v>
      </c>
      <c r="D51" s="3">
        <v>7</v>
      </c>
      <c r="M51" s="21">
        <f t="shared" si="1"/>
        <v>7</v>
      </c>
      <c r="N51" s="8">
        <f t="shared" si="9"/>
        <v>7</v>
      </c>
      <c r="O51" s="25">
        <f t="shared" si="10"/>
        <v>1303.1300000000001</v>
      </c>
      <c r="P51" s="8">
        <f t="shared" si="3"/>
        <v>0</v>
      </c>
      <c r="Q51" s="4">
        <f>IF(AND(S51&gt;=[1]eRRSP_Rpt!$C$6,S51&lt;=[1]eRRSP_Rpt!$C$7),1,0)</f>
        <v>0</v>
      </c>
      <c r="R51" s="4"/>
      <c r="S51" s="4">
        <f t="shared" si="4"/>
        <v>2001</v>
      </c>
      <c r="T51" s="4"/>
      <c r="U51" s="4" t="str">
        <f t="shared" si="6"/>
        <v>DivTelus</v>
      </c>
      <c r="V51" s="23">
        <f>IFERROR(IF(AND(AB51&gt;0,B51&lt;&gt;"Sell"),(AA51-SUMIF(C$4:C50,C51,AC$4:AC51))/AB51,0),"")</f>
        <v>-40.450000000000003</v>
      </c>
      <c r="W51" s="24" t="str">
        <f t="shared" si="7"/>
        <v/>
      </c>
      <c r="X51" s="25" t="str">
        <f t="shared" si="0"/>
        <v>Telus_ACB</v>
      </c>
      <c r="Y51" s="10" t="str">
        <f>IF(S52&lt;&gt;eRRSP_Tx_Table[[#This Row],[Year]],SUMIFS($W$4:$W51,$S$4:$S51,eRRSP_Tx_Table[[#This Row],[Year]],$W$4:$W51,"&gt;0"),"")</f>
        <v/>
      </c>
      <c r="Z51" s="10" t="str">
        <f>IF(S52&lt;&gt;eRRSP_Tx_Table[[#This Row],[Year]],SUMIFS($W$4:$W51,$S$4:$S51,eRRSP_Tx_Table[[#This Row],[Year]],$W$4:$W51,"&lt;0"),"")</f>
        <v/>
      </c>
      <c r="AA51" s="3">
        <f>(SUMIF($U$4:$U51,CONCATENATE("Buy",$C51),$N$4:$N51)+SUMIF($U$4:$U51,CONCATENATE("ReinvDiv",$C51),$N$4:$N51))</f>
        <v>-809</v>
      </c>
      <c r="AB51" s="3">
        <f>(SUMIF($U$4:$U51,CONCATENATE("Buy",$C51),$F$4:$F51)+SUMIF($U$4:$U51,CONCATENATE("ReinvDiv",$C51),$F$4:$F51)+SUMIF($U$4:$U51,CONCATENATE("StkSplit",$C51),$F$4:$F51)-SUMIF($U$4:$U51,CONCATENATE("Sell",$C51),$F$4:$F51))</f>
        <v>20</v>
      </c>
      <c r="AC51" s="3">
        <f>IF(B51="Sell",F51*INDEX(V:V,LOOKUP(2,1/(X$4:X50=CONCATENATE(C51,"_ACB")),ROW(V$4:V50))),0)</f>
        <v>0</v>
      </c>
    </row>
    <row r="52" spans="1:29" x14ac:dyDescent="0.25">
      <c r="A52" s="20">
        <v>36983</v>
      </c>
      <c r="B52" t="s">
        <v>30</v>
      </c>
      <c r="C52" t="s">
        <v>31</v>
      </c>
      <c r="D52" s="3">
        <v>5000</v>
      </c>
      <c r="M52" s="21">
        <f t="shared" si="1"/>
        <v>5000</v>
      </c>
      <c r="N52" s="8">
        <f t="shared" si="9"/>
        <v>5000</v>
      </c>
      <c r="O52" s="25">
        <f t="shared" si="10"/>
        <v>6303.13</v>
      </c>
      <c r="P52" s="8">
        <f t="shared" si="3"/>
        <v>5000</v>
      </c>
      <c r="Q52" s="4">
        <f>IF(AND(S52&gt;=[1]eRRSP_Rpt!$C$6,S52&lt;=[1]eRRSP_Rpt!$C$7),1,0)</f>
        <v>0</v>
      </c>
      <c r="R52" s="4"/>
      <c r="S52" s="4">
        <f t="shared" si="4"/>
        <v>2001</v>
      </c>
      <c r="T52" s="4"/>
      <c r="U52" s="4" t="str">
        <f t="shared" si="6"/>
        <v>CashContribution</v>
      </c>
      <c r="V52" s="23">
        <f>IFERROR(IF(AND(AB52&gt;0,B52&lt;&gt;"Sell"),(AA52-SUMIF(C$4:C51,C52,AC$4:AC52))/AB52,0),"")</f>
        <v>0</v>
      </c>
      <c r="W52" s="24" t="str">
        <f t="shared" si="7"/>
        <v/>
      </c>
      <c r="X52" s="25" t="str">
        <f t="shared" si="0"/>
        <v/>
      </c>
      <c r="Y52" s="10" t="str">
        <f>IF(S53&lt;&gt;eRRSP_Tx_Table[[#This Row],[Year]],SUMIFS($W$4:$W52,$S$4:$S52,eRRSP_Tx_Table[[#This Row],[Year]],$W$4:$W52,"&gt;0"),"")</f>
        <v/>
      </c>
      <c r="Z52" s="10" t="str">
        <f>IF(S53&lt;&gt;eRRSP_Tx_Table[[#This Row],[Year]],SUMIFS($W$4:$W52,$S$4:$S52,eRRSP_Tx_Table[[#This Row],[Year]],$W$4:$W52,"&lt;0"),"")</f>
        <v/>
      </c>
      <c r="AA52" s="3">
        <f>(SUMIF($U$4:$U52,CONCATENATE("Buy",$C52),$N$4:$N52)+SUMIF($U$4:$U52,CONCATENATE("ReinvDiv",$C52),$N$4:$N52))</f>
        <v>0</v>
      </c>
      <c r="AB52" s="3">
        <f>(SUMIF($U$4:$U52,CONCATENATE("Buy",$C52),$F$4:$F52)+SUMIF($U$4:$U52,CONCATENATE("ReinvDiv",$C52),$F$4:$F52)+SUMIF($U$4:$U52,CONCATENATE("StkSplit",$C52),$F$4:$F52)-SUMIF($U$4:$U52,CONCATENATE("Sell",$C52),$F$4:$F52))</f>
        <v>0</v>
      </c>
      <c r="AC52" s="3">
        <f>IF(B52="Sell",F52*INDEX(V:V,LOOKUP(2,1/(X$4:X51=CONCATENATE(C52,"_ACB")),ROW(V$4:V51))),0)</f>
        <v>0</v>
      </c>
    </row>
    <row r="53" spans="1:29" x14ac:dyDescent="0.25">
      <c r="A53" s="20">
        <v>36983</v>
      </c>
      <c r="B53" t="s">
        <v>30</v>
      </c>
      <c r="C53" t="s">
        <v>31</v>
      </c>
      <c r="D53" s="3">
        <v>5000</v>
      </c>
      <c r="M53" s="21">
        <f t="shared" si="1"/>
        <v>5000</v>
      </c>
      <c r="N53" s="8">
        <f t="shared" si="9"/>
        <v>5000</v>
      </c>
      <c r="O53" s="25">
        <f t="shared" si="10"/>
        <v>11303.130000000001</v>
      </c>
      <c r="P53" s="8">
        <f t="shared" si="3"/>
        <v>5000</v>
      </c>
      <c r="Q53" s="4">
        <f>IF(AND(S53&gt;=[1]eRRSP_Rpt!$C$6,S53&lt;=[1]eRRSP_Rpt!$C$7),1,0)</f>
        <v>0</v>
      </c>
      <c r="R53" s="4"/>
      <c r="S53" s="4">
        <f t="shared" si="4"/>
        <v>2001</v>
      </c>
      <c r="T53" s="4"/>
      <c r="U53" s="4" t="str">
        <f t="shared" si="6"/>
        <v>CashContribution</v>
      </c>
      <c r="V53" s="23">
        <f>IFERROR(IF(AND(AB53&gt;0,B53&lt;&gt;"Sell"),(AA53-SUMIF(C$4:C52,C53,AC$4:AC53))/AB53,0),"")</f>
        <v>0</v>
      </c>
      <c r="W53" s="24" t="str">
        <f t="shared" si="7"/>
        <v/>
      </c>
      <c r="X53" s="25" t="str">
        <f t="shared" si="0"/>
        <v/>
      </c>
      <c r="Y53" s="10" t="str">
        <f>IF(S54&lt;&gt;eRRSP_Tx_Table[[#This Row],[Year]],SUMIFS($W$4:$W53,$S$4:$S53,eRRSP_Tx_Table[[#This Row],[Year]],$W$4:$W53,"&gt;0"),"")</f>
        <v/>
      </c>
      <c r="Z53" s="10" t="str">
        <f>IF(S54&lt;&gt;eRRSP_Tx_Table[[#This Row],[Year]],SUMIFS($W$4:$W53,$S$4:$S53,eRRSP_Tx_Table[[#This Row],[Year]],$W$4:$W53,"&lt;0"),"")</f>
        <v/>
      </c>
      <c r="AA53" s="3">
        <f>(SUMIF($U$4:$U53,CONCATENATE("Buy",$C53),$N$4:$N53)+SUMIF($U$4:$U53,CONCATENATE("ReinvDiv",$C53),$N$4:$N53))</f>
        <v>0</v>
      </c>
      <c r="AB53" s="3">
        <f>(SUMIF($U$4:$U53,CONCATENATE("Buy",$C53),$F$4:$F53)+SUMIF($U$4:$U53,CONCATENATE("ReinvDiv",$C53),$F$4:$F53)+SUMIF($U$4:$U53,CONCATENATE("StkSplit",$C53),$F$4:$F53)-SUMIF($U$4:$U53,CONCATENATE("Sell",$C53),$F$4:$F53))</f>
        <v>0</v>
      </c>
      <c r="AC53" s="3">
        <f>IF(B53="Sell",F53*INDEX(V:V,LOOKUP(2,1/(X$4:X52=CONCATENATE(C53,"_ACB")),ROW(V$4:V52))),0)</f>
        <v>0</v>
      </c>
    </row>
    <row r="54" spans="1:29" x14ac:dyDescent="0.25">
      <c r="A54" s="20">
        <v>36987</v>
      </c>
      <c r="B54" t="s">
        <v>32</v>
      </c>
      <c r="C54" t="s">
        <v>37</v>
      </c>
      <c r="D54" s="3">
        <v>2000</v>
      </c>
      <c r="E54">
        <v>28.010812000000001</v>
      </c>
      <c r="F54" s="3">
        <v>71.400999999999996</v>
      </c>
      <c r="M54" s="21">
        <f t="shared" si="1"/>
        <v>2000</v>
      </c>
      <c r="N54" s="8">
        <f t="shared" si="9"/>
        <v>-2000</v>
      </c>
      <c r="O54" s="25">
        <f t="shared" si="10"/>
        <v>9303.130000000001</v>
      </c>
      <c r="P54" s="8">
        <f t="shared" si="3"/>
        <v>0</v>
      </c>
      <c r="Q54" s="4">
        <f>IF(AND(S54&gt;=[1]eRRSP_Rpt!$C$6,S54&lt;=[1]eRRSP_Rpt!$C$7),1,0)</f>
        <v>0</v>
      </c>
      <c r="R54" s="4"/>
      <c r="S54" s="4">
        <f t="shared" si="4"/>
        <v>2001</v>
      </c>
      <c r="T54" s="4"/>
      <c r="U54" s="4" t="str">
        <f t="shared" si="6"/>
        <v>BuyTrimark Fund</v>
      </c>
      <c r="V54" s="23">
        <f>IFERROR(IF(AND(AB54&gt;0,B54&lt;&gt;"Sell"),(AA54-SUMIF(C$4:C53,C54,AC$4:AC54))/AB54,0),"")</f>
        <v>-27.730227860884931</v>
      </c>
      <c r="W54" s="24" t="str">
        <f t="shared" si="7"/>
        <v/>
      </c>
      <c r="X54" s="25" t="str">
        <f t="shared" si="0"/>
        <v>Trimark Fund_ACB</v>
      </c>
      <c r="Y54" s="10" t="str">
        <f>IF(S55&lt;&gt;eRRSP_Tx_Table[[#This Row],[Year]],SUMIFS($W$4:$W54,$S$4:$S54,eRRSP_Tx_Table[[#This Row],[Year]],$W$4:$W54,"&gt;0"),"")</f>
        <v/>
      </c>
      <c r="Z54" s="10" t="str">
        <f>IF(S55&lt;&gt;eRRSP_Tx_Table[[#This Row],[Year]],SUMIFS($W$4:$W54,$S$4:$S54,eRRSP_Tx_Table[[#This Row],[Year]],$W$4:$W54,"&lt;0"),"")</f>
        <v/>
      </c>
      <c r="AA54" s="3">
        <f>(SUMIF($U$4:$U54,CONCATENATE("Buy",$C54),$N$4:$N54)+SUMIF($U$4:$U54,CONCATENATE("ReinvDiv",$C54),$N$4:$N54))</f>
        <v>-3075.3099999999995</v>
      </c>
      <c r="AB54" s="3">
        <f>(SUMIF($U$4:$U54,CONCATENATE("Buy",$C54),$F$4:$F54)+SUMIF($U$4:$U54,CONCATENATE("ReinvDiv",$C54),$F$4:$F54)+SUMIF($U$4:$U54,CONCATENATE("StkSplit",$C54),$F$4:$F54)-SUMIF($U$4:$U54,CONCATENATE("Sell",$C54),$F$4:$F54))</f>
        <v>110.901</v>
      </c>
      <c r="AC54" s="3">
        <f>IF(B54="Sell",F54*INDEX(V:V,LOOKUP(2,1/(X$4:X53=CONCATENATE(C54,"_ACB")),ROW(V$4:V53))),0)</f>
        <v>0</v>
      </c>
    </row>
    <row r="55" spans="1:29" x14ac:dyDescent="0.25">
      <c r="A55" s="20">
        <v>36991</v>
      </c>
      <c r="B55" t="s">
        <v>30</v>
      </c>
      <c r="C55" t="s">
        <v>31</v>
      </c>
      <c r="D55" s="3">
        <v>3519</v>
      </c>
      <c r="M55" s="21">
        <f t="shared" si="1"/>
        <v>3519</v>
      </c>
      <c r="N55" s="8">
        <f t="shared" si="9"/>
        <v>3519</v>
      </c>
      <c r="O55" s="25">
        <f t="shared" si="10"/>
        <v>12822.130000000001</v>
      </c>
      <c r="P55" s="8">
        <f t="shared" si="3"/>
        <v>3519</v>
      </c>
      <c r="Q55" s="4">
        <f>IF(AND(S55&gt;=[1]eRRSP_Rpt!$C$6,S55&lt;=[1]eRRSP_Rpt!$C$7),1,0)</f>
        <v>0</v>
      </c>
      <c r="R55" s="4"/>
      <c r="S55" s="4">
        <f t="shared" si="4"/>
        <v>2001</v>
      </c>
      <c r="T55" s="4"/>
      <c r="U55" s="4" t="str">
        <f t="shared" si="6"/>
        <v>CashContribution</v>
      </c>
      <c r="V55" s="23">
        <f>IFERROR(IF(AND(AB55&gt;0,B55&lt;&gt;"Sell"),(AA55-SUMIF(C$4:C54,C55,AC$4:AC55))/AB55,0),"")</f>
        <v>0</v>
      </c>
      <c r="W55" s="24" t="str">
        <f t="shared" si="7"/>
        <v/>
      </c>
      <c r="X55" s="25" t="str">
        <f t="shared" si="0"/>
        <v/>
      </c>
      <c r="Y55" s="10" t="str">
        <f>IF(S56&lt;&gt;eRRSP_Tx_Table[[#This Row],[Year]],SUMIFS($W$4:$W55,$S$4:$S55,eRRSP_Tx_Table[[#This Row],[Year]],$W$4:$W55,"&gt;0"),"")</f>
        <v/>
      </c>
      <c r="Z55" s="10" t="str">
        <f>IF(S56&lt;&gt;eRRSP_Tx_Table[[#This Row],[Year]],SUMIFS($W$4:$W55,$S$4:$S55,eRRSP_Tx_Table[[#This Row],[Year]],$W$4:$W55,"&lt;0"),"")</f>
        <v/>
      </c>
      <c r="AA55" s="3">
        <f>(SUMIF($U$4:$U55,CONCATENATE("Buy",$C55),$N$4:$N55)+SUMIF($U$4:$U55,CONCATENATE("ReinvDiv",$C55),$N$4:$N55))</f>
        <v>0</v>
      </c>
      <c r="AB55" s="3">
        <f>(SUMIF($U$4:$U55,CONCATENATE("Buy",$C55),$F$4:$F55)+SUMIF($U$4:$U55,CONCATENATE("ReinvDiv",$C55),$F$4:$F55)+SUMIF($U$4:$U55,CONCATENATE("StkSplit",$C55),$F$4:$F55)-SUMIF($U$4:$U55,CONCATENATE("Sell",$C55),$F$4:$F55))</f>
        <v>0</v>
      </c>
      <c r="AC55" s="3">
        <f>IF(B55="Sell",F55*INDEX(V:V,LOOKUP(2,1/(X$4:X54=CONCATENATE(C55,"_ACB")),ROW(V$4:V54))),0)</f>
        <v>0</v>
      </c>
    </row>
    <row r="56" spans="1:29" x14ac:dyDescent="0.25">
      <c r="A56" s="20">
        <v>36992</v>
      </c>
      <c r="B56" t="s">
        <v>32</v>
      </c>
      <c r="C56" t="s">
        <v>52</v>
      </c>
      <c r="D56" s="3">
        <v>3000</v>
      </c>
      <c r="E56">
        <v>24.933924999999999</v>
      </c>
      <c r="F56" s="3">
        <v>120.318</v>
      </c>
      <c r="M56" s="21">
        <f t="shared" si="1"/>
        <v>3000</v>
      </c>
      <c r="N56" s="8">
        <f t="shared" si="9"/>
        <v>-3000</v>
      </c>
      <c r="O56" s="25">
        <f t="shared" si="10"/>
        <v>9822.130000000001</v>
      </c>
      <c r="P56" s="8">
        <f t="shared" si="3"/>
        <v>0</v>
      </c>
      <c r="Q56" s="4">
        <f>IF(AND(S56&gt;=[1]eRRSP_Rpt!$C$6,S56&lt;=[1]eRRSP_Rpt!$C$7),1,0)</f>
        <v>0</v>
      </c>
      <c r="R56" s="4"/>
      <c r="S56" s="4">
        <f t="shared" si="4"/>
        <v>2001</v>
      </c>
      <c r="T56" s="4"/>
      <c r="U56" s="4" t="str">
        <f t="shared" si="6"/>
        <v>BuyBMO Dividend</v>
      </c>
      <c r="V56" s="23">
        <f>IFERROR(IF(AND(AB56&gt;0,B56&lt;&gt;"Sell"),(AA56-SUMIF(C$4:C55,C56,AC$4:AC56))/AB56,0),"")</f>
        <v>-24.933925098489006</v>
      </c>
      <c r="W56" s="24" t="str">
        <f t="shared" si="7"/>
        <v/>
      </c>
      <c r="X56" s="25" t="str">
        <f t="shared" si="0"/>
        <v>BMO Dividend_ACB</v>
      </c>
      <c r="Y56" s="10" t="str">
        <f>IF(S57&lt;&gt;eRRSP_Tx_Table[[#This Row],[Year]],SUMIFS($W$4:$W56,$S$4:$S56,eRRSP_Tx_Table[[#This Row],[Year]],$W$4:$W56,"&gt;0"),"")</f>
        <v/>
      </c>
      <c r="Z56" s="10" t="str">
        <f>IF(S57&lt;&gt;eRRSP_Tx_Table[[#This Row],[Year]],SUMIFS($W$4:$W56,$S$4:$S56,eRRSP_Tx_Table[[#This Row],[Year]],$W$4:$W56,"&lt;0"),"")</f>
        <v/>
      </c>
      <c r="AA56" s="3">
        <f>(SUMIF($U$4:$U56,CONCATENATE("Buy",$C56),$N$4:$N56)+SUMIF($U$4:$U56,CONCATENATE("ReinvDiv",$C56),$N$4:$N56))</f>
        <v>-3000</v>
      </c>
      <c r="AB56" s="3">
        <f>(SUMIF($U$4:$U56,CONCATENATE("Buy",$C56),$F$4:$F56)+SUMIF($U$4:$U56,CONCATENATE("ReinvDiv",$C56),$F$4:$F56)+SUMIF($U$4:$U56,CONCATENATE("StkSplit",$C56),$F$4:$F56)-SUMIF($U$4:$U56,CONCATENATE("Sell",$C56),$F$4:$F56))</f>
        <v>120.318</v>
      </c>
      <c r="AC56" s="3">
        <f>IF(B56="Sell",F56*INDEX(V:V,LOOKUP(2,1/(X$4:X55=CONCATENATE(C56,"_ACB")),ROW(V$4:V55))),0)</f>
        <v>0</v>
      </c>
    </row>
    <row r="57" spans="1:29" x14ac:dyDescent="0.25">
      <c r="A57" s="20">
        <v>36992</v>
      </c>
      <c r="B57" t="s">
        <v>32</v>
      </c>
      <c r="C57" t="s">
        <v>53</v>
      </c>
      <c r="D57" s="3">
        <v>2000</v>
      </c>
      <c r="E57">
        <v>12.1</v>
      </c>
      <c r="F57" s="3">
        <v>165.28899999999999</v>
      </c>
      <c r="M57" s="21">
        <f t="shared" si="1"/>
        <v>2000</v>
      </c>
      <c r="N57" s="8">
        <f t="shared" si="9"/>
        <v>-2000</v>
      </c>
      <c r="O57" s="25">
        <f t="shared" si="10"/>
        <v>7822.130000000001</v>
      </c>
      <c r="P57" s="8">
        <f t="shared" si="3"/>
        <v>0</v>
      </c>
      <c r="Q57" s="4">
        <f>IF(AND(S57&gt;=[1]eRRSP_Rpt!$C$6,S57&lt;=[1]eRRSP_Rpt!$C$7),1,0)</f>
        <v>0</v>
      </c>
      <c r="R57" s="4"/>
      <c r="S57" s="4">
        <f t="shared" si="4"/>
        <v>2001</v>
      </c>
      <c r="T57" s="4"/>
      <c r="U57" s="4" t="str">
        <f t="shared" si="6"/>
        <v>BuyTD CDN Bond</v>
      </c>
      <c r="V57" s="23">
        <f>IFERROR(IF(AND(AB57&gt;0,B57&lt;&gt;"Sell"),(AA57-SUMIF(C$4:C56,C57,AC$4:AC57))/AB57,0),"")</f>
        <v>-12.100018755029071</v>
      </c>
      <c r="W57" s="24" t="str">
        <f t="shared" si="7"/>
        <v/>
      </c>
      <c r="X57" s="25" t="str">
        <f t="shared" si="0"/>
        <v>TD CDN Bond_ACB</v>
      </c>
      <c r="Y57" s="10" t="str">
        <f>IF(S58&lt;&gt;eRRSP_Tx_Table[[#This Row],[Year]],SUMIFS($W$4:$W57,$S$4:$S57,eRRSP_Tx_Table[[#This Row],[Year]],$W$4:$W57,"&gt;0"),"")</f>
        <v/>
      </c>
      <c r="Z57" s="10" t="str">
        <f>IF(S58&lt;&gt;eRRSP_Tx_Table[[#This Row],[Year]],SUMIFS($W$4:$W57,$S$4:$S57,eRRSP_Tx_Table[[#This Row],[Year]],$W$4:$W57,"&lt;0"),"")</f>
        <v/>
      </c>
      <c r="AA57" s="3">
        <f>(SUMIF($U$4:$U57,CONCATENATE("Buy",$C57),$N$4:$N57)+SUMIF($U$4:$U57,CONCATENATE("ReinvDiv",$C57),$N$4:$N57))</f>
        <v>-2000</v>
      </c>
      <c r="AB57" s="3">
        <f>(SUMIF($U$4:$U57,CONCATENATE("Buy",$C57),$F$4:$F57)+SUMIF($U$4:$U57,CONCATENATE("ReinvDiv",$C57),$F$4:$F57)+SUMIF($U$4:$U57,CONCATENATE("StkSplit",$C57),$F$4:$F57)-SUMIF($U$4:$U57,CONCATENATE("Sell",$C57),$F$4:$F57))</f>
        <v>165.28899999999999</v>
      </c>
      <c r="AC57" s="3">
        <f>IF(B57="Sell",F57*INDEX(V:V,LOOKUP(2,1/(X$4:X56=CONCATENATE(C57,"_ACB")),ROW(V$4:V56))),0)</f>
        <v>0</v>
      </c>
    </row>
    <row r="58" spans="1:29" x14ac:dyDescent="0.25">
      <c r="A58" s="20">
        <v>36992</v>
      </c>
      <c r="B58" t="s">
        <v>32</v>
      </c>
      <c r="C58" t="s">
        <v>54</v>
      </c>
      <c r="D58" s="3">
        <v>1500</v>
      </c>
      <c r="E58">
        <v>22.282302000000001</v>
      </c>
      <c r="F58" s="3">
        <v>67.317999999999998</v>
      </c>
      <c r="M58" s="21">
        <f t="shared" si="1"/>
        <v>1500</v>
      </c>
      <c r="N58" s="8">
        <f t="shared" si="9"/>
        <v>-1500</v>
      </c>
      <c r="O58" s="25">
        <f t="shared" si="10"/>
        <v>6322.130000000001</v>
      </c>
      <c r="P58" s="8">
        <f t="shared" si="3"/>
        <v>0</v>
      </c>
      <c r="Q58" s="4">
        <f>IF(AND(S58&gt;=[1]eRRSP_Rpt!$C$6,S58&lt;=[1]eRRSP_Rpt!$C$7),1,0)</f>
        <v>0</v>
      </c>
      <c r="R58" s="4"/>
      <c r="S58" s="4">
        <f t="shared" si="4"/>
        <v>2001</v>
      </c>
      <c r="T58" s="4"/>
      <c r="U58" s="4" t="str">
        <f t="shared" si="6"/>
        <v>BuyHSBC Euro Growth</v>
      </c>
      <c r="V58" s="23">
        <f>IFERROR(IF(AND(AB58&gt;0,B58&lt;&gt;"Sell"),(AA58-SUMIF(C$4:C57,C58,AC$4:AC58))/AB58,0),"")</f>
        <v>-22.282301910336017</v>
      </c>
      <c r="W58" s="24" t="str">
        <f t="shared" si="7"/>
        <v/>
      </c>
      <c r="X58" s="25" t="str">
        <f t="shared" si="0"/>
        <v>HSBC Euro Growth_ACB</v>
      </c>
      <c r="Y58" s="10" t="str">
        <f>IF(S59&lt;&gt;eRRSP_Tx_Table[[#This Row],[Year]],SUMIFS($W$4:$W58,$S$4:$S58,eRRSP_Tx_Table[[#This Row],[Year]],$W$4:$W58,"&gt;0"),"")</f>
        <v/>
      </c>
      <c r="Z58" s="10" t="str">
        <f>IF(S59&lt;&gt;eRRSP_Tx_Table[[#This Row],[Year]],SUMIFS($W$4:$W58,$S$4:$S58,eRRSP_Tx_Table[[#This Row],[Year]],$W$4:$W58,"&lt;0"),"")</f>
        <v/>
      </c>
      <c r="AA58" s="3">
        <f>(SUMIF($U$4:$U58,CONCATENATE("Buy",$C58),$N$4:$N58)+SUMIF($U$4:$U58,CONCATENATE("ReinvDiv",$C58),$N$4:$N58))</f>
        <v>-1500</v>
      </c>
      <c r="AB58" s="3">
        <f>(SUMIF($U$4:$U58,CONCATENATE("Buy",$C58),$F$4:$F58)+SUMIF($U$4:$U58,CONCATENATE("ReinvDiv",$C58),$F$4:$F58)+SUMIF($U$4:$U58,CONCATENATE("StkSplit",$C58),$F$4:$F58)-SUMIF($U$4:$U58,CONCATENATE("Sell",$C58),$F$4:$F58))</f>
        <v>67.317999999999998</v>
      </c>
      <c r="AC58" s="3">
        <f>IF(B58="Sell",F58*INDEX(V:V,LOOKUP(2,1/(X$4:X57=CONCATENATE(C58,"_ACB")),ROW(V$4:V57))),0)</f>
        <v>0</v>
      </c>
    </row>
    <row r="59" spans="1:29" x14ac:dyDescent="0.25">
      <c r="A59" s="20">
        <v>36992</v>
      </c>
      <c r="B59" t="s">
        <v>32</v>
      </c>
      <c r="C59" t="s">
        <v>55</v>
      </c>
      <c r="D59" s="3">
        <v>2500</v>
      </c>
      <c r="E59">
        <v>19.139928000000001</v>
      </c>
      <c r="F59" s="3">
        <v>130.61699999999999</v>
      </c>
      <c r="M59" s="21">
        <f t="shared" si="1"/>
        <v>2500</v>
      </c>
      <c r="N59" s="8">
        <f t="shared" si="9"/>
        <v>-2500</v>
      </c>
      <c r="O59" s="25">
        <f t="shared" si="10"/>
        <v>3822.130000000001</v>
      </c>
      <c r="P59" s="8">
        <f t="shared" si="3"/>
        <v>0</v>
      </c>
      <c r="Q59" s="4">
        <f>IF(AND(S59&gt;=[1]eRRSP_Rpt!$C$6,S59&lt;=[1]eRRSP_Rpt!$C$7),1,0)</f>
        <v>0</v>
      </c>
      <c r="R59" s="4"/>
      <c r="S59" s="4">
        <f t="shared" si="4"/>
        <v>2001</v>
      </c>
      <c r="T59" s="4"/>
      <c r="U59" s="4" t="str">
        <f t="shared" si="6"/>
        <v>BuyAGF Aggr Growth</v>
      </c>
      <c r="V59" s="23">
        <f>IFERROR(IF(AND(AB59&gt;0,B59&lt;&gt;"Sell"),(AA59-SUMIF(C$4:C58,C59,AC$4:AC59))/AB59,0),"")</f>
        <v>-19.139928186989444</v>
      </c>
      <c r="W59" s="24" t="str">
        <f t="shared" si="7"/>
        <v/>
      </c>
      <c r="X59" s="25" t="str">
        <f t="shared" si="0"/>
        <v>AGF Aggr Growth_ACB</v>
      </c>
      <c r="Y59" s="10" t="str">
        <f>IF(S60&lt;&gt;eRRSP_Tx_Table[[#This Row],[Year]],SUMIFS($W$4:$W59,$S$4:$S59,eRRSP_Tx_Table[[#This Row],[Year]],$W$4:$W59,"&gt;0"),"")</f>
        <v/>
      </c>
      <c r="Z59" s="10" t="str">
        <f>IF(S60&lt;&gt;eRRSP_Tx_Table[[#This Row],[Year]],SUMIFS($W$4:$W59,$S$4:$S59,eRRSP_Tx_Table[[#This Row],[Year]],$W$4:$W59,"&lt;0"),"")</f>
        <v/>
      </c>
      <c r="AA59" s="3">
        <f>(SUMIF($U$4:$U59,CONCATENATE("Buy",$C59),$N$4:$N59)+SUMIF($U$4:$U59,CONCATENATE("ReinvDiv",$C59),$N$4:$N59))</f>
        <v>-2500</v>
      </c>
      <c r="AB59" s="3">
        <f>(SUMIF($U$4:$U59,CONCATENATE("Buy",$C59),$F$4:$F59)+SUMIF($U$4:$U59,CONCATENATE("ReinvDiv",$C59),$F$4:$F59)+SUMIF($U$4:$U59,CONCATENATE("StkSplit",$C59),$F$4:$F59)-SUMIF($U$4:$U59,CONCATENATE("Sell",$C59),$F$4:$F59))</f>
        <v>130.61699999999999</v>
      </c>
      <c r="AC59" s="3">
        <f>IF(B59="Sell",F59*INDEX(V:V,LOOKUP(2,1/(X$4:X58=CONCATENATE(C59,"_ACB")),ROW(V$4:V58))),0)</f>
        <v>0</v>
      </c>
    </row>
    <row r="60" spans="1:29" x14ac:dyDescent="0.25">
      <c r="A60" s="20">
        <v>36996</v>
      </c>
      <c r="B60" t="s">
        <v>42</v>
      </c>
      <c r="C60" t="s">
        <v>46</v>
      </c>
      <c r="D60" s="3">
        <v>6</v>
      </c>
      <c r="M60" s="21">
        <f t="shared" si="1"/>
        <v>6</v>
      </c>
      <c r="N60" s="8">
        <f t="shared" si="9"/>
        <v>6</v>
      </c>
      <c r="O60" s="25">
        <f t="shared" si="10"/>
        <v>3828.130000000001</v>
      </c>
      <c r="P60" s="8">
        <f t="shared" si="3"/>
        <v>0</v>
      </c>
      <c r="Q60" s="4">
        <f>IF(AND(S60&gt;=[1]eRRSP_Rpt!$C$6,S60&lt;=[1]eRRSP_Rpt!$C$7),1,0)</f>
        <v>0</v>
      </c>
      <c r="R60" s="4"/>
      <c r="S60" s="4">
        <f t="shared" si="4"/>
        <v>2001</v>
      </c>
      <c r="T60" s="4"/>
      <c r="U60" s="4" t="str">
        <f t="shared" si="6"/>
        <v>DivBCE</v>
      </c>
      <c r="V60" s="23">
        <f>IFERROR(IF(AND(AB60&gt;0,B60&lt;&gt;"Sell"),(AA60-SUMIF(C$4:C59,C60,AC$4:AC60))/AB60,0),"")</f>
        <v>-40.450000000000003</v>
      </c>
      <c r="W60" s="24" t="str">
        <f t="shared" si="7"/>
        <v/>
      </c>
      <c r="X60" s="25" t="str">
        <f t="shared" si="0"/>
        <v>BCE_ACB</v>
      </c>
      <c r="Y60" s="10" t="str">
        <f>IF(S61&lt;&gt;eRRSP_Tx_Table[[#This Row],[Year]],SUMIFS($W$4:$W60,$S$4:$S60,eRRSP_Tx_Table[[#This Row],[Year]],$W$4:$W60,"&gt;0"),"")</f>
        <v/>
      </c>
      <c r="Z60" s="10" t="str">
        <f>IF(S61&lt;&gt;eRRSP_Tx_Table[[#This Row],[Year]],SUMIFS($W$4:$W60,$S$4:$S60,eRRSP_Tx_Table[[#This Row],[Year]],$W$4:$W60,"&lt;0"),"")</f>
        <v/>
      </c>
      <c r="AA60" s="3">
        <f>(SUMIF($U$4:$U60,CONCATENATE("Buy",$C60),$N$4:$N60)+SUMIF($U$4:$U60,CONCATENATE("ReinvDiv",$C60),$N$4:$N60))</f>
        <v>-809</v>
      </c>
      <c r="AB60" s="3">
        <f>(SUMIF($U$4:$U60,CONCATENATE("Buy",$C60),$F$4:$F60)+SUMIF($U$4:$U60,CONCATENATE("ReinvDiv",$C60),$F$4:$F60)+SUMIF($U$4:$U60,CONCATENATE("StkSplit",$C60),$F$4:$F60)-SUMIF($U$4:$U60,CONCATENATE("Sell",$C60),$F$4:$F60))</f>
        <v>20</v>
      </c>
      <c r="AC60" s="3">
        <f>IF(B60="Sell",F60*INDEX(V:V,LOOKUP(2,1/(X$4:X59=CONCATENATE(C60,"_ACB")),ROW(V$4:V59))),0)</f>
        <v>0</v>
      </c>
    </row>
    <row r="61" spans="1:29" x14ac:dyDescent="0.25">
      <c r="A61" s="20">
        <v>36997</v>
      </c>
      <c r="B61" t="s">
        <v>43</v>
      </c>
      <c r="C61" t="s">
        <v>36</v>
      </c>
      <c r="D61" s="3">
        <v>13.44</v>
      </c>
      <c r="M61" s="21">
        <f t="shared" si="1"/>
        <v>13.44</v>
      </c>
      <c r="N61" s="8">
        <f t="shared" si="9"/>
        <v>13.44</v>
      </c>
      <c r="O61" s="25">
        <f t="shared" si="10"/>
        <v>3841.5700000000011</v>
      </c>
      <c r="P61" s="8">
        <f t="shared" si="3"/>
        <v>0</v>
      </c>
      <c r="Q61" s="4">
        <f>IF(AND(S61&gt;=[1]eRRSP_Rpt!$C$6,S61&lt;=[1]eRRSP_Rpt!$C$7),1,0)</f>
        <v>0</v>
      </c>
      <c r="R61" s="4"/>
      <c r="S61" s="4">
        <f t="shared" si="4"/>
        <v>2001</v>
      </c>
      <c r="T61" s="4"/>
      <c r="U61" s="4" t="str">
        <f t="shared" si="6"/>
        <v>IntIncTDW</v>
      </c>
      <c r="V61" s="23">
        <f>IFERROR(IF(AND(AB61&gt;0,B61&lt;&gt;"Sell"),(AA61-SUMIF(C$4:C60,C61,AC$4:AC61))/AB61,0),"")</f>
        <v>0</v>
      </c>
      <c r="W61" s="24" t="str">
        <f t="shared" si="7"/>
        <v/>
      </c>
      <c r="X61" s="25" t="str">
        <f t="shared" si="0"/>
        <v/>
      </c>
      <c r="Y61" s="10" t="str">
        <f>IF(S62&lt;&gt;eRRSP_Tx_Table[[#This Row],[Year]],SUMIFS($W$4:$W61,$S$4:$S61,eRRSP_Tx_Table[[#This Row],[Year]],$W$4:$W61,"&gt;0"),"")</f>
        <v/>
      </c>
      <c r="Z61" s="10" t="str">
        <f>IF(S62&lt;&gt;eRRSP_Tx_Table[[#This Row],[Year]],SUMIFS($W$4:$W61,$S$4:$S61,eRRSP_Tx_Table[[#This Row],[Year]],$W$4:$W61,"&lt;0"),"")</f>
        <v/>
      </c>
      <c r="AA61" s="3">
        <f>(SUMIF($U$4:$U61,CONCATENATE("Buy",$C61),$N$4:$N61)+SUMIF($U$4:$U61,CONCATENATE("ReinvDiv",$C61),$N$4:$N61))</f>
        <v>0</v>
      </c>
      <c r="AB61" s="3">
        <f>(SUMIF($U$4:$U61,CONCATENATE("Buy",$C61),$F$4:$F61)+SUMIF($U$4:$U61,CONCATENATE("ReinvDiv",$C61),$F$4:$F61)+SUMIF($U$4:$U61,CONCATENATE("StkSplit",$C61),$F$4:$F61)-SUMIF($U$4:$U61,CONCATENATE("Sell",$C61),$F$4:$F61))</f>
        <v>0</v>
      </c>
      <c r="AC61" s="3">
        <f>IF(B61="Sell",F61*INDEX(V:V,LOOKUP(2,1/(X$4:X60=CONCATENATE(C61,"_ACB")),ROW(V$4:V60))),0)</f>
        <v>0</v>
      </c>
    </row>
    <row r="62" spans="1:29" x14ac:dyDescent="0.25">
      <c r="A62" s="20">
        <v>37011</v>
      </c>
      <c r="B62" t="s">
        <v>42</v>
      </c>
      <c r="C62" t="s">
        <v>45</v>
      </c>
      <c r="D62" s="3">
        <v>5.6</v>
      </c>
      <c r="M62" s="21">
        <f t="shared" si="1"/>
        <v>5.6</v>
      </c>
      <c r="N62" s="8">
        <f t="shared" si="9"/>
        <v>5.6</v>
      </c>
      <c r="O62" s="25">
        <f t="shared" si="10"/>
        <v>3847.170000000001</v>
      </c>
      <c r="P62" s="8">
        <f t="shared" si="3"/>
        <v>0</v>
      </c>
      <c r="Q62" s="4">
        <f>IF(AND(S62&gt;=[1]eRRSP_Rpt!$C$6,S62&lt;=[1]eRRSP_Rpt!$C$7),1,0)</f>
        <v>0</v>
      </c>
      <c r="R62" s="4"/>
      <c r="S62" s="4">
        <f t="shared" si="4"/>
        <v>2001</v>
      </c>
      <c r="T62" s="4"/>
      <c r="U62" s="4" t="str">
        <f t="shared" si="6"/>
        <v>DivTD Bank</v>
      </c>
      <c r="V62" s="23">
        <f>IFERROR(IF(AND(AB62&gt;0,B62&lt;&gt;"Sell"),(AA62-SUMIF(C$4:C61,C62,AC$4:AC62))/AB62,0),"")</f>
        <v>-44.29</v>
      </c>
      <c r="W62" s="24" t="str">
        <f t="shared" si="7"/>
        <v/>
      </c>
      <c r="X62" s="25" t="str">
        <f t="shared" si="0"/>
        <v>TD Bank_ACB</v>
      </c>
      <c r="Y62" s="10" t="str">
        <f>IF(S63&lt;&gt;eRRSP_Tx_Table[[#This Row],[Year]],SUMIFS($W$4:$W62,$S$4:$S62,eRRSP_Tx_Table[[#This Row],[Year]],$W$4:$W62,"&gt;0"),"")</f>
        <v/>
      </c>
      <c r="Z62" s="10" t="str">
        <f>IF(S63&lt;&gt;eRRSP_Tx_Table[[#This Row],[Year]],SUMIFS($W$4:$W62,$S$4:$S62,eRRSP_Tx_Table[[#This Row],[Year]],$W$4:$W62,"&lt;0"),"")</f>
        <v/>
      </c>
      <c r="AA62" s="3">
        <f>(SUMIF($U$4:$U62,CONCATENATE("Buy",$C62),$N$4:$N62)+SUMIF($U$4:$U62,CONCATENATE("ReinvDiv",$C62),$N$4:$N62))</f>
        <v>-885.8</v>
      </c>
      <c r="AB62" s="3">
        <f>(SUMIF($U$4:$U62,CONCATENATE("Buy",$C62),$F$4:$F62)+SUMIF($U$4:$U62,CONCATENATE("ReinvDiv",$C62),$F$4:$F62)+SUMIF($U$4:$U62,CONCATENATE("StkSplit",$C62),$F$4:$F62)-SUMIF($U$4:$U62,CONCATENATE("Sell",$C62),$F$4:$F62))</f>
        <v>20</v>
      </c>
      <c r="AC62" s="3">
        <f>IF(B62="Sell",F62*INDEX(V:V,LOOKUP(2,1/(X$4:X61=CONCATENATE(C62,"_ACB")),ROW(V$4:V61))),0)</f>
        <v>0</v>
      </c>
    </row>
    <row r="63" spans="1:29" x14ac:dyDescent="0.25">
      <c r="A63" s="20">
        <v>37027</v>
      </c>
      <c r="B63" t="s">
        <v>43</v>
      </c>
      <c r="C63" t="s">
        <v>36</v>
      </c>
      <c r="D63" s="3">
        <v>7.95</v>
      </c>
      <c r="M63" s="21">
        <f t="shared" si="1"/>
        <v>7.95</v>
      </c>
      <c r="N63" s="8">
        <f t="shared" si="9"/>
        <v>7.95</v>
      </c>
      <c r="O63" s="25">
        <f t="shared" si="10"/>
        <v>3855.1200000000008</v>
      </c>
      <c r="P63" s="8">
        <f t="shared" si="3"/>
        <v>0</v>
      </c>
      <c r="Q63" s="4">
        <f>IF(AND(S63&gt;=[1]eRRSP_Rpt!$C$6,S63&lt;=[1]eRRSP_Rpt!$C$7),1,0)</f>
        <v>0</v>
      </c>
      <c r="R63" s="4"/>
      <c r="S63" s="4">
        <f t="shared" si="4"/>
        <v>2001</v>
      </c>
      <c r="T63" s="4"/>
      <c r="U63" s="4" t="str">
        <f t="shared" si="6"/>
        <v>IntIncTDW</v>
      </c>
      <c r="V63" s="23">
        <f>IFERROR(IF(AND(AB63&gt;0,B63&lt;&gt;"Sell"),(AA63-SUMIF(C$4:C62,C63,AC$4:AC63))/AB63,0),"")</f>
        <v>0</v>
      </c>
      <c r="W63" s="24" t="str">
        <f t="shared" si="7"/>
        <v/>
      </c>
      <c r="X63" s="25" t="str">
        <f t="shared" si="0"/>
        <v/>
      </c>
      <c r="Y63" s="10" t="str">
        <f>IF(S64&lt;&gt;eRRSP_Tx_Table[[#This Row],[Year]],SUMIFS($W$4:$W63,$S$4:$S63,eRRSP_Tx_Table[[#This Row],[Year]],$W$4:$W63,"&gt;0"),"")</f>
        <v/>
      </c>
      <c r="Z63" s="10" t="str">
        <f>IF(S64&lt;&gt;eRRSP_Tx_Table[[#This Row],[Year]],SUMIFS($W$4:$W63,$S$4:$S63,eRRSP_Tx_Table[[#This Row],[Year]],$W$4:$W63,"&lt;0"),"")</f>
        <v/>
      </c>
      <c r="AA63" s="3">
        <f>(SUMIF($U$4:$U63,CONCATENATE("Buy",$C63),$N$4:$N63)+SUMIF($U$4:$U63,CONCATENATE("ReinvDiv",$C63),$N$4:$N63))</f>
        <v>0</v>
      </c>
      <c r="AB63" s="3">
        <f>(SUMIF($U$4:$U63,CONCATENATE("Buy",$C63),$F$4:$F63)+SUMIF($U$4:$U63,CONCATENATE("ReinvDiv",$C63),$F$4:$F63)+SUMIF($U$4:$U63,CONCATENATE("StkSplit",$C63),$F$4:$F63)-SUMIF($U$4:$U63,CONCATENATE("Sell",$C63),$F$4:$F63))</f>
        <v>0</v>
      </c>
      <c r="AC63" s="3">
        <f>IF(B63="Sell",F63*INDEX(V:V,LOOKUP(2,1/(X$4:X62=CONCATENATE(C63,"_ACB")),ROW(V$4:V62))),0)</f>
        <v>0</v>
      </c>
    </row>
    <row r="64" spans="1:29" x14ac:dyDescent="0.25">
      <c r="A64" s="20">
        <v>37042</v>
      </c>
      <c r="B64" t="s">
        <v>42</v>
      </c>
      <c r="C64" t="s">
        <v>47</v>
      </c>
      <c r="D64" s="3">
        <v>1.36</v>
      </c>
      <c r="M64" s="21">
        <f t="shared" si="1"/>
        <v>1.36</v>
      </c>
      <c r="N64" s="8">
        <f t="shared" si="9"/>
        <v>1.36</v>
      </c>
      <c r="O64" s="25">
        <f t="shared" si="10"/>
        <v>3856.4800000000009</v>
      </c>
      <c r="P64" s="8">
        <f t="shared" si="3"/>
        <v>0</v>
      </c>
      <c r="Q64" s="4">
        <f>IF(AND(S64&gt;=[1]eRRSP_Rpt!$C$6,S64&lt;=[1]eRRSP_Rpt!$C$7),1,0)</f>
        <v>0</v>
      </c>
      <c r="R64" s="4"/>
      <c r="S64" s="4">
        <f t="shared" si="4"/>
        <v>2001</v>
      </c>
      <c r="T64" s="4"/>
      <c r="U64" s="4" t="str">
        <f t="shared" si="6"/>
        <v>DivBombardier</v>
      </c>
      <c r="V64" s="23">
        <f>IFERROR(IF(AND(AB64&gt;0,B64&lt;&gt;"Sell"),(AA64-SUMIF(C$4:C63,C64,AC$4:AC64))/AB64,0),"")</f>
        <v>-23.216666666666665</v>
      </c>
      <c r="W64" s="24" t="str">
        <f t="shared" si="7"/>
        <v/>
      </c>
      <c r="X64" s="25" t="str">
        <f t="shared" si="0"/>
        <v>Bombardier_ACB</v>
      </c>
      <c r="Y64" s="10" t="str">
        <f>IF(S65&lt;&gt;eRRSP_Tx_Table[[#This Row],[Year]],SUMIFS($W$4:$W64,$S$4:$S64,eRRSP_Tx_Table[[#This Row],[Year]],$W$4:$W64,"&gt;0"),"")</f>
        <v/>
      </c>
      <c r="Z64" s="10" t="str">
        <f>IF(S65&lt;&gt;eRRSP_Tx_Table[[#This Row],[Year]],SUMIFS($W$4:$W64,$S$4:$S64,eRRSP_Tx_Table[[#This Row],[Year]],$W$4:$W64,"&lt;0"),"")</f>
        <v/>
      </c>
      <c r="AA64" s="3">
        <f>(SUMIF($U$4:$U64,CONCATENATE("Buy",$C64),$N$4:$N64)+SUMIF($U$4:$U64,CONCATENATE("ReinvDiv",$C64),$N$4:$N64))</f>
        <v>-696.5</v>
      </c>
      <c r="AB64" s="3">
        <f>(SUMIF($U$4:$U64,CONCATENATE("Buy",$C64),$F$4:$F64)+SUMIF($U$4:$U64,CONCATENATE("ReinvDiv",$C64),$F$4:$F64)+SUMIF($U$4:$U64,CONCATENATE("StkSplit",$C64),$F$4:$F64)-SUMIF($U$4:$U64,CONCATENATE("Sell",$C64),$F$4:$F64))</f>
        <v>30</v>
      </c>
      <c r="AC64" s="3">
        <f>IF(B64="Sell",F64*INDEX(V:V,LOOKUP(2,1/(X$4:X63=CONCATENATE(C64,"_ACB")),ROW(V$4:V63))),0)</f>
        <v>0</v>
      </c>
    </row>
    <row r="65" spans="1:29" x14ac:dyDescent="0.25">
      <c r="A65" s="20">
        <v>37043</v>
      </c>
      <c r="B65" t="s">
        <v>42</v>
      </c>
      <c r="C65" t="s">
        <v>33</v>
      </c>
      <c r="D65" s="3">
        <v>25.2</v>
      </c>
      <c r="M65" s="21">
        <f t="shared" si="1"/>
        <v>25.2</v>
      </c>
      <c r="N65" s="8">
        <f t="shared" si="9"/>
        <v>25.2</v>
      </c>
      <c r="O65" s="25">
        <f t="shared" si="10"/>
        <v>3881.6800000000007</v>
      </c>
      <c r="P65" s="8">
        <f t="shared" si="3"/>
        <v>0</v>
      </c>
      <c r="Q65" s="4">
        <f>IF(AND(S65&gt;=[1]eRRSP_Rpt!$C$6,S65&lt;=[1]eRRSP_Rpt!$C$7),1,0)</f>
        <v>0</v>
      </c>
      <c r="R65" s="4"/>
      <c r="S65" s="4">
        <f t="shared" si="4"/>
        <v>2001</v>
      </c>
      <c r="T65" s="4"/>
      <c r="U65" s="4" t="str">
        <f t="shared" si="6"/>
        <v>DivEnbridge</v>
      </c>
      <c r="V65" s="23">
        <f>IFERROR(IF(AND(AB65&gt;0,B65&lt;&gt;"Sell"),(AA65-SUMIF(C$4:C64,C65,AC$4:AC65))/AB65,0),"")</f>
        <v>-25.718055555555555</v>
      </c>
      <c r="W65" s="24" t="str">
        <f t="shared" si="7"/>
        <v/>
      </c>
      <c r="X65" s="25" t="str">
        <f t="shared" si="0"/>
        <v>Enbridge_ACB</v>
      </c>
      <c r="Y65" s="10" t="str">
        <f>IF(S66&lt;&gt;eRRSP_Tx_Table[[#This Row],[Year]],SUMIFS($W$4:$W65,$S$4:$S65,eRRSP_Tx_Table[[#This Row],[Year]],$W$4:$W65,"&gt;0"),"")</f>
        <v/>
      </c>
      <c r="Z65" s="10" t="str">
        <f>IF(S66&lt;&gt;eRRSP_Tx_Table[[#This Row],[Year]],SUMIFS($W$4:$W65,$S$4:$S65,eRRSP_Tx_Table[[#This Row],[Year]],$W$4:$W65,"&lt;0"),"")</f>
        <v/>
      </c>
      <c r="AA65" s="3">
        <f>(SUMIF($U$4:$U65,CONCATENATE("Buy",$C65),$N$4:$N65)+SUMIF($U$4:$U65,CONCATENATE("ReinvDiv",$C65),$N$4:$N65))</f>
        <v>-1851.7</v>
      </c>
      <c r="AB65" s="3">
        <f>(SUMIF($U$4:$U65,CONCATENATE("Buy",$C65),$F$4:$F65)+SUMIF($U$4:$U65,CONCATENATE("ReinvDiv",$C65),$F$4:$F65)+SUMIF($U$4:$U65,CONCATENATE("StkSplit",$C65),$F$4:$F65)-SUMIF($U$4:$U65,CONCATENATE("Sell",$C65),$F$4:$F65))</f>
        <v>72</v>
      </c>
      <c r="AC65" s="3">
        <f>IF(B65="Sell",F65*INDEX(V:V,LOOKUP(2,1/(X$4:X64=CONCATENATE(C65,"_ACB")),ROW(V$4:V64))),0)</f>
        <v>0</v>
      </c>
    </row>
    <row r="66" spans="1:29" x14ac:dyDescent="0.25">
      <c r="A66" s="20">
        <v>37043</v>
      </c>
      <c r="B66" t="s">
        <v>41</v>
      </c>
      <c r="C66" t="s">
        <v>39</v>
      </c>
      <c r="D66" s="3">
        <v>13.25</v>
      </c>
      <c r="E66">
        <v>8.7748340000000002</v>
      </c>
      <c r="F66" s="3">
        <v>1.51</v>
      </c>
      <c r="M66" s="21">
        <f t="shared" si="1"/>
        <v>13.25</v>
      </c>
      <c r="N66" s="8">
        <f t="shared" si="9"/>
        <v>-13.25</v>
      </c>
      <c r="O66" s="25">
        <f t="shared" si="10"/>
        <v>3881.6800000000007</v>
      </c>
      <c r="P66" s="8">
        <f t="shared" si="3"/>
        <v>0</v>
      </c>
      <c r="Q66" s="4">
        <f>IF(AND(S66&gt;=[1]eRRSP_Rpt!$C$6,S66&lt;=[1]eRRSP_Rpt!$C$7),1,0)</f>
        <v>0</v>
      </c>
      <c r="R66" s="4"/>
      <c r="S66" s="4">
        <f t="shared" si="4"/>
        <v>2001</v>
      </c>
      <c r="T66" s="4"/>
      <c r="U66" s="4" t="str">
        <f t="shared" si="6"/>
        <v>ReinvDivTrimark Income Growth</v>
      </c>
      <c r="V66" s="23">
        <f>IFERROR(IF(AND(AB66&gt;0,B66&lt;&gt;"Sell"),(AA66-SUMIF(C$4:C65,C66,AC$4:AC66))/AB66,0),"")</f>
        <v>-7.7135307551478762</v>
      </c>
      <c r="W66" s="24" t="str">
        <f t="shared" si="7"/>
        <v/>
      </c>
      <c r="X66" s="25" t="str">
        <f t="shared" si="0"/>
        <v>Trimark Income Growth_ACB</v>
      </c>
      <c r="Y66" s="10" t="str">
        <f>IF(S67&lt;&gt;eRRSP_Tx_Table[[#This Row],[Year]],SUMIFS($W$4:$W66,$S$4:$S66,eRRSP_Tx_Table[[#This Row],[Year]],$W$4:$W66,"&gt;0"),"")</f>
        <v/>
      </c>
      <c r="Z66" s="10" t="str">
        <f>IF(S67&lt;&gt;eRRSP_Tx_Table[[#This Row],[Year]],SUMIFS($W$4:$W66,$S$4:$S66,eRRSP_Tx_Table[[#This Row],[Year]],$W$4:$W66,"&lt;0"),"")</f>
        <v/>
      </c>
      <c r="AA66" s="3">
        <f>(SUMIF($U$4:$U66,CONCATENATE("Buy",$C66),$N$4:$N66)+SUMIF($U$4:$U66,CONCATENATE("ReinvDiv",$C66),$N$4:$N66))</f>
        <v>-2043.4299999999998</v>
      </c>
      <c r="AB66" s="3">
        <f>(SUMIF($U$4:$U66,CONCATENATE("Buy",$C66),$F$4:$F66)+SUMIF($U$4:$U66,CONCATENATE("ReinvDiv",$C66),$F$4:$F66)+SUMIF($U$4:$U66,CONCATENATE("StkSplit",$C66),$F$4:$F66)-SUMIF($U$4:$U66,CONCATENATE("Sell",$C66),$F$4:$F66))</f>
        <v>264.91500000000002</v>
      </c>
      <c r="AC66" s="3">
        <f>IF(B66="Sell",F66*INDEX(V:V,LOOKUP(2,1/(X$4:X65=CONCATENATE(C66,"_ACB")),ROW(V$4:V65))),0)</f>
        <v>0</v>
      </c>
    </row>
    <row r="67" spans="1:29" x14ac:dyDescent="0.25">
      <c r="A67" s="20">
        <v>37058</v>
      </c>
      <c r="B67" t="s">
        <v>43</v>
      </c>
      <c r="C67" t="s">
        <v>36</v>
      </c>
      <c r="D67" s="3">
        <v>7.76</v>
      </c>
      <c r="M67" s="21">
        <f t="shared" si="1"/>
        <v>7.76</v>
      </c>
      <c r="N67" s="8">
        <f t="shared" si="9"/>
        <v>7.76</v>
      </c>
      <c r="O67" s="25">
        <f t="shared" si="10"/>
        <v>3889.440000000001</v>
      </c>
      <c r="P67" s="8">
        <f t="shared" si="3"/>
        <v>0</v>
      </c>
      <c r="Q67" s="4">
        <f>IF(AND(S67&gt;=[1]eRRSP_Rpt!$C$6,S67&lt;=[1]eRRSP_Rpt!$C$7),1,0)</f>
        <v>0</v>
      </c>
      <c r="R67" s="4"/>
      <c r="S67" s="4">
        <f t="shared" si="4"/>
        <v>2001</v>
      </c>
      <c r="T67" s="4"/>
      <c r="U67" s="4" t="str">
        <f t="shared" si="6"/>
        <v>IntIncTDW</v>
      </c>
      <c r="V67" s="23">
        <f>IFERROR(IF(AND(AB67&gt;0,B67&lt;&gt;"Sell"),(AA67-SUMIF(C$4:C66,C67,AC$4:AC67))/AB67,0),"")</f>
        <v>0</v>
      </c>
      <c r="W67" s="24" t="str">
        <f t="shared" si="7"/>
        <v/>
      </c>
      <c r="X67" s="25" t="str">
        <f t="shared" si="0"/>
        <v/>
      </c>
      <c r="Y67" s="10" t="str">
        <f>IF(S68&lt;&gt;eRRSP_Tx_Table[[#This Row],[Year]],SUMIFS($W$4:$W67,$S$4:$S67,eRRSP_Tx_Table[[#This Row],[Year]],$W$4:$W67,"&gt;0"),"")</f>
        <v/>
      </c>
      <c r="Z67" s="10" t="str">
        <f>IF(S68&lt;&gt;eRRSP_Tx_Table[[#This Row],[Year]],SUMIFS($W$4:$W67,$S$4:$S67,eRRSP_Tx_Table[[#This Row],[Year]],$W$4:$W67,"&lt;0"),"")</f>
        <v/>
      </c>
      <c r="AA67" s="3">
        <f>(SUMIF($U$4:$U67,CONCATENATE("Buy",$C67),$N$4:$N67)+SUMIF($U$4:$U67,CONCATENATE("ReinvDiv",$C67),$N$4:$N67))</f>
        <v>0</v>
      </c>
      <c r="AB67" s="3">
        <f>(SUMIF($U$4:$U67,CONCATENATE("Buy",$C67),$F$4:$F67)+SUMIF($U$4:$U67,CONCATENATE("ReinvDiv",$C67),$F$4:$F67)+SUMIF($U$4:$U67,CONCATENATE("StkSplit",$C67),$F$4:$F67)-SUMIF($U$4:$U67,CONCATENATE("Sell",$C67),$F$4:$F67))</f>
        <v>0</v>
      </c>
      <c r="AC67" s="3">
        <f>IF(B67="Sell",F67*INDEX(V:V,LOOKUP(2,1/(X$4:X66=CONCATENATE(C67,"_ACB")),ROW(V$4:V66))),0)</f>
        <v>0</v>
      </c>
    </row>
    <row r="68" spans="1:29" x14ac:dyDescent="0.25">
      <c r="A68" s="20">
        <v>37069</v>
      </c>
      <c r="B68" t="s">
        <v>32</v>
      </c>
      <c r="C68" t="s">
        <v>56</v>
      </c>
      <c r="D68" s="3">
        <v>1500</v>
      </c>
      <c r="E68">
        <v>17.640094000000001</v>
      </c>
      <c r="F68" s="3">
        <v>82.766000000000005</v>
      </c>
      <c r="G68">
        <v>40</v>
      </c>
      <c r="M68" s="21">
        <f t="shared" si="1"/>
        <v>1460</v>
      </c>
      <c r="N68" s="8">
        <f t="shared" si="9"/>
        <v>-1500</v>
      </c>
      <c r="O68" s="25">
        <f t="shared" si="10"/>
        <v>2389.440000000001</v>
      </c>
      <c r="P68" s="8">
        <f t="shared" si="3"/>
        <v>0</v>
      </c>
      <c r="Q68" s="4">
        <f>IF(AND(S68&gt;=[1]eRRSP_Rpt!$C$6,S68&lt;=[1]eRRSP_Rpt!$C$7),1,0)</f>
        <v>0</v>
      </c>
      <c r="R68" s="4"/>
      <c r="S68" s="4">
        <f t="shared" si="4"/>
        <v>2001</v>
      </c>
      <c r="T68" s="4"/>
      <c r="U68" s="4" t="str">
        <f t="shared" si="6"/>
        <v>BuyAltamira Sci&amp;Tech</v>
      </c>
      <c r="V68" s="23">
        <f>IFERROR(IF(AND(AB68&gt;0,B68&lt;&gt;"Sell"),(AA68-SUMIF(C$4:C67,C68,AC$4:AC68))/AB68,0),"")</f>
        <v>-18.123383998260152</v>
      </c>
      <c r="W68" s="24" t="str">
        <f t="shared" si="7"/>
        <v/>
      </c>
      <c r="X68" s="25" t="str">
        <f t="shared" ref="X68:X131" si="11">IF(V68,CONCATENATE(C68,"_ACB"),"")</f>
        <v>Altamira Sci&amp;Tech_ACB</v>
      </c>
      <c r="Y68" s="10" t="str">
        <f>IF(S69&lt;&gt;eRRSP_Tx_Table[[#This Row],[Year]],SUMIFS($W$4:$W68,$S$4:$S68,eRRSP_Tx_Table[[#This Row],[Year]],$W$4:$W68,"&gt;0"),"")</f>
        <v/>
      </c>
      <c r="Z68" s="10" t="str">
        <f>IF(S69&lt;&gt;eRRSP_Tx_Table[[#This Row],[Year]],SUMIFS($W$4:$W68,$S$4:$S68,eRRSP_Tx_Table[[#This Row],[Year]],$W$4:$W68,"&lt;0"),"")</f>
        <v/>
      </c>
      <c r="AA68" s="3">
        <f>(SUMIF($U$4:$U68,CONCATENATE("Buy",$C68),$N$4:$N68)+SUMIF($U$4:$U68,CONCATENATE("ReinvDiv",$C68),$N$4:$N68))</f>
        <v>-1500</v>
      </c>
      <c r="AB68" s="3">
        <f>(SUMIF($U$4:$U68,CONCATENATE("Buy",$C68),$F$4:$F68)+SUMIF($U$4:$U68,CONCATENATE("ReinvDiv",$C68),$F$4:$F68)+SUMIF($U$4:$U68,CONCATENATE("StkSplit",$C68),$F$4:$F68)-SUMIF($U$4:$U68,CONCATENATE("Sell",$C68),$F$4:$F68))</f>
        <v>82.766000000000005</v>
      </c>
      <c r="AC68" s="3">
        <f>IF(B68="Sell",F68*INDEX(V:V,LOOKUP(2,1/(X$4:X67=CONCATENATE(C68,"_ACB")),ROW(V$4:V67))),0)</f>
        <v>0</v>
      </c>
    </row>
    <row r="69" spans="1:29" x14ac:dyDescent="0.25">
      <c r="A69" s="20">
        <v>37070</v>
      </c>
      <c r="B69" t="s">
        <v>42</v>
      </c>
      <c r="C69" t="s">
        <v>53</v>
      </c>
      <c r="D69" s="3">
        <v>28</v>
      </c>
      <c r="M69" s="21">
        <f t="shared" si="1"/>
        <v>28</v>
      </c>
      <c r="N69" s="8">
        <f t="shared" si="9"/>
        <v>28</v>
      </c>
      <c r="O69" s="25">
        <f t="shared" si="10"/>
        <v>2417.440000000001</v>
      </c>
      <c r="P69" s="8">
        <f t="shared" si="3"/>
        <v>0</v>
      </c>
      <c r="Q69" s="4">
        <f>IF(AND(S69&gt;=[1]eRRSP_Rpt!$C$6,S69&lt;=[1]eRRSP_Rpt!$C$7),1,0)</f>
        <v>0</v>
      </c>
      <c r="R69" s="4"/>
      <c r="S69" s="4">
        <f t="shared" ref="S69:S134" si="12">YEAR(A69)</f>
        <v>2001</v>
      </c>
      <c r="T69" s="4"/>
      <c r="U69" s="4" t="str">
        <f t="shared" si="6"/>
        <v>DivTD CDN Bond</v>
      </c>
      <c r="V69" s="23">
        <f>IFERROR(IF(AND(AB69&gt;0,B69&lt;&gt;"Sell"),(AA69-SUMIF(C$4:C68,C69,AC$4:AC69))/AB69,0),"")</f>
        <v>-12.100018755029071</v>
      </c>
      <c r="W69" s="24" t="str">
        <f t="shared" ref="W69:W132" si="13">IF(B69="Sell",N69+AC69,"")</f>
        <v/>
      </c>
      <c r="X69" s="25" t="str">
        <f t="shared" si="11"/>
        <v>TD CDN Bond_ACB</v>
      </c>
      <c r="Y69" s="10" t="str">
        <f>IF(S70&lt;&gt;eRRSP_Tx_Table[[#This Row],[Year]],SUMIFS($W$4:$W69,$S$4:$S69,eRRSP_Tx_Table[[#This Row],[Year]],$W$4:$W69,"&gt;0"),"")</f>
        <v/>
      </c>
      <c r="Z69" s="10" t="str">
        <f>IF(S70&lt;&gt;eRRSP_Tx_Table[[#This Row],[Year]],SUMIFS($W$4:$W69,$S$4:$S69,eRRSP_Tx_Table[[#This Row],[Year]],$W$4:$W69,"&lt;0"),"")</f>
        <v/>
      </c>
      <c r="AA69" s="3">
        <f>(SUMIF($U$4:$U69,CONCATENATE("Buy",$C69),$N$4:$N69)+SUMIF($U$4:$U69,CONCATENATE("ReinvDiv",$C69),$N$4:$N69))</f>
        <v>-2000</v>
      </c>
      <c r="AB69" s="3">
        <f>(SUMIF($U$4:$U69,CONCATENATE("Buy",$C69),$F$4:$F69)+SUMIF($U$4:$U69,CONCATENATE("ReinvDiv",$C69),$F$4:$F69)+SUMIF($U$4:$U69,CONCATENATE("StkSplit",$C69),$F$4:$F69)-SUMIF($U$4:$U69,CONCATENATE("Sell",$C69),$F$4:$F69))</f>
        <v>165.28899999999999</v>
      </c>
      <c r="AC69" s="3">
        <f>IF(B69="Sell",F69*INDEX(V:V,LOOKUP(2,1/(X$4:X68=CONCATENATE(C69,"_ACB")),ROW(V$4:V68))),0)</f>
        <v>0</v>
      </c>
    </row>
    <row r="70" spans="1:29" x14ac:dyDescent="0.25">
      <c r="A70" s="20">
        <v>37071</v>
      </c>
      <c r="B70" t="s">
        <v>42</v>
      </c>
      <c r="C70" t="s">
        <v>44</v>
      </c>
      <c r="D70" s="3">
        <v>0.85</v>
      </c>
      <c r="M70" s="21">
        <f t="shared" si="1"/>
        <v>0.85</v>
      </c>
      <c r="N70" s="8">
        <f t="shared" si="9"/>
        <v>0.85</v>
      </c>
      <c r="O70" s="25">
        <f t="shared" si="10"/>
        <v>2418.2900000000009</v>
      </c>
      <c r="P70" s="8">
        <f t="shared" si="3"/>
        <v>0</v>
      </c>
      <c r="Q70" s="4">
        <f>IF(AND(S70&gt;=[1]eRRSP_Rpt!$C$6,S70&lt;=[1]eRRSP_Rpt!$C$7),1,0)</f>
        <v>0</v>
      </c>
      <c r="R70" s="4"/>
      <c r="S70" s="4">
        <f t="shared" si="12"/>
        <v>2001</v>
      </c>
      <c r="T70" s="4"/>
      <c r="U70" s="4" t="str">
        <f t="shared" si="6"/>
        <v>DivNortel</v>
      </c>
      <c r="V70" s="23">
        <f>IFERROR(IF(AND(AB70&gt;0,B70&lt;&gt;"Sell"),(AA70-SUMIF(C$4:C69,C70,AC$4:AC70))/AB70,0),"")</f>
        <v>-40.156666666666666</v>
      </c>
      <c r="W70" s="24" t="str">
        <f t="shared" si="13"/>
        <v/>
      </c>
      <c r="X70" s="25" t="str">
        <f t="shared" si="11"/>
        <v>Nortel_ACB</v>
      </c>
      <c r="Y70" s="10" t="str">
        <f>IF(S71&lt;&gt;eRRSP_Tx_Table[[#This Row],[Year]],SUMIFS($W$4:$W70,$S$4:$S70,eRRSP_Tx_Table[[#This Row],[Year]],$W$4:$W70,"&gt;0"),"")</f>
        <v/>
      </c>
      <c r="Z70" s="10" t="str">
        <f>IF(S71&lt;&gt;eRRSP_Tx_Table[[#This Row],[Year]],SUMIFS($W$4:$W70,$S$4:$S70,eRRSP_Tx_Table[[#This Row],[Year]],$W$4:$W70,"&lt;0"),"")</f>
        <v/>
      </c>
      <c r="AA70" s="3">
        <f>(SUMIF($U$4:$U70,CONCATENATE("Buy",$C70),$N$4:$N70)+SUMIF($U$4:$U70,CONCATENATE("ReinvDiv",$C70),$N$4:$N70))</f>
        <v>-1204.7</v>
      </c>
      <c r="AB70" s="3">
        <f>(SUMIF($U$4:$U70,CONCATENATE("Buy",$C70),$F$4:$F70)+SUMIF($U$4:$U70,CONCATENATE("ReinvDiv",$C70),$F$4:$F70)+SUMIF($U$4:$U70,CONCATENATE("StkSplit",$C70),$F$4:$F70)-SUMIF($U$4:$U70,CONCATENATE("Sell",$C70),$F$4:$F70))</f>
        <v>30</v>
      </c>
      <c r="AC70" s="3">
        <f>IF(B70="Sell",F70*INDEX(V:V,LOOKUP(2,1/(X$4:X69=CONCATENATE(C70,"_ACB")),ROW(V$4:V69))),0)</f>
        <v>0</v>
      </c>
    </row>
    <row r="71" spans="1:29" x14ac:dyDescent="0.25">
      <c r="A71" s="20">
        <v>37071</v>
      </c>
      <c r="B71" t="s">
        <v>41</v>
      </c>
      <c r="C71" t="s">
        <v>50</v>
      </c>
      <c r="D71" s="3">
        <v>26.36</v>
      </c>
      <c r="E71">
        <v>6.32</v>
      </c>
      <c r="F71" s="3">
        <v>4.1710000000000003</v>
      </c>
      <c r="M71" s="21">
        <f t="shared" si="1"/>
        <v>26.36</v>
      </c>
      <c r="N71" s="8">
        <f t="shared" si="9"/>
        <v>-26.36</v>
      </c>
      <c r="O71" s="25">
        <f t="shared" si="10"/>
        <v>2418.2900000000009</v>
      </c>
      <c r="P71" s="8">
        <f t="shared" si="3"/>
        <v>0</v>
      </c>
      <c r="Q71" s="4">
        <f>IF(AND(S71&gt;=[1]eRRSP_Rpt!$C$6,S71&lt;=[1]eRRSP_Rpt!$C$7),1,0)</f>
        <v>0</v>
      </c>
      <c r="R71" s="4"/>
      <c r="S71" s="4">
        <f t="shared" si="12"/>
        <v>2001</v>
      </c>
      <c r="T71" s="4"/>
      <c r="U71" s="4" t="str">
        <f t="shared" si="6"/>
        <v>ReinvDivTalvest Global Health Care RSP</v>
      </c>
      <c r="V71" s="23">
        <f>IFERROR(IF(AND(AB71&gt;0,B71&lt;&gt;"Sell"),(AA71-SUMIF(C$4:C70,C71,AC$4:AC71))/AB71,0),"")</f>
        <v>-5.6998181417598053</v>
      </c>
      <c r="W71" s="24" t="str">
        <f t="shared" si="13"/>
        <v/>
      </c>
      <c r="X71" s="25" t="str">
        <f t="shared" si="11"/>
        <v>Talvest Global Health Care RSP_ACB</v>
      </c>
      <c r="Y71" s="10" t="str">
        <f>IF(S72&lt;&gt;eRRSP_Tx_Table[[#This Row],[Year]],SUMIFS($W$4:$W71,$S$4:$S71,eRRSP_Tx_Table[[#This Row],[Year]],$W$4:$W71,"&gt;0"),"")</f>
        <v/>
      </c>
      <c r="Z71" s="10" t="str">
        <f>IF(S72&lt;&gt;eRRSP_Tx_Table[[#This Row],[Year]],SUMIFS($W$4:$W71,$S$4:$S71,eRRSP_Tx_Table[[#This Row],[Year]],$W$4:$W71,"&lt;0"),"")</f>
        <v/>
      </c>
      <c r="AA71" s="3">
        <f>(SUMIF($U$4:$U71,CONCATENATE("Buy",$C71),$N$4:$N71)+SUMIF($U$4:$U71,CONCATENATE("ReinvDiv",$C71),$N$4:$N71))</f>
        <v>-1526.36</v>
      </c>
      <c r="AB71" s="3">
        <f>(SUMIF($U$4:$U71,CONCATENATE("Buy",$C71),$F$4:$F71)+SUMIF($U$4:$U71,CONCATENATE("ReinvDiv",$C71),$F$4:$F71)+SUMIF($U$4:$U71,CONCATENATE("StkSplit",$C71),$F$4:$F71)-SUMIF($U$4:$U71,CONCATENATE("Sell",$C71),$F$4:$F71))</f>
        <v>267.791</v>
      </c>
      <c r="AC71" s="3">
        <f>IF(B71="Sell",F71*INDEX(V:V,LOOKUP(2,1/(X$4:X70=CONCATENATE(C71,"_ACB")),ROW(V$4:V70))),0)</f>
        <v>0</v>
      </c>
    </row>
    <row r="72" spans="1:29" x14ac:dyDescent="0.25">
      <c r="A72" s="20">
        <v>37073</v>
      </c>
      <c r="B72" t="s">
        <v>42</v>
      </c>
      <c r="C72" t="s">
        <v>48</v>
      </c>
      <c r="D72" s="3">
        <v>7</v>
      </c>
      <c r="M72" s="21">
        <f t="shared" si="1"/>
        <v>7</v>
      </c>
      <c r="N72" s="8">
        <f t="shared" si="9"/>
        <v>7</v>
      </c>
      <c r="O72" s="25">
        <f t="shared" si="10"/>
        <v>2425.2900000000009</v>
      </c>
      <c r="P72" s="8">
        <f t="shared" si="3"/>
        <v>0</v>
      </c>
      <c r="Q72" s="4">
        <f>IF(AND(S72&gt;=[1]eRRSP_Rpt!$C$6,S72&lt;=[1]eRRSP_Rpt!$C$7),1,0)</f>
        <v>0</v>
      </c>
      <c r="R72" s="4"/>
      <c r="S72" s="4">
        <f t="shared" si="12"/>
        <v>2001</v>
      </c>
      <c r="T72" s="4"/>
      <c r="U72" s="4" t="str">
        <f t="shared" si="6"/>
        <v>DivTelus</v>
      </c>
      <c r="V72" s="23">
        <f>IFERROR(IF(AND(AB72&gt;0,B72&lt;&gt;"Sell"),(AA72-SUMIF(C$4:C71,C72,AC$4:AC72))/AB72,0),"")</f>
        <v>-40.450000000000003</v>
      </c>
      <c r="W72" s="24" t="str">
        <f t="shared" si="13"/>
        <v/>
      </c>
      <c r="X72" s="25" t="str">
        <f t="shared" si="11"/>
        <v>Telus_ACB</v>
      </c>
      <c r="Y72" s="10" t="str">
        <f>IF(S73&lt;&gt;eRRSP_Tx_Table[[#This Row],[Year]],SUMIFS($W$4:$W72,$S$4:$S72,eRRSP_Tx_Table[[#This Row],[Year]],$W$4:$W72,"&gt;0"),"")</f>
        <v/>
      </c>
      <c r="Z72" s="10" t="str">
        <f>IF(S73&lt;&gt;eRRSP_Tx_Table[[#This Row],[Year]],SUMIFS($W$4:$W72,$S$4:$S72,eRRSP_Tx_Table[[#This Row],[Year]],$W$4:$W72,"&lt;0"),"")</f>
        <v/>
      </c>
      <c r="AA72" s="3">
        <f>(SUMIF($U$4:$U72,CONCATENATE("Buy",$C72),$N$4:$N72)+SUMIF($U$4:$U72,CONCATENATE("ReinvDiv",$C72),$N$4:$N72))</f>
        <v>-809</v>
      </c>
      <c r="AB72" s="3">
        <f>(SUMIF($U$4:$U72,CONCATENATE("Buy",$C72),$F$4:$F72)+SUMIF($U$4:$U72,CONCATENATE("ReinvDiv",$C72),$F$4:$F72)+SUMIF($U$4:$U72,CONCATENATE("StkSplit",$C72),$F$4:$F72)-SUMIF($U$4:$U72,CONCATENATE("Sell",$C72),$F$4:$F72))</f>
        <v>20</v>
      </c>
      <c r="AC72" s="3">
        <f>IF(B72="Sell",F72*INDEX(V:V,LOOKUP(2,1/(X$4:X71=CONCATENATE(C72,"_ACB")),ROW(V$4:V71))),0)</f>
        <v>0</v>
      </c>
    </row>
    <row r="73" spans="1:29" x14ac:dyDescent="0.25">
      <c r="A73" s="20">
        <v>37087</v>
      </c>
      <c r="B73" t="s">
        <v>42</v>
      </c>
      <c r="C73" t="s">
        <v>46</v>
      </c>
      <c r="D73" s="3">
        <v>6</v>
      </c>
      <c r="M73" s="21">
        <f t="shared" ref="M73:M138" si="14">ROUND(IF(OR(B73="Buy",B73="Sell"),E73*F73,D73),2)</f>
        <v>6</v>
      </c>
      <c r="N73" s="8">
        <f t="shared" si="9"/>
        <v>6</v>
      </c>
      <c r="O73" s="25">
        <f t="shared" si="10"/>
        <v>2431.2900000000009</v>
      </c>
      <c r="P73" s="8">
        <f t="shared" ref="P73:P138" si="15">IF(OR($B73="Cash"),$N73,0)</f>
        <v>0</v>
      </c>
      <c r="Q73" s="4">
        <f>IF(AND(S73&gt;=[1]eRRSP_Rpt!$C$6,S73&lt;=[1]eRRSP_Rpt!$C$7),1,0)</f>
        <v>0</v>
      </c>
      <c r="R73" s="4"/>
      <c r="S73" s="4">
        <f t="shared" si="12"/>
        <v>2001</v>
      </c>
      <c r="T73" s="4"/>
      <c r="U73" s="4" t="str">
        <f t="shared" ref="U73:U138" si="16">CONCATENATE(B73,C73)</f>
        <v>DivBCE</v>
      </c>
      <c r="V73" s="23">
        <f>IFERROR(IF(AND(AB73&gt;0,B73&lt;&gt;"Sell"),(AA73-SUMIF(C$4:C72,C73,AC$4:AC73))/AB73,0),"")</f>
        <v>-40.450000000000003</v>
      </c>
      <c r="W73" s="24" t="str">
        <f t="shared" si="13"/>
        <v/>
      </c>
      <c r="X73" s="25" t="str">
        <f t="shared" si="11"/>
        <v>BCE_ACB</v>
      </c>
      <c r="Y73" s="10" t="str">
        <f>IF(S74&lt;&gt;eRRSP_Tx_Table[[#This Row],[Year]],SUMIFS($W$4:$W73,$S$4:$S73,eRRSP_Tx_Table[[#This Row],[Year]],$W$4:$W73,"&gt;0"),"")</f>
        <v/>
      </c>
      <c r="Z73" s="10" t="str">
        <f>IF(S74&lt;&gt;eRRSP_Tx_Table[[#This Row],[Year]],SUMIFS($W$4:$W73,$S$4:$S73,eRRSP_Tx_Table[[#This Row],[Year]],$W$4:$W73,"&lt;0"),"")</f>
        <v/>
      </c>
      <c r="AA73" s="3">
        <f>(SUMIF($U$4:$U73,CONCATENATE("Buy",$C73),$N$4:$N73)+SUMIF($U$4:$U73,CONCATENATE("ReinvDiv",$C73),$N$4:$N73))</f>
        <v>-809</v>
      </c>
      <c r="AB73" s="3">
        <f>(SUMIF($U$4:$U73,CONCATENATE("Buy",$C73),$F$4:$F73)+SUMIF($U$4:$U73,CONCATENATE("ReinvDiv",$C73),$F$4:$F73)+SUMIF($U$4:$U73,CONCATENATE("StkSplit",$C73),$F$4:$F73)-SUMIF($U$4:$U73,CONCATENATE("Sell",$C73),$F$4:$F73))</f>
        <v>20</v>
      </c>
      <c r="AC73" s="3">
        <f>IF(B73="Sell",F73*INDEX(V:V,LOOKUP(2,1/(X$4:X72=CONCATENATE(C73,"_ACB")),ROW(V$4:V72))),0)</f>
        <v>0</v>
      </c>
    </row>
    <row r="74" spans="1:29" x14ac:dyDescent="0.25">
      <c r="A74" s="20">
        <v>37088</v>
      </c>
      <c r="B74" t="s">
        <v>43</v>
      </c>
      <c r="C74" t="s">
        <v>36</v>
      </c>
      <c r="D74" s="3">
        <v>5.47</v>
      </c>
      <c r="M74" s="21">
        <f t="shared" si="14"/>
        <v>5.47</v>
      </c>
      <c r="N74" s="8">
        <f t="shared" si="9"/>
        <v>5.47</v>
      </c>
      <c r="O74" s="25">
        <f t="shared" si="10"/>
        <v>2436.7600000000007</v>
      </c>
      <c r="P74" s="8">
        <f t="shared" si="15"/>
        <v>0</v>
      </c>
      <c r="Q74" s="4">
        <f>IF(AND(S74&gt;=[1]eRRSP_Rpt!$C$6,S74&lt;=[1]eRRSP_Rpt!$C$7),1,0)</f>
        <v>0</v>
      </c>
      <c r="R74" s="4"/>
      <c r="S74" s="4">
        <f t="shared" si="12"/>
        <v>2001</v>
      </c>
      <c r="T74" s="4"/>
      <c r="U74" s="4" t="str">
        <f t="shared" si="16"/>
        <v>IntIncTDW</v>
      </c>
      <c r="V74" s="23">
        <f>IFERROR(IF(AND(AB74&gt;0,B74&lt;&gt;"Sell"),(AA74-SUMIF(C$4:C73,C74,AC$4:AC74))/AB74,0),"")</f>
        <v>0</v>
      </c>
      <c r="W74" s="24" t="str">
        <f t="shared" si="13"/>
        <v/>
      </c>
      <c r="X74" s="25" t="str">
        <f t="shared" si="11"/>
        <v/>
      </c>
      <c r="Y74" s="10" t="str">
        <f>IF(S75&lt;&gt;eRRSP_Tx_Table[[#This Row],[Year]],SUMIFS($W$4:$W74,$S$4:$S74,eRRSP_Tx_Table[[#This Row],[Year]],$W$4:$W74,"&gt;0"),"")</f>
        <v/>
      </c>
      <c r="Z74" s="10" t="str">
        <f>IF(S75&lt;&gt;eRRSP_Tx_Table[[#This Row],[Year]],SUMIFS($W$4:$W74,$S$4:$S74,eRRSP_Tx_Table[[#This Row],[Year]],$W$4:$W74,"&lt;0"),"")</f>
        <v/>
      </c>
      <c r="AA74" s="3">
        <f>(SUMIF($U$4:$U74,CONCATENATE("Buy",$C74),$N$4:$N74)+SUMIF($U$4:$U74,CONCATENATE("ReinvDiv",$C74),$N$4:$N74))</f>
        <v>0</v>
      </c>
      <c r="AB74" s="3">
        <f>(SUMIF($U$4:$U74,CONCATENATE("Buy",$C74),$F$4:$F74)+SUMIF($U$4:$U74,CONCATENATE("ReinvDiv",$C74),$F$4:$F74)+SUMIF($U$4:$U74,CONCATENATE("StkSplit",$C74),$F$4:$F74)-SUMIF($U$4:$U74,CONCATENATE("Sell",$C74),$F$4:$F74))</f>
        <v>0</v>
      </c>
      <c r="AC74" s="3">
        <f>IF(B74="Sell",F74*INDEX(V:V,LOOKUP(2,1/(X$4:X73=CONCATENATE(C74,"_ACB")),ROW(V$4:V73))),0)</f>
        <v>0</v>
      </c>
    </row>
    <row r="75" spans="1:29" x14ac:dyDescent="0.25">
      <c r="A75" s="20">
        <v>37103</v>
      </c>
      <c r="B75" t="s">
        <v>42</v>
      </c>
      <c r="C75" t="s">
        <v>47</v>
      </c>
      <c r="D75" s="3">
        <v>1.36</v>
      </c>
      <c r="M75" s="21">
        <f t="shared" si="14"/>
        <v>1.36</v>
      </c>
      <c r="N75" s="8">
        <f t="shared" si="9"/>
        <v>1.36</v>
      </c>
      <c r="O75" s="25">
        <f t="shared" si="10"/>
        <v>2438.1200000000008</v>
      </c>
      <c r="P75" s="8">
        <f t="shared" si="15"/>
        <v>0</v>
      </c>
      <c r="Q75" s="4">
        <f>IF(AND(S75&gt;=[1]eRRSP_Rpt!$C$6,S75&lt;=[1]eRRSP_Rpt!$C$7),1,0)</f>
        <v>0</v>
      </c>
      <c r="R75" s="4"/>
      <c r="S75" s="4">
        <f t="shared" si="12"/>
        <v>2001</v>
      </c>
      <c r="T75" s="4"/>
      <c r="U75" s="4" t="str">
        <f t="shared" si="16"/>
        <v>DivBombardier</v>
      </c>
      <c r="V75" s="23">
        <f>IFERROR(IF(AND(AB75&gt;0,B75&lt;&gt;"Sell"),(AA75-SUMIF(C$4:C74,C75,AC$4:AC75))/AB75,0),"")</f>
        <v>-23.216666666666665</v>
      </c>
      <c r="W75" s="24" t="str">
        <f t="shared" si="13"/>
        <v/>
      </c>
      <c r="X75" s="25" t="str">
        <f t="shared" si="11"/>
        <v>Bombardier_ACB</v>
      </c>
      <c r="Y75" s="10" t="str">
        <f>IF(S76&lt;&gt;eRRSP_Tx_Table[[#This Row],[Year]],SUMIFS($W$4:$W75,$S$4:$S75,eRRSP_Tx_Table[[#This Row],[Year]],$W$4:$W75,"&gt;0"),"")</f>
        <v/>
      </c>
      <c r="Z75" s="10" t="str">
        <f>IF(S76&lt;&gt;eRRSP_Tx_Table[[#This Row],[Year]],SUMIFS($W$4:$W75,$S$4:$S75,eRRSP_Tx_Table[[#This Row],[Year]],$W$4:$W75,"&lt;0"),"")</f>
        <v/>
      </c>
      <c r="AA75" s="3">
        <f>(SUMIF($U$4:$U75,CONCATENATE("Buy",$C75),$N$4:$N75)+SUMIF($U$4:$U75,CONCATENATE("ReinvDiv",$C75),$N$4:$N75))</f>
        <v>-696.5</v>
      </c>
      <c r="AB75" s="3">
        <f>(SUMIF($U$4:$U75,CONCATENATE("Buy",$C75),$F$4:$F75)+SUMIF($U$4:$U75,CONCATENATE("ReinvDiv",$C75),$F$4:$F75)+SUMIF($U$4:$U75,CONCATENATE("StkSplit",$C75),$F$4:$F75)-SUMIF($U$4:$U75,CONCATENATE("Sell",$C75),$F$4:$F75))</f>
        <v>30</v>
      </c>
      <c r="AC75" s="3">
        <f>IF(B75="Sell",F75*INDEX(V:V,LOOKUP(2,1/(X$4:X74=CONCATENATE(C75,"_ACB")),ROW(V$4:V74))),0)</f>
        <v>0</v>
      </c>
    </row>
    <row r="76" spans="1:29" x14ac:dyDescent="0.25">
      <c r="A76" s="20">
        <v>37103</v>
      </c>
      <c r="B76" t="s">
        <v>42</v>
      </c>
      <c r="C76" t="s">
        <v>45</v>
      </c>
      <c r="D76" s="3">
        <v>5.6</v>
      </c>
      <c r="M76" s="21">
        <f t="shared" si="14"/>
        <v>5.6</v>
      </c>
      <c r="N76" s="8">
        <f t="shared" si="9"/>
        <v>5.6</v>
      </c>
      <c r="O76" s="25">
        <f t="shared" si="10"/>
        <v>2443.7200000000007</v>
      </c>
      <c r="P76" s="8">
        <f t="shared" si="15"/>
        <v>0</v>
      </c>
      <c r="Q76" s="4">
        <f>IF(AND(S76&gt;=[1]eRRSP_Rpt!$C$6,S76&lt;=[1]eRRSP_Rpt!$C$7),1,0)</f>
        <v>0</v>
      </c>
      <c r="R76" s="4"/>
      <c r="S76" s="4">
        <f t="shared" si="12"/>
        <v>2001</v>
      </c>
      <c r="T76" s="4"/>
      <c r="U76" s="4" t="str">
        <f t="shared" si="16"/>
        <v>DivTD Bank</v>
      </c>
      <c r="V76" s="23">
        <f>IFERROR(IF(AND(AB76&gt;0,B76&lt;&gt;"Sell"),(AA76-SUMIF(C$4:C75,C76,AC$4:AC76))/AB76,0),"")</f>
        <v>-44.29</v>
      </c>
      <c r="W76" s="24" t="str">
        <f t="shared" si="13"/>
        <v/>
      </c>
      <c r="X76" s="25" t="str">
        <f t="shared" si="11"/>
        <v>TD Bank_ACB</v>
      </c>
      <c r="Y76" s="10" t="str">
        <f>IF(S77&lt;&gt;eRRSP_Tx_Table[[#This Row],[Year]],SUMIFS($W$4:$W76,$S$4:$S76,eRRSP_Tx_Table[[#This Row],[Year]],$W$4:$W76,"&gt;0"),"")</f>
        <v/>
      </c>
      <c r="Z76" s="10" t="str">
        <f>IF(S77&lt;&gt;eRRSP_Tx_Table[[#This Row],[Year]],SUMIFS($W$4:$W76,$S$4:$S76,eRRSP_Tx_Table[[#This Row],[Year]],$W$4:$W76,"&lt;0"),"")</f>
        <v/>
      </c>
      <c r="AA76" s="3">
        <f>(SUMIF($U$4:$U76,CONCATENATE("Buy",$C76),$N$4:$N76)+SUMIF($U$4:$U76,CONCATENATE("ReinvDiv",$C76),$N$4:$N76))</f>
        <v>-885.8</v>
      </c>
      <c r="AB76" s="3">
        <f>(SUMIF($U$4:$U76,CONCATENATE("Buy",$C76),$F$4:$F76)+SUMIF($U$4:$U76,CONCATENATE("ReinvDiv",$C76),$F$4:$F76)+SUMIF($U$4:$U76,CONCATENATE("StkSplit",$C76),$F$4:$F76)-SUMIF($U$4:$U76,CONCATENATE("Sell",$C76),$F$4:$F76))</f>
        <v>20</v>
      </c>
      <c r="AC76" s="3">
        <f>IF(B76="Sell",F76*INDEX(V:V,LOOKUP(2,1/(X$4:X75=CONCATENATE(C76,"_ACB")),ROW(V$4:V75))),0)</f>
        <v>0</v>
      </c>
    </row>
    <row r="77" spans="1:29" x14ac:dyDescent="0.25">
      <c r="A77" s="20">
        <v>37119</v>
      </c>
      <c r="B77" t="s">
        <v>43</v>
      </c>
      <c r="C77" t="s">
        <v>36</v>
      </c>
      <c r="D77" s="3">
        <v>4.17</v>
      </c>
      <c r="M77" s="21">
        <f t="shared" si="14"/>
        <v>4.17</v>
      </c>
      <c r="N77" s="8">
        <f t="shared" si="9"/>
        <v>4.17</v>
      </c>
      <c r="O77" s="25">
        <f t="shared" si="10"/>
        <v>2447.8900000000008</v>
      </c>
      <c r="P77" s="8">
        <f t="shared" si="15"/>
        <v>0</v>
      </c>
      <c r="Q77" s="4">
        <f>IF(AND(S77&gt;=[1]eRRSP_Rpt!$C$6,S77&lt;=[1]eRRSP_Rpt!$C$7),1,0)</f>
        <v>0</v>
      </c>
      <c r="R77" s="4"/>
      <c r="S77" s="4">
        <f t="shared" si="12"/>
        <v>2001</v>
      </c>
      <c r="T77" s="4"/>
      <c r="U77" s="4" t="str">
        <f t="shared" si="16"/>
        <v>IntIncTDW</v>
      </c>
      <c r="V77" s="23">
        <f>IFERROR(IF(AND(AB77&gt;0,B77&lt;&gt;"Sell"),(AA77-SUMIF(C$4:C76,C77,AC$4:AC77))/AB77,0),"")</f>
        <v>0</v>
      </c>
      <c r="W77" s="24" t="str">
        <f t="shared" si="13"/>
        <v/>
      </c>
      <c r="X77" s="25" t="str">
        <f t="shared" si="11"/>
        <v/>
      </c>
      <c r="Y77" s="10" t="str">
        <f>IF(S78&lt;&gt;eRRSP_Tx_Table[[#This Row],[Year]],SUMIFS($W$4:$W77,$S$4:$S77,eRRSP_Tx_Table[[#This Row],[Year]],$W$4:$W77,"&gt;0"),"")</f>
        <v/>
      </c>
      <c r="Z77" s="10" t="str">
        <f>IF(S78&lt;&gt;eRRSP_Tx_Table[[#This Row],[Year]],SUMIFS($W$4:$W77,$S$4:$S77,eRRSP_Tx_Table[[#This Row],[Year]],$W$4:$W77,"&lt;0"),"")</f>
        <v/>
      </c>
      <c r="AA77" s="3">
        <f>(SUMIF($U$4:$U77,CONCATENATE("Buy",$C77),$N$4:$N77)+SUMIF($U$4:$U77,CONCATENATE("ReinvDiv",$C77),$N$4:$N77))</f>
        <v>0</v>
      </c>
      <c r="AB77" s="3">
        <f>(SUMIF($U$4:$U77,CONCATENATE("Buy",$C77),$F$4:$F77)+SUMIF($U$4:$U77,CONCATENATE("ReinvDiv",$C77),$F$4:$F77)+SUMIF($U$4:$U77,CONCATENATE("StkSplit",$C77),$F$4:$F77)-SUMIF($U$4:$U77,CONCATENATE("Sell",$C77),$F$4:$F77))</f>
        <v>0</v>
      </c>
      <c r="AC77" s="3">
        <f>IF(B77="Sell",F77*INDEX(V:V,LOOKUP(2,1/(X$4:X76=CONCATENATE(C77,"_ACB")),ROW(V$4:V76))),0)</f>
        <v>0</v>
      </c>
    </row>
    <row r="78" spans="1:29" x14ac:dyDescent="0.25">
      <c r="A78" s="20">
        <v>37135</v>
      </c>
      <c r="B78" t="s">
        <v>42</v>
      </c>
      <c r="C78" t="s">
        <v>33</v>
      </c>
      <c r="D78" s="3">
        <v>25.2</v>
      </c>
      <c r="M78" s="21">
        <f t="shared" si="14"/>
        <v>25.2</v>
      </c>
      <c r="N78" s="8">
        <f t="shared" si="9"/>
        <v>25.2</v>
      </c>
      <c r="O78" s="25">
        <f t="shared" si="10"/>
        <v>2473.0900000000006</v>
      </c>
      <c r="P78" s="8">
        <f t="shared" si="15"/>
        <v>0</v>
      </c>
      <c r="Q78" s="4">
        <f>IF(AND(S78&gt;=[1]eRRSP_Rpt!$C$6,S78&lt;=[1]eRRSP_Rpt!$C$7),1,0)</f>
        <v>0</v>
      </c>
      <c r="R78" s="4"/>
      <c r="S78" s="4">
        <f t="shared" si="12"/>
        <v>2001</v>
      </c>
      <c r="T78" s="4"/>
      <c r="U78" s="4" t="str">
        <f t="shared" si="16"/>
        <v>DivEnbridge</v>
      </c>
      <c r="V78" s="23">
        <f>IFERROR(IF(AND(AB78&gt;0,B78&lt;&gt;"Sell"),(AA78-SUMIF(C$4:C77,C78,AC$4:AC78))/AB78,0),"")</f>
        <v>-25.718055555555555</v>
      </c>
      <c r="W78" s="24" t="str">
        <f t="shared" si="13"/>
        <v/>
      </c>
      <c r="X78" s="25" t="str">
        <f t="shared" si="11"/>
        <v>Enbridge_ACB</v>
      </c>
      <c r="Y78" s="10" t="str">
        <f>IF(S79&lt;&gt;eRRSP_Tx_Table[[#This Row],[Year]],SUMIFS($W$4:$W78,$S$4:$S78,eRRSP_Tx_Table[[#This Row],[Year]],$W$4:$W78,"&gt;0"),"")</f>
        <v/>
      </c>
      <c r="Z78" s="10" t="str">
        <f>IF(S79&lt;&gt;eRRSP_Tx_Table[[#This Row],[Year]],SUMIFS($W$4:$W78,$S$4:$S78,eRRSP_Tx_Table[[#This Row],[Year]],$W$4:$W78,"&lt;0"),"")</f>
        <v/>
      </c>
      <c r="AA78" s="3">
        <f>(SUMIF($U$4:$U78,CONCATENATE("Buy",$C78),$N$4:$N78)+SUMIF($U$4:$U78,CONCATENATE("ReinvDiv",$C78),$N$4:$N78))</f>
        <v>-1851.7</v>
      </c>
      <c r="AB78" s="3">
        <f>(SUMIF($U$4:$U78,CONCATENATE("Buy",$C78),$F$4:$F78)+SUMIF($U$4:$U78,CONCATENATE("ReinvDiv",$C78),$F$4:$F78)+SUMIF($U$4:$U78,CONCATENATE("StkSplit",$C78),$F$4:$F78)-SUMIF($U$4:$U78,CONCATENATE("Sell",$C78),$F$4:$F78))</f>
        <v>72</v>
      </c>
      <c r="AC78" s="3">
        <f>IF(B78="Sell",F78*INDEX(V:V,LOOKUP(2,1/(X$4:X77=CONCATENATE(C78,"_ACB")),ROW(V$4:V77))),0)</f>
        <v>0</v>
      </c>
    </row>
    <row r="79" spans="1:29" x14ac:dyDescent="0.25">
      <c r="A79" s="20">
        <v>37150</v>
      </c>
      <c r="B79" t="s">
        <v>43</v>
      </c>
      <c r="C79" t="s">
        <v>36</v>
      </c>
      <c r="D79" s="3">
        <v>3.87</v>
      </c>
      <c r="M79" s="21">
        <f t="shared" si="14"/>
        <v>3.87</v>
      </c>
      <c r="N79" s="8">
        <f t="shared" si="9"/>
        <v>3.87</v>
      </c>
      <c r="O79" s="25">
        <f t="shared" si="10"/>
        <v>2476.9600000000005</v>
      </c>
      <c r="P79" s="8">
        <f t="shared" si="15"/>
        <v>0</v>
      </c>
      <c r="Q79" s="4">
        <f>IF(AND(S79&gt;=[1]eRRSP_Rpt!$C$6,S79&lt;=[1]eRRSP_Rpt!$C$7),1,0)</f>
        <v>0</v>
      </c>
      <c r="R79" s="4"/>
      <c r="S79" s="4">
        <f t="shared" si="12"/>
        <v>2001</v>
      </c>
      <c r="T79" s="4"/>
      <c r="U79" s="4" t="str">
        <f t="shared" si="16"/>
        <v>IntIncTDW</v>
      </c>
      <c r="V79" s="23">
        <f>IFERROR(IF(AND(AB79&gt;0,B79&lt;&gt;"Sell"),(AA79-SUMIF(C$4:C78,C79,AC$4:AC79))/AB79,0),"")</f>
        <v>0</v>
      </c>
      <c r="W79" s="24" t="str">
        <f t="shared" si="13"/>
        <v/>
      </c>
      <c r="X79" s="25" t="str">
        <f t="shared" si="11"/>
        <v/>
      </c>
      <c r="Y79" s="10" t="str">
        <f>IF(S80&lt;&gt;eRRSP_Tx_Table[[#This Row],[Year]],SUMIFS($W$4:$W79,$S$4:$S79,eRRSP_Tx_Table[[#This Row],[Year]],$W$4:$W79,"&gt;0"),"")</f>
        <v/>
      </c>
      <c r="Z79" s="10" t="str">
        <f>IF(S80&lt;&gt;eRRSP_Tx_Table[[#This Row],[Year]],SUMIFS($W$4:$W79,$S$4:$S79,eRRSP_Tx_Table[[#This Row],[Year]],$W$4:$W79,"&lt;0"),"")</f>
        <v/>
      </c>
      <c r="AA79" s="3">
        <f>(SUMIF($U$4:$U79,CONCATENATE("Buy",$C79),$N$4:$N79)+SUMIF($U$4:$U79,CONCATENATE("ReinvDiv",$C79),$N$4:$N79))</f>
        <v>0</v>
      </c>
      <c r="AB79" s="3">
        <f>(SUMIF($U$4:$U79,CONCATENATE("Buy",$C79),$F$4:$F79)+SUMIF($U$4:$U79,CONCATENATE("ReinvDiv",$C79),$F$4:$F79)+SUMIF($U$4:$U79,CONCATENATE("StkSplit",$C79),$F$4:$F79)-SUMIF($U$4:$U79,CONCATENATE("Sell",$C79),$F$4:$F79))</f>
        <v>0</v>
      </c>
      <c r="AC79" s="3">
        <f>IF(B79="Sell",F79*INDEX(V:V,LOOKUP(2,1/(X$4:X78=CONCATENATE(C79,"_ACB")),ROW(V$4:V78))),0)</f>
        <v>0</v>
      </c>
    </row>
    <row r="80" spans="1:29" x14ac:dyDescent="0.25">
      <c r="A80" s="20">
        <v>37152</v>
      </c>
      <c r="B80" t="s">
        <v>41</v>
      </c>
      <c r="C80" t="s">
        <v>39</v>
      </c>
      <c r="D80" s="3">
        <v>14.04</v>
      </c>
      <c r="E80">
        <v>8.6346860000000003</v>
      </c>
      <c r="F80" s="3">
        <v>1.6259999999999999</v>
      </c>
      <c r="M80" s="21">
        <f t="shared" si="14"/>
        <v>14.04</v>
      </c>
      <c r="N80" s="8">
        <f t="shared" si="9"/>
        <v>-14.04</v>
      </c>
      <c r="O80" s="25">
        <f t="shared" si="10"/>
        <v>2476.9600000000005</v>
      </c>
      <c r="P80" s="8">
        <f t="shared" si="15"/>
        <v>0</v>
      </c>
      <c r="Q80" s="4">
        <f>IF(AND(S80&gt;=[1]eRRSP_Rpt!$C$6,S80&lt;=[1]eRRSP_Rpt!$C$7),1,0)</f>
        <v>0</v>
      </c>
      <c r="R80" s="4"/>
      <c r="S80" s="4">
        <f t="shared" si="12"/>
        <v>2001</v>
      </c>
      <c r="T80" s="4"/>
      <c r="U80" s="4" t="str">
        <f t="shared" si="16"/>
        <v>ReinvDivTrimark Income Growth</v>
      </c>
      <c r="V80" s="23">
        <f>IFERROR(IF(AND(AB80&gt;0,B80&lt;&gt;"Sell"),(AA80-SUMIF(C$4:C79,C80,AC$4:AC80))/AB80,0),"")</f>
        <v>-7.7191501495079553</v>
      </c>
      <c r="W80" s="24" t="str">
        <f t="shared" si="13"/>
        <v/>
      </c>
      <c r="X80" s="25" t="str">
        <f t="shared" si="11"/>
        <v>Trimark Income Growth_ACB</v>
      </c>
      <c r="Y80" s="10" t="str">
        <f>IF(S81&lt;&gt;eRRSP_Tx_Table[[#This Row],[Year]],SUMIFS($W$4:$W80,$S$4:$S80,eRRSP_Tx_Table[[#This Row],[Year]],$W$4:$W80,"&gt;0"),"")</f>
        <v/>
      </c>
      <c r="Z80" s="10" t="str">
        <f>IF(S81&lt;&gt;eRRSP_Tx_Table[[#This Row],[Year]],SUMIFS($W$4:$W80,$S$4:$S80,eRRSP_Tx_Table[[#This Row],[Year]],$W$4:$W80,"&lt;0"),"")</f>
        <v/>
      </c>
      <c r="AA80" s="3">
        <f>(SUMIF($U$4:$U80,CONCATENATE("Buy",$C80),$N$4:$N80)+SUMIF($U$4:$U80,CONCATENATE("ReinvDiv",$C80),$N$4:$N80))</f>
        <v>-2057.4699999999998</v>
      </c>
      <c r="AB80" s="3">
        <f>(SUMIF($U$4:$U80,CONCATENATE("Buy",$C80),$F$4:$F80)+SUMIF($U$4:$U80,CONCATENATE("ReinvDiv",$C80),$F$4:$F80)+SUMIF($U$4:$U80,CONCATENATE("StkSplit",$C80),$F$4:$F80)-SUMIF($U$4:$U80,CONCATENATE("Sell",$C80),$F$4:$F80))</f>
        <v>266.541</v>
      </c>
      <c r="AC80" s="3">
        <f>IF(B80="Sell",F80*INDEX(V:V,LOOKUP(2,1/(X$4:X79=CONCATENATE(C80,"_ACB")),ROW(V$4:V79))),0)</f>
        <v>0</v>
      </c>
    </row>
    <row r="81" spans="1:29" x14ac:dyDescent="0.25">
      <c r="A81" s="20">
        <v>37161</v>
      </c>
      <c r="B81" t="s">
        <v>42</v>
      </c>
      <c r="C81" t="s">
        <v>53</v>
      </c>
      <c r="D81" s="3">
        <v>28.44</v>
      </c>
      <c r="M81" s="21">
        <f t="shared" si="14"/>
        <v>28.44</v>
      </c>
      <c r="N81" s="8">
        <f t="shared" si="9"/>
        <v>28.44</v>
      </c>
      <c r="O81" s="25">
        <f t="shared" si="10"/>
        <v>2505.4000000000005</v>
      </c>
      <c r="P81" s="8">
        <f t="shared" si="15"/>
        <v>0</v>
      </c>
      <c r="Q81" s="4">
        <f>IF(AND(S81&gt;=[1]eRRSP_Rpt!$C$6,S81&lt;=[1]eRRSP_Rpt!$C$7),1,0)</f>
        <v>0</v>
      </c>
      <c r="R81" s="4"/>
      <c r="S81" s="4">
        <f t="shared" si="12"/>
        <v>2001</v>
      </c>
      <c r="T81" s="4"/>
      <c r="U81" s="4" t="str">
        <f t="shared" si="16"/>
        <v>DivTD CDN Bond</v>
      </c>
      <c r="V81" s="23">
        <f>IFERROR(IF(AND(AB81&gt;0,B81&lt;&gt;"Sell"),(AA81-SUMIF(C$4:C80,C81,AC$4:AC81))/AB81,0),"")</f>
        <v>-12.100018755029071</v>
      </c>
      <c r="W81" s="24" t="str">
        <f t="shared" si="13"/>
        <v/>
      </c>
      <c r="X81" s="25" t="str">
        <f t="shared" si="11"/>
        <v>TD CDN Bond_ACB</v>
      </c>
      <c r="Y81" s="10" t="str">
        <f>IF(S82&lt;&gt;eRRSP_Tx_Table[[#This Row],[Year]],SUMIFS($W$4:$W81,$S$4:$S81,eRRSP_Tx_Table[[#This Row],[Year]],$W$4:$W81,"&gt;0"),"")</f>
        <v/>
      </c>
      <c r="Z81" s="10" t="str">
        <f>IF(S82&lt;&gt;eRRSP_Tx_Table[[#This Row],[Year]],SUMIFS($W$4:$W81,$S$4:$S81,eRRSP_Tx_Table[[#This Row],[Year]],$W$4:$W81,"&lt;0"),"")</f>
        <v/>
      </c>
      <c r="AA81" s="3">
        <f>(SUMIF($U$4:$U81,CONCATENATE("Buy",$C81),$N$4:$N81)+SUMIF($U$4:$U81,CONCATENATE("ReinvDiv",$C81),$N$4:$N81))</f>
        <v>-2000</v>
      </c>
      <c r="AB81" s="3">
        <f>(SUMIF($U$4:$U81,CONCATENATE("Buy",$C81),$F$4:$F81)+SUMIF($U$4:$U81,CONCATENATE("ReinvDiv",$C81),$F$4:$F81)+SUMIF($U$4:$U81,CONCATENATE("StkSplit",$C81),$F$4:$F81)-SUMIF($U$4:$U81,CONCATENATE("Sell",$C81),$F$4:$F81))</f>
        <v>165.28899999999999</v>
      </c>
      <c r="AC81" s="3">
        <f>IF(B81="Sell",F81*INDEX(V:V,LOOKUP(2,1/(X$4:X80=CONCATENATE(C81,"_ACB")),ROW(V$4:V80))),0)</f>
        <v>0</v>
      </c>
    </row>
    <row r="82" spans="1:29" x14ac:dyDescent="0.25">
      <c r="A82" s="20">
        <v>37165</v>
      </c>
      <c r="B82" t="s">
        <v>42</v>
      </c>
      <c r="C82" t="s">
        <v>48</v>
      </c>
      <c r="D82" s="3">
        <v>7</v>
      </c>
      <c r="M82" s="21">
        <f t="shared" si="14"/>
        <v>7</v>
      </c>
      <c r="N82" s="8">
        <f t="shared" si="9"/>
        <v>7</v>
      </c>
      <c r="O82" s="25">
        <f t="shared" si="10"/>
        <v>2512.4000000000005</v>
      </c>
      <c r="P82" s="8">
        <f t="shared" si="15"/>
        <v>0</v>
      </c>
      <c r="Q82" s="4">
        <f>IF(AND(S82&gt;=[1]eRRSP_Rpt!$C$6,S82&lt;=[1]eRRSP_Rpt!$C$7),1,0)</f>
        <v>0</v>
      </c>
      <c r="R82" s="4"/>
      <c r="S82" s="4">
        <f t="shared" si="12"/>
        <v>2001</v>
      </c>
      <c r="T82" s="4"/>
      <c r="U82" s="4" t="str">
        <f t="shared" si="16"/>
        <v>DivTelus</v>
      </c>
      <c r="V82" s="23">
        <f>IFERROR(IF(AND(AB82&gt;0,B82&lt;&gt;"Sell"),(AA82-SUMIF(C$4:C81,C82,AC$4:AC82))/AB82,0),"")</f>
        <v>-40.450000000000003</v>
      </c>
      <c r="W82" s="24" t="str">
        <f t="shared" si="13"/>
        <v/>
      </c>
      <c r="X82" s="25" t="str">
        <f t="shared" si="11"/>
        <v>Telus_ACB</v>
      </c>
      <c r="Y82" s="10" t="str">
        <f>IF(S83&lt;&gt;eRRSP_Tx_Table[[#This Row],[Year]],SUMIFS($W$4:$W82,$S$4:$S82,eRRSP_Tx_Table[[#This Row],[Year]],$W$4:$W82,"&gt;0"),"")</f>
        <v/>
      </c>
      <c r="Z82" s="10" t="str">
        <f>IF(S83&lt;&gt;eRRSP_Tx_Table[[#This Row],[Year]],SUMIFS($W$4:$W82,$S$4:$S82,eRRSP_Tx_Table[[#This Row],[Year]],$W$4:$W82,"&lt;0"),"")</f>
        <v/>
      </c>
      <c r="AA82" s="3">
        <f>(SUMIF($U$4:$U82,CONCATENATE("Buy",$C82),$N$4:$N82)+SUMIF($U$4:$U82,CONCATENATE("ReinvDiv",$C82),$N$4:$N82))</f>
        <v>-809</v>
      </c>
      <c r="AB82" s="3">
        <f>(SUMIF($U$4:$U82,CONCATENATE("Buy",$C82),$F$4:$F82)+SUMIF($U$4:$U82,CONCATENATE("ReinvDiv",$C82),$F$4:$F82)+SUMIF($U$4:$U82,CONCATENATE("StkSplit",$C82),$F$4:$F82)-SUMIF($U$4:$U82,CONCATENATE("Sell",$C82),$F$4:$F82))</f>
        <v>20</v>
      </c>
      <c r="AC82" s="3">
        <f>IF(B82="Sell",F82*INDEX(V:V,LOOKUP(2,1/(X$4:X81=CONCATENATE(C82,"_ACB")),ROW(V$4:V81))),0)</f>
        <v>0</v>
      </c>
    </row>
    <row r="83" spans="1:29" x14ac:dyDescent="0.25">
      <c r="A83" s="20">
        <v>37179</v>
      </c>
      <c r="B83" t="s">
        <v>42</v>
      </c>
      <c r="C83" t="s">
        <v>46</v>
      </c>
      <c r="D83" s="3">
        <v>6</v>
      </c>
      <c r="M83" s="21">
        <f t="shared" si="14"/>
        <v>6</v>
      </c>
      <c r="N83" s="8">
        <f t="shared" si="9"/>
        <v>6</v>
      </c>
      <c r="O83" s="25">
        <f t="shared" si="10"/>
        <v>2518.4000000000005</v>
      </c>
      <c r="P83" s="8">
        <f t="shared" si="15"/>
        <v>0</v>
      </c>
      <c r="Q83" s="4">
        <f>IF(AND(S83&gt;=[1]eRRSP_Rpt!$C$6,S83&lt;=[1]eRRSP_Rpt!$C$7),1,0)</f>
        <v>0</v>
      </c>
      <c r="R83" s="4"/>
      <c r="S83" s="4">
        <f t="shared" si="12"/>
        <v>2001</v>
      </c>
      <c r="T83" s="4"/>
      <c r="U83" s="4" t="str">
        <f t="shared" si="16"/>
        <v>DivBCE</v>
      </c>
      <c r="V83" s="23">
        <f>IFERROR(IF(AND(AB83&gt;0,B83&lt;&gt;"Sell"),(AA83-SUMIF(C$4:C82,C83,AC$4:AC83))/AB83,0),"")</f>
        <v>-40.450000000000003</v>
      </c>
      <c r="W83" s="24" t="str">
        <f t="shared" si="13"/>
        <v/>
      </c>
      <c r="X83" s="25" t="str">
        <f t="shared" si="11"/>
        <v>BCE_ACB</v>
      </c>
      <c r="Y83" s="10" t="str">
        <f>IF(S84&lt;&gt;eRRSP_Tx_Table[[#This Row],[Year]],SUMIFS($W$4:$W83,$S$4:$S83,eRRSP_Tx_Table[[#This Row],[Year]],$W$4:$W83,"&gt;0"),"")</f>
        <v/>
      </c>
      <c r="Z83" s="10" t="str">
        <f>IF(S84&lt;&gt;eRRSP_Tx_Table[[#This Row],[Year]],SUMIFS($W$4:$W83,$S$4:$S83,eRRSP_Tx_Table[[#This Row],[Year]],$W$4:$W83,"&lt;0"),"")</f>
        <v/>
      </c>
      <c r="AA83" s="3">
        <f>(SUMIF($U$4:$U83,CONCATENATE("Buy",$C83),$N$4:$N83)+SUMIF($U$4:$U83,CONCATENATE("ReinvDiv",$C83),$N$4:$N83))</f>
        <v>-809</v>
      </c>
      <c r="AB83" s="3">
        <f>(SUMIF($U$4:$U83,CONCATENATE("Buy",$C83),$F$4:$F83)+SUMIF($U$4:$U83,CONCATENATE("ReinvDiv",$C83),$F$4:$F83)+SUMIF($U$4:$U83,CONCATENATE("StkSplit",$C83),$F$4:$F83)-SUMIF($U$4:$U83,CONCATENATE("Sell",$C83),$F$4:$F83))</f>
        <v>20</v>
      </c>
      <c r="AC83" s="3">
        <f>IF(B83="Sell",F83*INDEX(V:V,LOOKUP(2,1/(X$4:X82=CONCATENATE(C83,"_ACB")),ROW(V$4:V82))),0)</f>
        <v>0</v>
      </c>
    </row>
    <row r="84" spans="1:29" x14ac:dyDescent="0.25">
      <c r="A84" s="20">
        <v>37180</v>
      </c>
      <c r="B84" t="s">
        <v>43</v>
      </c>
      <c r="C84" t="s">
        <v>36</v>
      </c>
      <c r="D84" s="3">
        <v>2.63</v>
      </c>
      <c r="M84" s="21">
        <f t="shared" si="14"/>
        <v>2.63</v>
      </c>
      <c r="N84" s="8">
        <f t="shared" si="9"/>
        <v>2.63</v>
      </c>
      <c r="O84" s="25">
        <f t="shared" si="10"/>
        <v>2521.0300000000007</v>
      </c>
      <c r="P84" s="8">
        <f t="shared" si="15"/>
        <v>0</v>
      </c>
      <c r="Q84" s="4">
        <f>IF(AND(S84&gt;=[1]eRRSP_Rpt!$C$6,S84&lt;=[1]eRRSP_Rpt!$C$7),1,0)</f>
        <v>0</v>
      </c>
      <c r="R84" s="4"/>
      <c r="S84" s="4">
        <f t="shared" si="12"/>
        <v>2001</v>
      </c>
      <c r="T84" s="4"/>
      <c r="U84" s="4" t="str">
        <f t="shared" si="16"/>
        <v>IntIncTDW</v>
      </c>
      <c r="V84" s="23">
        <f>IFERROR(IF(AND(AB84&gt;0,B84&lt;&gt;"Sell"),(AA84-SUMIF(C$4:C83,C84,AC$4:AC84))/AB84,0),"")</f>
        <v>0</v>
      </c>
      <c r="W84" s="24" t="str">
        <f t="shared" si="13"/>
        <v/>
      </c>
      <c r="X84" s="25" t="str">
        <f t="shared" si="11"/>
        <v/>
      </c>
      <c r="Y84" s="10" t="str">
        <f>IF(S85&lt;&gt;eRRSP_Tx_Table[[#This Row],[Year]],SUMIFS($W$4:$W84,$S$4:$S84,eRRSP_Tx_Table[[#This Row],[Year]],$W$4:$W84,"&gt;0"),"")</f>
        <v/>
      </c>
      <c r="Z84" s="10" t="str">
        <f>IF(S85&lt;&gt;eRRSP_Tx_Table[[#This Row],[Year]],SUMIFS($W$4:$W84,$S$4:$S84,eRRSP_Tx_Table[[#This Row],[Year]],$W$4:$W84,"&lt;0"),"")</f>
        <v/>
      </c>
      <c r="AA84" s="3">
        <f>(SUMIF($U$4:$U84,CONCATENATE("Buy",$C84),$N$4:$N84)+SUMIF($U$4:$U84,CONCATENATE("ReinvDiv",$C84),$N$4:$N84))</f>
        <v>0</v>
      </c>
      <c r="AB84" s="3">
        <f>(SUMIF($U$4:$U84,CONCATENATE("Buy",$C84),$F$4:$F84)+SUMIF($U$4:$U84,CONCATENATE("ReinvDiv",$C84),$F$4:$F84)+SUMIF($U$4:$U84,CONCATENATE("StkSplit",$C84),$F$4:$F84)-SUMIF($U$4:$U84,CONCATENATE("Sell",$C84),$F$4:$F84))</f>
        <v>0</v>
      </c>
      <c r="AC84" s="3">
        <f>IF(B84="Sell",F84*INDEX(V:V,LOOKUP(2,1/(X$4:X83=CONCATENATE(C84,"_ACB")),ROW(V$4:V83))),0)</f>
        <v>0</v>
      </c>
    </row>
    <row r="85" spans="1:29" x14ac:dyDescent="0.25">
      <c r="A85" s="20">
        <v>37180</v>
      </c>
      <c r="B85" t="s">
        <v>40</v>
      </c>
      <c r="C85" t="s">
        <v>33</v>
      </c>
      <c r="D85" s="3">
        <v>634.6</v>
      </c>
      <c r="E85">
        <v>44.24</v>
      </c>
      <c r="F85" s="3">
        <v>15</v>
      </c>
      <c r="G85">
        <v>29</v>
      </c>
      <c r="M85" s="21">
        <f t="shared" si="14"/>
        <v>663.6</v>
      </c>
      <c r="N85" s="8">
        <f t="shared" si="9"/>
        <v>634.6</v>
      </c>
      <c r="O85" s="25">
        <f t="shared" si="10"/>
        <v>3155.6300000000006</v>
      </c>
      <c r="P85" s="8">
        <f t="shared" si="15"/>
        <v>0</v>
      </c>
      <c r="Q85" s="4">
        <f>IF(AND(S85&gt;=[1]eRRSP_Rpt!$C$6,S85&lt;=[1]eRRSP_Rpt!$C$7),1,0)</f>
        <v>0</v>
      </c>
      <c r="R85" s="4"/>
      <c r="S85" s="4">
        <f t="shared" si="12"/>
        <v>2001</v>
      </c>
      <c r="T85" s="4"/>
      <c r="U85" s="4" t="str">
        <f t="shared" si="16"/>
        <v>SellEnbridge</v>
      </c>
      <c r="V85" s="23">
        <f>IFERROR(IF(AND(AB85&gt;0,B85&lt;&gt;"Sell"),(AA85-SUMIF(C$4:C84,C85,AC$4:AC85))/AB85,0),"")</f>
        <v>0</v>
      </c>
      <c r="W85" s="24">
        <f t="shared" si="13"/>
        <v>248.82916666666671</v>
      </c>
      <c r="X85" s="25" t="str">
        <f t="shared" si="11"/>
        <v/>
      </c>
      <c r="Y85" s="10" t="str">
        <f>IF(S86&lt;&gt;eRRSP_Tx_Table[[#This Row],[Year]],SUMIFS($W$4:$W85,$S$4:$S85,eRRSP_Tx_Table[[#This Row],[Year]],$W$4:$W85,"&gt;0"),"")</f>
        <v/>
      </c>
      <c r="Z85" s="10" t="str">
        <f>IF(S86&lt;&gt;eRRSP_Tx_Table[[#This Row],[Year]],SUMIFS($W$4:$W85,$S$4:$S85,eRRSP_Tx_Table[[#This Row],[Year]],$W$4:$W85,"&lt;0"),"")</f>
        <v/>
      </c>
      <c r="AA85" s="3">
        <f>(SUMIF($U$4:$U85,CONCATENATE("Buy",$C85),$N$4:$N85)+SUMIF($U$4:$U85,CONCATENATE("ReinvDiv",$C85),$N$4:$N85))</f>
        <v>-1851.7</v>
      </c>
      <c r="AB85" s="3">
        <f>(SUMIF($U$4:$U85,CONCATENATE("Buy",$C85),$F$4:$F85)+SUMIF($U$4:$U85,CONCATENATE("ReinvDiv",$C85),$F$4:$F85)+SUMIF($U$4:$U85,CONCATENATE("StkSplit",$C85),$F$4:$F85)-SUMIF($U$4:$U85,CONCATENATE("Sell",$C85),$F$4:$F85))</f>
        <v>57</v>
      </c>
      <c r="AC85" s="3">
        <f>IF(B85="Sell",F85*INDEX(V:V,LOOKUP(2,1/(X$4:X84=CONCATENATE(C85,"_ACB")),ROW(V$4:V84))),0)</f>
        <v>-385.77083333333331</v>
      </c>
    </row>
    <row r="86" spans="1:29" x14ac:dyDescent="0.25">
      <c r="A86" s="20">
        <v>37195</v>
      </c>
      <c r="B86" t="s">
        <v>42</v>
      </c>
      <c r="C86" t="s">
        <v>47</v>
      </c>
      <c r="D86" s="3">
        <v>1.36</v>
      </c>
      <c r="M86" s="21">
        <f t="shared" si="14"/>
        <v>1.36</v>
      </c>
      <c r="N86" s="8">
        <f t="shared" si="9"/>
        <v>1.36</v>
      </c>
      <c r="O86" s="25">
        <f t="shared" si="10"/>
        <v>3156.9900000000007</v>
      </c>
      <c r="P86" s="8">
        <f t="shared" si="15"/>
        <v>0</v>
      </c>
      <c r="Q86" s="4">
        <f>IF(AND(S86&gt;=[1]eRRSP_Rpt!$C$6,S86&lt;=[1]eRRSP_Rpt!$C$7),1,0)</f>
        <v>0</v>
      </c>
      <c r="R86" s="4"/>
      <c r="S86" s="4">
        <f t="shared" si="12"/>
        <v>2001</v>
      </c>
      <c r="T86" s="4"/>
      <c r="U86" s="4" t="str">
        <f t="shared" si="16"/>
        <v>DivBombardier</v>
      </c>
      <c r="V86" s="23">
        <f>IFERROR(IF(AND(AB86&gt;0,B86&lt;&gt;"Sell"),(AA86-SUMIF(C$4:C85,C86,AC$4:AC86))/AB86,0),"")</f>
        <v>-23.216666666666665</v>
      </c>
      <c r="W86" s="24" t="str">
        <f t="shared" si="13"/>
        <v/>
      </c>
      <c r="X86" s="25" t="str">
        <f t="shared" si="11"/>
        <v>Bombardier_ACB</v>
      </c>
      <c r="Y86" s="10" t="str">
        <f>IF(S87&lt;&gt;eRRSP_Tx_Table[[#This Row],[Year]],SUMIFS($W$4:$W86,$S$4:$S86,eRRSP_Tx_Table[[#This Row],[Year]],$W$4:$W86,"&gt;0"),"")</f>
        <v/>
      </c>
      <c r="Z86" s="10" t="str">
        <f>IF(S87&lt;&gt;eRRSP_Tx_Table[[#This Row],[Year]],SUMIFS($W$4:$W86,$S$4:$S86,eRRSP_Tx_Table[[#This Row],[Year]],$W$4:$W86,"&lt;0"),"")</f>
        <v/>
      </c>
      <c r="AA86" s="3">
        <f>(SUMIF($U$4:$U86,CONCATENATE("Buy",$C86),$N$4:$N86)+SUMIF($U$4:$U86,CONCATENATE("ReinvDiv",$C86),$N$4:$N86))</f>
        <v>-696.5</v>
      </c>
      <c r="AB86" s="3">
        <f>(SUMIF($U$4:$U86,CONCATENATE("Buy",$C86),$F$4:$F86)+SUMIF($U$4:$U86,CONCATENATE("ReinvDiv",$C86),$F$4:$F86)+SUMIF($U$4:$U86,CONCATENATE("StkSplit",$C86),$F$4:$F86)-SUMIF($U$4:$U86,CONCATENATE("Sell",$C86),$F$4:$F86))</f>
        <v>30</v>
      </c>
      <c r="AC86" s="3">
        <f>IF(B86="Sell",F86*INDEX(V:V,LOOKUP(2,1/(X$4:X85=CONCATENATE(C86,"_ACB")),ROW(V$4:V85))),0)</f>
        <v>0</v>
      </c>
    </row>
    <row r="87" spans="1:29" x14ac:dyDescent="0.25">
      <c r="A87" s="20">
        <v>37195</v>
      </c>
      <c r="B87" t="s">
        <v>42</v>
      </c>
      <c r="C87" t="s">
        <v>45</v>
      </c>
      <c r="D87" s="3">
        <v>5.6</v>
      </c>
      <c r="M87" s="21">
        <f t="shared" si="14"/>
        <v>5.6</v>
      </c>
      <c r="N87" s="8">
        <f t="shared" si="9"/>
        <v>5.6</v>
      </c>
      <c r="O87" s="25">
        <f t="shared" si="10"/>
        <v>3162.5900000000006</v>
      </c>
      <c r="P87" s="8">
        <f t="shared" si="15"/>
        <v>0</v>
      </c>
      <c r="Q87" s="4">
        <f>IF(AND(S87&gt;=[1]eRRSP_Rpt!$C$6,S87&lt;=[1]eRRSP_Rpt!$C$7),1,0)</f>
        <v>0</v>
      </c>
      <c r="R87" s="4"/>
      <c r="S87" s="4">
        <f t="shared" si="12"/>
        <v>2001</v>
      </c>
      <c r="T87" s="4"/>
      <c r="U87" s="4" t="str">
        <f t="shared" si="16"/>
        <v>DivTD Bank</v>
      </c>
      <c r="V87" s="23">
        <f>IFERROR(IF(AND(AB87&gt;0,B87&lt;&gt;"Sell"),(AA87-SUMIF(C$4:C86,C87,AC$4:AC87))/AB87,0),"")</f>
        <v>-44.29</v>
      </c>
      <c r="W87" s="24" t="str">
        <f t="shared" si="13"/>
        <v/>
      </c>
      <c r="X87" s="25" t="str">
        <f t="shared" si="11"/>
        <v>TD Bank_ACB</v>
      </c>
      <c r="Y87" s="10" t="str">
        <f>IF(S88&lt;&gt;eRRSP_Tx_Table[[#This Row],[Year]],SUMIFS($W$4:$W87,$S$4:$S87,eRRSP_Tx_Table[[#This Row],[Year]],$W$4:$W87,"&gt;0"),"")</f>
        <v/>
      </c>
      <c r="Z87" s="10" t="str">
        <f>IF(S88&lt;&gt;eRRSP_Tx_Table[[#This Row],[Year]],SUMIFS($W$4:$W87,$S$4:$S87,eRRSP_Tx_Table[[#This Row],[Year]],$W$4:$W87,"&lt;0"),"")</f>
        <v/>
      </c>
      <c r="AA87" s="3">
        <f>(SUMIF($U$4:$U87,CONCATENATE("Buy",$C87),$N$4:$N87)+SUMIF($U$4:$U87,CONCATENATE("ReinvDiv",$C87),$N$4:$N87))</f>
        <v>-885.8</v>
      </c>
      <c r="AB87" s="3">
        <f>(SUMIF($U$4:$U87,CONCATENATE("Buy",$C87),$F$4:$F87)+SUMIF($U$4:$U87,CONCATENATE("ReinvDiv",$C87),$F$4:$F87)+SUMIF($U$4:$U87,CONCATENATE("StkSplit",$C87),$F$4:$F87)-SUMIF($U$4:$U87,CONCATENATE("Sell",$C87),$F$4:$F87))</f>
        <v>20</v>
      </c>
      <c r="AC87" s="3">
        <f>IF(B87="Sell",F87*INDEX(V:V,LOOKUP(2,1/(X$4:X86=CONCATENATE(C87,"_ACB")),ROW(V$4:V86))),0)</f>
        <v>0</v>
      </c>
    </row>
    <row r="88" spans="1:29" x14ac:dyDescent="0.25">
      <c r="A88" s="20">
        <v>37211</v>
      </c>
      <c r="B88" t="s">
        <v>43</v>
      </c>
      <c r="C88" t="s">
        <v>36</v>
      </c>
      <c r="D88" s="3">
        <v>1.86</v>
      </c>
      <c r="M88" s="21">
        <f t="shared" si="14"/>
        <v>1.86</v>
      </c>
      <c r="N88" s="8">
        <f t="shared" si="9"/>
        <v>1.86</v>
      </c>
      <c r="O88" s="25">
        <f t="shared" si="10"/>
        <v>3164.4500000000007</v>
      </c>
      <c r="P88" s="8">
        <f t="shared" si="15"/>
        <v>0</v>
      </c>
      <c r="Q88" s="4">
        <f>IF(AND(S88&gt;=[1]eRRSP_Rpt!$C$6,S88&lt;=[1]eRRSP_Rpt!$C$7),1,0)</f>
        <v>0</v>
      </c>
      <c r="R88" s="4"/>
      <c r="S88" s="4">
        <f t="shared" si="12"/>
        <v>2001</v>
      </c>
      <c r="T88" s="4"/>
      <c r="U88" s="4" t="str">
        <f t="shared" si="16"/>
        <v>IntIncTDW</v>
      </c>
      <c r="V88" s="23">
        <f>IFERROR(IF(AND(AB88&gt;0,B88&lt;&gt;"Sell"),(AA88-SUMIF(C$4:C87,C88,AC$4:AC88))/AB88,0),"")</f>
        <v>0</v>
      </c>
      <c r="W88" s="24" t="str">
        <f t="shared" si="13"/>
        <v/>
      </c>
      <c r="X88" s="25" t="str">
        <f t="shared" si="11"/>
        <v/>
      </c>
      <c r="Y88" s="10" t="str">
        <f>IF(S89&lt;&gt;eRRSP_Tx_Table[[#This Row],[Year]],SUMIFS($W$4:$W88,$S$4:$S88,eRRSP_Tx_Table[[#This Row],[Year]],$W$4:$W88,"&gt;0"),"")</f>
        <v/>
      </c>
      <c r="Z88" s="10" t="str">
        <f>IF(S89&lt;&gt;eRRSP_Tx_Table[[#This Row],[Year]],SUMIFS($W$4:$W88,$S$4:$S88,eRRSP_Tx_Table[[#This Row],[Year]],$W$4:$W88,"&lt;0"),"")</f>
        <v/>
      </c>
      <c r="AA88" s="3">
        <f>(SUMIF($U$4:$U88,CONCATENATE("Buy",$C88),$N$4:$N88)+SUMIF($U$4:$U88,CONCATENATE("ReinvDiv",$C88),$N$4:$N88))</f>
        <v>0</v>
      </c>
      <c r="AB88" s="3">
        <f>(SUMIF($U$4:$U88,CONCATENATE("Buy",$C88),$F$4:$F88)+SUMIF($U$4:$U88,CONCATENATE("ReinvDiv",$C88),$F$4:$F88)+SUMIF($U$4:$U88,CONCATENATE("StkSplit",$C88),$F$4:$F88)-SUMIF($U$4:$U88,CONCATENATE("Sell",$C88),$F$4:$F88))</f>
        <v>0</v>
      </c>
      <c r="AC88" s="3">
        <f>IF(B88="Sell",F88*INDEX(V:V,LOOKUP(2,1/(X$4:X87=CONCATENATE(C88,"_ACB")),ROW(V$4:V87))),0)</f>
        <v>0</v>
      </c>
    </row>
    <row r="89" spans="1:29" x14ac:dyDescent="0.25">
      <c r="A89" s="20">
        <v>37226</v>
      </c>
      <c r="B89" t="s">
        <v>42</v>
      </c>
      <c r="C89" t="s">
        <v>33</v>
      </c>
      <c r="D89" s="3">
        <v>19.95</v>
      </c>
      <c r="M89" s="21">
        <f t="shared" si="14"/>
        <v>19.95</v>
      </c>
      <c r="N89" s="8">
        <f t="shared" si="9"/>
        <v>19.95</v>
      </c>
      <c r="O89" s="25">
        <f t="shared" si="10"/>
        <v>3184.4000000000005</v>
      </c>
      <c r="P89" s="8">
        <f t="shared" si="15"/>
        <v>0</v>
      </c>
      <c r="Q89" s="4">
        <f>IF(AND(S89&gt;=[1]eRRSP_Rpt!$C$6,S89&lt;=[1]eRRSP_Rpt!$C$7),1,0)</f>
        <v>0</v>
      </c>
      <c r="R89" s="4"/>
      <c r="S89" s="4">
        <f t="shared" si="12"/>
        <v>2001</v>
      </c>
      <c r="T89" s="4"/>
      <c r="U89" s="4" t="str">
        <f t="shared" si="16"/>
        <v>DivEnbridge</v>
      </c>
      <c r="V89" s="23">
        <f>IFERROR(IF(AND(AB89&gt;0,B89&lt;&gt;"Sell"),(AA89-SUMIF(C$4:C88,C89,AC$4:AC89))/AB89,0),"")</f>
        <v>-25.718055555555559</v>
      </c>
      <c r="W89" s="24" t="str">
        <f t="shared" si="13"/>
        <v/>
      </c>
      <c r="X89" s="25" t="str">
        <f t="shared" si="11"/>
        <v>Enbridge_ACB</v>
      </c>
      <c r="Y89" s="10" t="str">
        <f>IF(S90&lt;&gt;eRRSP_Tx_Table[[#This Row],[Year]],SUMIFS($W$4:$W89,$S$4:$S89,eRRSP_Tx_Table[[#This Row],[Year]],$W$4:$W89,"&gt;0"),"")</f>
        <v/>
      </c>
      <c r="Z89" s="10" t="str">
        <f>IF(S90&lt;&gt;eRRSP_Tx_Table[[#This Row],[Year]],SUMIFS($W$4:$W89,$S$4:$S89,eRRSP_Tx_Table[[#This Row],[Year]],$W$4:$W89,"&lt;0"),"")</f>
        <v/>
      </c>
      <c r="AA89" s="3">
        <f>(SUMIF($U$4:$U89,CONCATENATE("Buy",$C89),$N$4:$N89)+SUMIF($U$4:$U89,CONCATENATE("ReinvDiv",$C89),$N$4:$N89))</f>
        <v>-1851.7</v>
      </c>
      <c r="AB89" s="3">
        <f>(SUMIF($U$4:$U89,CONCATENATE("Buy",$C89),$F$4:$F89)+SUMIF($U$4:$U89,CONCATENATE("ReinvDiv",$C89),$F$4:$F89)+SUMIF($U$4:$U89,CONCATENATE("StkSplit",$C89),$F$4:$F89)-SUMIF($U$4:$U89,CONCATENATE("Sell",$C89),$F$4:$F89))</f>
        <v>57</v>
      </c>
      <c r="AC89" s="3">
        <f>IF(B89="Sell",F89*INDEX(V:V,LOOKUP(2,1/(X$4:X88=CONCATENATE(C89,"_ACB")),ROW(V$4:V88))),0)</f>
        <v>0</v>
      </c>
    </row>
    <row r="90" spans="1:29" x14ac:dyDescent="0.25">
      <c r="A90" s="20">
        <v>37238</v>
      </c>
      <c r="B90" t="s">
        <v>42</v>
      </c>
      <c r="C90" t="s">
        <v>53</v>
      </c>
      <c r="D90" s="3">
        <v>30.59</v>
      </c>
      <c r="M90" s="21">
        <f t="shared" si="14"/>
        <v>30.59</v>
      </c>
      <c r="N90" s="8">
        <f t="shared" si="9"/>
        <v>30.59</v>
      </c>
      <c r="O90" s="25">
        <f t="shared" si="10"/>
        <v>3214.9900000000007</v>
      </c>
      <c r="P90" s="8">
        <f t="shared" si="15"/>
        <v>0</v>
      </c>
      <c r="Q90" s="4">
        <f>IF(AND(S90&gt;=[1]eRRSP_Rpt!$C$6,S90&lt;=[1]eRRSP_Rpt!$C$7),1,0)</f>
        <v>0</v>
      </c>
      <c r="R90" s="4"/>
      <c r="S90" s="4">
        <f t="shared" si="12"/>
        <v>2001</v>
      </c>
      <c r="T90" s="4"/>
      <c r="U90" s="4" t="str">
        <f t="shared" si="16"/>
        <v>DivTD CDN Bond</v>
      </c>
      <c r="V90" s="23">
        <f>IFERROR(IF(AND(AB90&gt;0,B90&lt;&gt;"Sell"),(AA90-SUMIF(C$4:C89,C90,AC$4:AC90))/AB90,0),"")</f>
        <v>-12.100018755029071</v>
      </c>
      <c r="W90" s="24" t="str">
        <f t="shared" si="13"/>
        <v/>
      </c>
      <c r="X90" s="25" t="str">
        <f t="shared" si="11"/>
        <v>TD CDN Bond_ACB</v>
      </c>
      <c r="Y90" s="10" t="str">
        <f>IF(S91&lt;&gt;eRRSP_Tx_Table[[#This Row],[Year]],SUMIFS($W$4:$W90,$S$4:$S90,eRRSP_Tx_Table[[#This Row],[Year]],$W$4:$W90,"&gt;0"),"")</f>
        <v/>
      </c>
      <c r="Z90" s="10" t="str">
        <f>IF(S91&lt;&gt;eRRSP_Tx_Table[[#This Row],[Year]],SUMIFS($W$4:$W90,$S$4:$S90,eRRSP_Tx_Table[[#This Row],[Year]],$W$4:$W90,"&lt;0"),"")</f>
        <v/>
      </c>
      <c r="AA90" s="3">
        <f>(SUMIF($U$4:$U90,CONCATENATE("Buy",$C90),$N$4:$N90)+SUMIF($U$4:$U90,CONCATENATE("ReinvDiv",$C90),$N$4:$N90))</f>
        <v>-2000</v>
      </c>
      <c r="AB90" s="3">
        <f>(SUMIF($U$4:$U90,CONCATENATE("Buy",$C90),$F$4:$F90)+SUMIF($U$4:$U90,CONCATENATE("ReinvDiv",$C90),$F$4:$F90)+SUMIF($U$4:$U90,CONCATENATE("StkSplit",$C90),$F$4:$F90)-SUMIF($U$4:$U90,CONCATENATE("Sell",$C90),$F$4:$F90))</f>
        <v>165.28899999999999</v>
      </c>
      <c r="AC90" s="3">
        <f>IF(B90="Sell",F90*INDEX(V:V,LOOKUP(2,1/(X$4:X89=CONCATENATE(C90,"_ACB")),ROW(V$4:V89))),0)</f>
        <v>0</v>
      </c>
    </row>
    <row r="91" spans="1:29" x14ac:dyDescent="0.25">
      <c r="A91" s="20">
        <v>37241</v>
      </c>
      <c r="B91" t="s">
        <v>43</v>
      </c>
      <c r="C91" t="s">
        <v>36</v>
      </c>
      <c r="D91" s="3">
        <v>0.52</v>
      </c>
      <c r="M91" s="21">
        <f t="shared" si="14"/>
        <v>0.52</v>
      </c>
      <c r="N91" s="8">
        <f t="shared" si="9"/>
        <v>0.52</v>
      </c>
      <c r="O91" s="25">
        <f t="shared" si="10"/>
        <v>3215.5100000000007</v>
      </c>
      <c r="P91" s="8">
        <f t="shared" si="15"/>
        <v>0</v>
      </c>
      <c r="Q91" s="4">
        <f>IF(AND(S91&gt;=[1]eRRSP_Rpt!$C$6,S91&lt;=[1]eRRSP_Rpt!$C$7),1,0)</f>
        <v>0</v>
      </c>
      <c r="R91" s="4"/>
      <c r="S91" s="4">
        <f t="shared" si="12"/>
        <v>2001</v>
      </c>
      <c r="T91" s="4"/>
      <c r="U91" s="4" t="str">
        <f t="shared" si="16"/>
        <v>IntIncTDW</v>
      </c>
      <c r="V91" s="23">
        <f>IFERROR(IF(AND(AB91&gt;0,B91&lt;&gt;"Sell"),(AA91-SUMIF(C$4:C90,C91,AC$4:AC91))/AB91,0),"")</f>
        <v>0</v>
      </c>
      <c r="W91" s="24" t="str">
        <f t="shared" si="13"/>
        <v/>
      </c>
      <c r="X91" s="25" t="str">
        <f t="shared" si="11"/>
        <v/>
      </c>
      <c r="Y91" s="10" t="str">
        <f>IF(S92&lt;&gt;eRRSP_Tx_Table[[#This Row],[Year]],SUMIFS($W$4:$W91,$S$4:$S91,eRRSP_Tx_Table[[#This Row],[Year]],$W$4:$W91,"&gt;0"),"")</f>
        <v/>
      </c>
      <c r="Z91" s="10" t="str">
        <f>IF(S92&lt;&gt;eRRSP_Tx_Table[[#This Row],[Year]],SUMIFS($W$4:$W91,$S$4:$S91,eRRSP_Tx_Table[[#This Row],[Year]],$W$4:$W91,"&lt;0"),"")</f>
        <v/>
      </c>
      <c r="AA91" s="3">
        <f>(SUMIF($U$4:$U91,CONCATENATE("Buy",$C91),$N$4:$N91)+SUMIF($U$4:$U91,CONCATENATE("ReinvDiv",$C91),$N$4:$N91))</f>
        <v>0</v>
      </c>
      <c r="AB91" s="3">
        <f>(SUMIF($U$4:$U91,CONCATENATE("Buy",$C91),$F$4:$F91)+SUMIF($U$4:$U91,CONCATENATE("ReinvDiv",$C91),$F$4:$F91)+SUMIF($U$4:$U91,CONCATENATE("StkSplit",$C91),$F$4:$F91)-SUMIF($U$4:$U91,CONCATENATE("Sell",$C91),$F$4:$F91))</f>
        <v>0</v>
      </c>
      <c r="AC91" s="3">
        <f>IF(B91="Sell",F91*INDEX(V:V,LOOKUP(2,1/(X$4:X90=CONCATENATE(C91,"_ACB")),ROW(V$4:V90))),0)</f>
        <v>0</v>
      </c>
    </row>
    <row r="92" spans="1:29" x14ac:dyDescent="0.25">
      <c r="A92" s="20">
        <v>37242</v>
      </c>
      <c r="B92" t="s">
        <v>42</v>
      </c>
      <c r="C92" t="s">
        <v>52</v>
      </c>
      <c r="D92" s="3">
        <v>8.1</v>
      </c>
      <c r="M92" s="21">
        <f t="shared" si="14"/>
        <v>8.1</v>
      </c>
      <c r="N92" s="8">
        <f t="shared" si="9"/>
        <v>8.1</v>
      </c>
      <c r="O92" s="25">
        <f t="shared" si="10"/>
        <v>3223.6100000000006</v>
      </c>
      <c r="P92" s="8">
        <f t="shared" si="15"/>
        <v>0</v>
      </c>
      <c r="Q92" s="4">
        <f>IF(AND(S92&gt;=[1]eRRSP_Rpt!$C$6,S92&lt;=[1]eRRSP_Rpt!$C$7),1,0)</f>
        <v>0</v>
      </c>
      <c r="R92" s="4"/>
      <c r="S92" s="4">
        <f t="shared" si="12"/>
        <v>2001</v>
      </c>
      <c r="T92" s="4"/>
      <c r="U92" s="4" t="str">
        <f t="shared" si="16"/>
        <v>DivBMO Dividend</v>
      </c>
      <c r="V92" s="23">
        <f>IFERROR(IF(AND(AB92&gt;0,B92&lt;&gt;"Sell"),(AA92-SUMIF(C$4:C91,C92,AC$4:AC92))/AB92,0),"")</f>
        <v>-24.933925098489006</v>
      </c>
      <c r="W92" s="24" t="str">
        <f t="shared" si="13"/>
        <v/>
      </c>
      <c r="X92" s="25" t="str">
        <f t="shared" si="11"/>
        <v>BMO Dividend_ACB</v>
      </c>
      <c r="Y92" s="10" t="str">
        <f>IF(S93&lt;&gt;eRRSP_Tx_Table[[#This Row],[Year]],SUMIFS($W$4:$W92,$S$4:$S92,eRRSP_Tx_Table[[#This Row],[Year]],$W$4:$W92,"&gt;0"),"")</f>
        <v/>
      </c>
      <c r="Z92" s="10" t="str">
        <f>IF(S93&lt;&gt;eRRSP_Tx_Table[[#This Row],[Year]],SUMIFS($W$4:$W92,$S$4:$S92,eRRSP_Tx_Table[[#This Row],[Year]],$W$4:$W92,"&lt;0"),"")</f>
        <v/>
      </c>
      <c r="AA92" s="3">
        <f>(SUMIF($U$4:$U92,CONCATENATE("Buy",$C92),$N$4:$N92)+SUMIF($U$4:$U92,CONCATENATE("ReinvDiv",$C92),$N$4:$N92))</f>
        <v>-3000</v>
      </c>
      <c r="AB92" s="3">
        <f>(SUMIF($U$4:$U92,CONCATENATE("Buy",$C92),$F$4:$F92)+SUMIF($U$4:$U92,CONCATENATE("ReinvDiv",$C92),$F$4:$F92)+SUMIF($U$4:$U92,CONCATENATE("StkSplit",$C92),$F$4:$F92)-SUMIF($U$4:$U92,CONCATENATE("Sell",$C92),$F$4:$F92))</f>
        <v>120.318</v>
      </c>
      <c r="AC92" s="3">
        <f>IF(B92="Sell",F92*INDEX(V:V,LOOKUP(2,1/(X$4:X91=CONCATENATE(C92,"_ACB")),ROW(V$4:V91))),0)</f>
        <v>0</v>
      </c>
    </row>
    <row r="93" spans="1:29" x14ac:dyDescent="0.25">
      <c r="A93" s="20">
        <v>37246</v>
      </c>
      <c r="B93" t="s">
        <v>41</v>
      </c>
      <c r="C93" t="s">
        <v>50</v>
      </c>
      <c r="D93" s="3">
        <v>124.19</v>
      </c>
      <c r="E93">
        <v>5.94</v>
      </c>
      <c r="F93" s="3">
        <v>20.907</v>
      </c>
      <c r="M93" s="21">
        <f t="shared" si="14"/>
        <v>124.19</v>
      </c>
      <c r="N93" s="8">
        <f t="shared" si="9"/>
        <v>-124.19</v>
      </c>
      <c r="O93" s="25">
        <f t="shared" si="10"/>
        <v>3223.6100000000006</v>
      </c>
      <c r="P93" s="8">
        <f t="shared" si="15"/>
        <v>0</v>
      </c>
      <c r="Q93" s="4">
        <f>IF(AND(S93&gt;=[1]eRRSP_Rpt!$C$6,S93&lt;=[1]eRRSP_Rpt!$C$7),1,0)</f>
        <v>0</v>
      </c>
      <c r="R93" s="4"/>
      <c r="S93" s="4">
        <f t="shared" si="12"/>
        <v>2001</v>
      </c>
      <c r="T93" s="4"/>
      <c r="U93" s="4" t="str">
        <f t="shared" si="16"/>
        <v>ReinvDivTalvest Global Health Care RSP</v>
      </c>
      <c r="V93" s="23">
        <f>IFERROR(IF(AND(AB93&gt;0,B93&lt;&gt;"Sell"),(AA93-SUMIF(C$4:C92,C93,AC$4:AC93))/AB93,0),"")</f>
        <v>-5.7172200708006295</v>
      </c>
      <c r="W93" s="24" t="str">
        <f t="shared" si="13"/>
        <v/>
      </c>
      <c r="X93" s="25" t="str">
        <f t="shared" si="11"/>
        <v>Talvest Global Health Care RSP_ACB</v>
      </c>
      <c r="Y93" s="10" t="str">
        <f>IF(S94&lt;&gt;eRRSP_Tx_Table[[#This Row],[Year]],SUMIFS($W$4:$W93,$S$4:$S93,eRRSP_Tx_Table[[#This Row],[Year]],$W$4:$W93,"&gt;0"),"")</f>
        <v/>
      </c>
      <c r="Z93" s="10" t="str">
        <f>IF(S94&lt;&gt;eRRSP_Tx_Table[[#This Row],[Year]],SUMIFS($W$4:$W93,$S$4:$S93,eRRSP_Tx_Table[[#This Row],[Year]],$W$4:$W93,"&lt;0"),"")</f>
        <v/>
      </c>
      <c r="AA93" s="3">
        <f>(SUMIF($U$4:$U93,CONCATENATE("Buy",$C93),$N$4:$N93)+SUMIF($U$4:$U93,CONCATENATE("ReinvDiv",$C93),$N$4:$N93))</f>
        <v>-1650.55</v>
      </c>
      <c r="AB93" s="3">
        <f>(SUMIF($U$4:$U93,CONCATENATE("Buy",$C93),$F$4:$F93)+SUMIF($U$4:$U93,CONCATENATE("ReinvDiv",$C93),$F$4:$F93)+SUMIF($U$4:$U93,CONCATENATE("StkSplit",$C93),$F$4:$F93)-SUMIF($U$4:$U93,CONCATENATE("Sell",$C93),$F$4:$F93))</f>
        <v>288.69799999999998</v>
      </c>
      <c r="AC93" s="3">
        <f>IF(B93="Sell",F93*INDEX(V:V,LOOKUP(2,1/(X$4:X92=CONCATENATE(C93,"_ACB")),ROW(V$4:V92))),0)</f>
        <v>0</v>
      </c>
    </row>
    <row r="94" spans="1:29" x14ac:dyDescent="0.25">
      <c r="A94" s="20">
        <v>37246</v>
      </c>
      <c r="B94" t="s">
        <v>41</v>
      </c>
      <c r="C94" t="s">
        <v>37</v>
      </c>
      <c r="D94" s="3">
        <v>10.62</v>
      </c>
      <c r="E94">
        <v>30.34</v>
      </c>
      <c r="F94" s="3">
        <v>0.35</v>
      </c>
      <c r="M94" s="21">
        <f t="shared" si="14"/>
        <v>10.62</v>
      </c>
      <c r="N94" s="8">
        <f t="shared" si="9"/>
        <v>-10.62</v>
      </c>
      <c r="O94" s="25">
        <f t="shared" si="10"/>
        <v>3223.6100000000006</v>
      </c>
      <c r="P94" s="8">
        <f t="shared" si="15"/>
        <v>0</v>
      </c>
      <c r="Q94" s="4">
        <f>IF(AND(S94&gt;=[1]eRRSP_Rpt!$C$6,S94&lt;=[1]eRRSP_Rpt!$C$7),1,0)</f>
        <v>0</v>
      </c>
      <c r="R94" s="4"/>
      <c r="S94" s="4">
        <f t="shared" si="12"/>
        <v>2001</v>
      </c>
      <c r="T94" s="4"/>
      <c r="U94" s="4" t="str">
        <f t="shared" si="16"/>
        <v>ReinvDivTrimark Fund</v>
      </c>
      <c r="V94" s="23">
        <f>IFERROR(IF(AND(AB94&gt;0,B94&lt;&gt;"Sell"),(AA94-SUMIF(C$4:C93,C94,AC$4:AC94))/AB94,0),"")</f>
        <v>-27.738447294855774</v>
      </c>
      <c r="W94" s="24" t="str">
        <f t="shared" si="13"/>
        <v/>
      </c>
      <c r="X94" s="25" t="str">
        <f t="shared" si="11"/>
        <v>Trimark Fund_ACB</v>
      </c>
      <c r="Y94" s="10" t="str">
        <f>IF(S95&lt;&gt;eRRSP_Tx_Table[[#This Row],[Year]],SUMIFS($W$4:$W94,$S$4:$S94,eRRSP_Tx_Table[[#This Row],[Year]],$W$4:$W94,"&gt;0"),"")</f>
        <v/>
      </c>
      <c r="Z94" s="10" t="str">
        <f>IF(S95&lt;&gt;eRRSP_Tx_Table[[#This Row],[Year]],SUMIFS($W$4:$W94,$S$4:$S94,eRRSP_Tx_Table[[#This Row],[Year]],$W$4:$W94,"&lt;0"),"")</f>
        <v/>
      </c>
      <c r="AA94" s="3">
        <f>(SUMIF($U$4:$U94,CONCATENATE("Buy",$C94),$N$4:$N94)+SUMIF($U$4:$U94,CONCATENATE("ReinvDiv",$C94),$N$4:$N94))</f>
        <v>-3085.93</v>
      </c>
      <c r="AB94" s="3">
        <f>(SUMIF($U$4:$U94,CONCATENATE("Buy",$C94),$F$4:$F94)+SUMIF($U$4:$U94,CONCATENATE("ReinvDiv",$C94),$F$4:$F94)+SUMIF($U$4:$U94,CONCATENATE("StkSplit",$C94),$F$4:$F94)-SUMIF($U$4:$U94,CONCATENATE("Sell",$C94),$F$4:$F94))</f>
        <v>111.251</v>
      </c>
      <c r="AC94" s="3">
        <f>IF(B94="Sell",F94*INDEX(V:V,LOOKUP(2,1/(X$4:X93=CONCATENATE(C94,"_ACB")),ROW(V$4:V93))),0)</f>
        <v>0</v>
      </c>
    </row>
    <row r="95" spans="1:29" x14ac:dyDescent="0.25">
      <c r="A95" s="20">
        <v>37246</v>
      </c>
      <c r="B95" t="s">
        <v>41</v>
      </c>
      <c r="C95" t="s">
        <v>39</v>
      </c>
      <c r="D95" s="3">
        <v>34.380000000000003</v>
      </c>
      <c r="E95">
        <v>9.088025</v>
      </c>
      <c r="F95" s="3">
        <v>3.7829999999999999</v>
      </c>
      <c r="M95" s="21">
        <f t="shared" si="14"/>
        <v>34.380000000000003</v>
      </c>
      <c r="N95" s="8">
        <f>IF(OR(B95="Buy",B95="ReinvDiv"),-M95-G95,M95-G95)</f>
        <v>-34.380000000000003</v>
      </c>
      <c r="O95" s="25">
        <f t="shared" si="10"/>
        <v>3223.6100000000006</v>
      </c>
      <c r="P95" s="8">
        <f t="shared" si="15"/>
        <v>0</v>
      </c>
      <c r="Q95" s="4">
        <f>IF(AND(S95&gt;=[1]eRRSP_Rpt!$C$6,S95&lt;=[1]eRRSP_Rpt!$C$7),1,0)</f>
        <v>0</v>
      </c>
      <c r="R95" s="4"/>
      <c r="S95" s="4">
        <f t="shared" si="12"/>
        <v>2001</v>
      </c>
      <c r="T95" s="4"/>
      <c r="U95" s="4" t="str">
        <f t="shared" si="16"/>
        <v>ReinvDivTrimark Income Growth</v>
      </c>
      <c r="V95" s="23">
        <f>IFERROR(IF(AND(AB95&gt;0,B95&lt;&gt;"Sell"),(AA95-SUMIF(C$4:C94,C95,AC$4:AC95))/AB95,0),"")</f>
        <v>-7.7383066246430205</v>
      </c>
      <c r="W95" s="24" t="str">
        <f t="shared" si="13"/>
        <v/>
      </c>
      <c r="X95" s="25" t="str">
        <f t="shared" si="11"/>
        <v>Trimark Income Growth_ACB</v>
      </c>
      <c r="Y95" s="10" t="str">
        <f>IF(S96&lt;&gt;eRRSP_Tx_Table[[#This Row],[Year]],SUMIFS($W$4:$W95,$S$4:$S95,eRRSP_Tx_Table[[#This Row],[Year]],$W$4:$W95,"&gt;0"),"")</f>
        <v/>
      </c>
      <c r="Z95" s="10" t="str">
        <f>IF(S96&lt;&gt;eRRSP_Tx_Table[[#This Row],[Year]],SUMIFS($W$4:$W95,$S$4:$S95,eRRSP_Tx_Table[[#This Row],[Year]],$W$4:$W95,"&lt;0"),"")</f>
        <v/>
      </c>
      <c r="AA95" s="3">
        <f>(SUMIF($U$4:$U95,CONCATENATE("Buy",$C95),$N$4:$N95)+SUMIF($U$4:$U95,CONCATENATE("ReinvDiv",$C95),$N$4:$N95))</f>
        <v>-2091.85</v>
      </c>
      <c r="AB95" s="3">
        <f>(SUMIF($U$4:$U95,CONCATENATE("Buy",$C95),$F$4:$F95)+SUMIF($U$4:$U95,CONCATENATE("ReinvDiv",$C95),$F$4:$F95)+SUMIF($U$4:$U95,CONCATENATE("StkSplit",$C95),$F$4:$F95)-SUMIF($U$4:$U95,CONCATENATE("Sell",$C95),$F$4:$F95))</f>
        <v>270.32400000000001</v>
      </c>
      <c r="AC95" s="3">
        <f>IF(B95="Sell",F95*INDEX(V:V,LOOKUP(2,1/(X$4:X94=CONCATENATE(C95,"_ACB")),ROW(V$4:V94))),0)</f>
        <v>0</v>
      </c>
    </row>
    <row r="96" spans="1:29" ht="13.5" customHeight="1" x14ac:dyDescent="0.25">
      <c r="A96" s="32">
        <f>A30+364</f>
        <v>37256</v>
      </c>
      <c r="B96" s="33"/>
      <c r="C96" s="33"/>
      <c r="D96" s="34"/>
      <c r="E96" s="33"/>
      <c r="F96" s="34"/>
      <c r="G96" s="33"/>
      <c r="H96" s="33"/>
      <c r="I96" s="33"/>
      <c r="J96" s="33"/>
      <c r="K96" s="33"/>
      <c r="L96" s="33"/>
      <c r="M96" s="35"/>
      <c r="N96" s="8"/>
      <c r="O96" s="36"/>
      <c r="P96" s="37">
        <v>-29931.61</v>
      </c>
      <c r="Q96" s="4">
        <f>IF(AND(S96&gt;=[1]eRRSP_Rpt!$C$6,S96&lt;=[1]eRRSP_Rpt!$C$7),1,0)</f>
        <v>0</v>
      </c>
      <c r="R96" s="4" t="s">
        <v>34</v>
      </c>
      <c r="S96" s="4">
        <f>YEAR(A96)</f>
        <v>2001</v>
      </c>
      <c r="T96" s="22"/>
      <c r="U96" s="4"/>
      <c r="V96" s="23">
        <f>IFERROR(IF(AND(AB96&gt;0,B96&lt;&gt;"Sell"),(AA96-SUMIF(C$4:C95,C96,AC$4:AC96))/AB96,0),"")</f>
        <v>0</v>
      </c>
      <c r="W96" s="24" t="str">
        <f t="shared" si="13"/>
        <v/>
      </c>
      <c r="X96" s="25" t="str">
        <f t="shared" si="11"/>
        <v/>
      </c>
      <c r="Y96" s="10">
        <f>IF(S97&lt;&gt;eRRSP_Tx_Table[[#This Row],[Year]],SUMIFS($W$4:$W96,$S$4:$S96,eRRSP_Tx_Table[[#This Row],[Year]],$W$4:$W96,"&gt;0"),"")</f>
        <v>344.32757921147578</v>
      </c>
      <c r="Z96" s="10">
        <f>IF(S97&lt;&gt;eRRSP_Tx_Table[[#This Row],[Year]],SUMIFS($W$4:$W96,$S$4:$S96,eRRSP_Tx_Table[[#This Row],[Year]],$W$4:$W96,"&lt;0"),"")</f>
        <v>0</v>
      </c>
      <c r="AA96" s="3">
        <f>(SUMIF($U$4:$U96,CONCATENATE("Buy",$C96),$N$4:$N96)+SUMIF($U$4:$U96,CONCATENATE("ReinvDiv",$C96),$N$4:$N96))</f>
        <v>0</v>
      </c>
      <c r="AB96" s="3">
        <f>(SUMIF($U$4:$U96,CONCATENATE("Buy",$C96),$F$4:$F96)+SUMIF($U$4:$U96,CONCATENATE("ReinvDiv",$C96),$F$4:$F96)+SUMIF($U$4:$U96,CONCATENATE("StkSplit",$C96),$F$4:$F96)-SUMIF($U$4:$U96,CONCATENATE("Sell",$C96),$F$4:$F96))</f>
        <v>0</v>
      </c>
      <c r="AC96" s="3">
        <f>IF(B96="Sell",F96*INDEX(V:V,LOOKUP(2,1/(X$4:X95=CONCATENATE(C96,"_ACB")),ROW(V$4:V95))),0)</f>
        <v>0</v>
      </c>
    </row>
    <row r="97" spans="1:29" ht="13.5" customHeight="1" x14ac:dyDescent="0.25">
      <c r="A97" s="32">
        <f>A96+1</f>
        <v>37257</v>
      </c>
      <c r="B97" s="33"/>
      <c r="C97" s="33"/>
      <c r="D97" s="34"/>
      <c r="E97" s="33"/>
      <c r="F97" s="34"/>
      <c r="G97" s="33"/>
      <c r="H97" s="33"/>
      <c r="I97" s="33"/>
      <c r="J97" s="33"/>
      <c r="K97" s="33"/>
      <c r="L97" s="33"/>
      <c r="M97" s="35"/>
      <c r="N97" s="8"/>
      <c r="O97" s="36"/>
      <c r="P97" s="37">
        <f>-P96</f>
        <v>29931.61</v>
      </c>
      <c r="Q97" s="4">
        <f>IF(AND(S97&gt;=[1]eRRSP_Rpt!$C$6,S97&lt;=[1]eRRSP_Rpt!$C$7),1,0)</f>
        <v>0</v>
      </c>
      <c r="R97" s="4" t="s">
        <v>34</v>
      </c>
      <c r="S97" s="4">
        <f>YEAR(A97)</f>
        <v>2002</v>
      </c>
      <c r="T97" s="22"/>
      <c r="U97" s="4"/>
      <c r="V97" s="23">
        <f>IFERROR(IF(AND(AB97&gt;0,B97&lt;&gt;"Sell"),(AA97-SUMIF(C$4:C96,C97,AC$4:AC97))/AB97,0),"")</f>
        <v>0</v>
      </c>
      <c r="W97" s="24" t="str">
        <f t="shared" si="13"/>
        <v/>
      </c>
      <c r="X97" s="25" t="str">
        <f t="shared" si="11"/>
        <v/>
      </c>
      <c r="Y97" s="10" t="str">
        <f>IF(S98&lt;&gt;eRRSP_Tx_Table[[#This Row],[Year]],SUMIFS($W$4:$W97,$S$4:$S97,eRRSP_Tx_Table[[#This Row],[Year]],$W$4:$W97,"&gt;0"),"")</f>
        <v/>
      </c>
      <c r="Z97" s="10" t="str">
        <f>IF(S98&lt;&gt;eRRSP_Tx_Table[[#This Row],[Year]],SUMIFS($W$4:$W97,$S$4:$S97,eRRSP_Tx_Table[[#This Row],[Year]],$W$4:$W97,"&lt;0"),"")</f>
        <v/>
      </c>
      <c r="AA97" s="3">
        <f>(SUMIF($U$4:$U97,CONCATENATE("Buy",$C97),$N$4:$N97)+SUMIF($U$4:$U97,CONCATENATE("ReinvDiv",$C97),$N$4:$N97))</f>
        <v>0</v>
      </c>
      <c r="AB97" s="3">
        <f>(SUMIF($U$4:$U97,CONCATENATE("Buy",$C97),$F$4:$F97)+SUMIF($U$4:$U97,CONCATENATE("ReinvDiv",$C97),$F$4:$F97)+SUMIF($U$4:$U97,CONCATENATE("StkSplit",$C97),$F$4:$F97)-SUMIF($U$4:$U97,CONCATENATE("Sell",$C97),$F$4:$F97))</f>
        <v>0</v>
      </c>
      <c r="AC97" s="3">
        <f>IF(B97="Sell",F97*INDEX(V:V,LOOKUP(2,1/(X$4:X96=CONCATENATE(C97,"_ACB")),ROW(V$4:V96))),0)</f>
        <v>0</v>
      </c>
    </row>
    <row r="98" spans="1:29" x14ac:dyDescent="0.25">
      <c r="A98" s="20">
        <v>37258</v>
      </c>
      <c r="B98" t="s">
        <v>42</v>
      </c>
      <c r="C98" t="s">
        <v>48</v>
      </c>
      <c r="D98" s="3">
        <v>3</v>
      </c>
      <c r="M98" s="21">
        <f t="shared" si="14"/>
        <v>3</v>
      </c>
      <c r="N98" s="8">
        <f t="shared" ref="N98:N142" si="17">IF(OR(B98="Buy",B98="ReinvDiv"),-M98-G98,M98-G98)</f>
        <v>3</v>
      </c>
      <c r="O98" s="25">
        <f>O95+IF(OR(B98="Cash",B98="Buy",B98="Sell",B98="Div",B98="Rebate",B98="Fees",B98="IntInc",B98="Tax",B98="Distr"),N98,0)</f>
        <v>3226.6100000000006</v>
      </c>
      <c r="P98" s="8">
        <f t="shared" si="15"/>
        <v>0</v>
      </c>
      <c r="Q98" s="4">
        <f>IF(AND(S98&gt;=[1]eRRSP_Rpt!$C$6,S98&lt;=[1]eRRSP_Rpt!$C$7),1,0)</f>
        <v>0</v>
      </c>
      <c r="R98" s="4"/>
      <c r="S98" s="4">
        <f t="shared" si="12"/>
        <v>2002</v>
      </c>
      <c r="T98" s="4"/>
      <c r="U98" s="4" t="str">
        <f t="shared" si="16"/>
        <v>DivTelus</v>
      </c>
      <c r="V98" s="23">
        <f>IFERROR(IF(AND(AB98&gt;0,B98&lt;&gt;"Sell"),(AA98-SUMIF(C$4:C97,C98,AC$4:AC98))/AB98,0),"")</f>
        <v>-40.450000000000003</v>
      </c>
      <c r="W98" s="24" t="str">
        <f t="shared" si="13"/>
        <v/>
      </c>
      <c r="X98" s="25" t="str">
        <f t="shared" si="11"/>
        <v>Telus_ACB</v>
      </c>
      <c r="Y98" s="10" t="str">
        <f>IF(S99&lt;&gt;eRRSP_Tx_Table[[#This Row],[Year]],SUMIFS($W$4:$W98,$S$4:$S98,eRRSP_Tx_Table[[#This Row],[Year]],$W$4:$W98,"&gt;0"),"")</f>
        <v/>
      </c>
      <c r="Z98" s="10" t="str">
        <f>IF(S99&lt;&gt;eRRSP_Tx_Table[[#This Row],[Year]],SUMIFS($W$4:$W98,$S$4:$S98,eRRSP_Tx_Table[[#This Row],[Year]],$W$4:$W98,"&lt;0"),"")</f>
        <v/>
      </c>
      <c r="AA98" s="3">
        <f>(SUMIF($U$4:$U98,CONCATENATE("Buy",$C98),$N$4:$N98)+SUMIF($U$4:$U98,CONCATENATE("ReinvDiv",$C98),$N$4:$N98))</f>
        <v>-809</v>
      </c>
      <c r="AB98" s="3">
        <f>(SUMIF($U$4:$U98,CONCATENATE("Buy",$C98),$F$4:$F98)+SUMIF($U$4:$U98,CONCATENATE("ReinvDiv",$C98),$F$4:$F98)+SUMIF($U$4:$U98,CONCATENATE("StkSplit",$C98),$F$4:$F98)-SUMIF($U$4:$U98,CONCATENATE("Sell",$C98),$F$4:$F98))</f>
        <v>20</v>
      </c>
      <c r="AC98" s="3">
        <f>IF(B98="Sell",F98*INDEX(V:V,LOOKUP(2,1/(X$4:X97=CONCATENATE(C98,"_ACB")),ROW(V$4:V97))),0)</f>
        <v>0</v>
      </c>
    </row>
    <row r="99" spans="1:29" x14ac:dyDescent="0.25">
      <c r="A99" s="20">
        <v>37271</v>
      </c>
      <c r="B99" t="s">
        <v>42</v>
      </c>
      <c r="C99" t="s">
        <v>46</v>
      </c>
      <c r="D99" s="3">
        <v>6</v>
      </c>
      <c r="M99" s="21">
        <f t="shared" si="14"/>
        <v>6</v>
      </c>
      <c r="N99" s="8">
        <f t="shared" si="17"/>
        <v>6</v>
      </c>
      <c r="O99" s="25">
        <f t="shared" ref="O99:O142" si="18">O98+IF(OR(B99="Cash",B99="Buy",B99="Sell",B99="Div",B99="Rebate",B99="Fees",B99="IntInc",B99="Tax",B99="Distr"),N99,0)</f>
        <v>3232.6100000000006</v>
      </c>
      <c r="P99" s="8">
        <f t="shared" si="15"/>
        <v>0</v>
      </c>
      <c r="Q99" s="4">
        <f>IF(AND(S99&gt;=[1]eRRSP_Rpt!$C$6,S99&lt;=[1]eRRSP_Rpt!$C$7),1,0)</f>
        <v>0</v>
      </c>
      <c r="R99" s="4"/>
      <c r="S99" s="4">
        <f t="shared" si="12"/>
        <v>2002</v>
      </c>
      <c r="T99" s="4"/>
      <c r="U99" s="4" t="str">
        <f t="shared" si="16"/>
        <v>DivBCE</v>
      </c>
      <c r="V99" s="23">
        <f>IFERROR(IF(AND(AB99&gt;0,B99&lt;&gt;"Sell"),(AA99-SUMIF(C$4:C98,C99,AC$4:AC99))/AB99,0),"")</f>
        <v>-40.450000000000003</v>
      </c>
      <c r="W99" s="24" t="str">
        <f t="shared" si="13"/>
        <v/>
      </c>
      <c r="X99" s="25" t="str">
        <f t="shared" si="11"/>
        <v>BCE_ACB</v>
      </c>
      <c r="Y99" s="10" t="str">
        <f>IF(S100&lt;&gt;eRRSP_Tx_Table[[#This Row],[Year]],SUMIFS($W$4:$W99,$S$4:$S99,eRRSP_Tx_Table[[#This Row],[Year]],$W$4:$W99,"&gt;0"),"")</f>
        <v/>
      </c>
      <c r="Z99" s="10" t="str">
        <f>IF(S100&lt;&gt;eRRSP_Tx_Table[[#This Row],[Year]],SUMIFS($W$4:$W99,$S$4:$S99,eRRSP_Tx_Table[[#This Row],[Year]],$W$4:$W99,"&lt;0"),"")</f>
        <v/>
      </c>
      <c r="AA99" s="3">
        <f>(SUMIF($U$4:$U99,CONCATENATE("Buy",$C99),$N$4:$N99)+SUMIF($U$4:$U99,CONCATENATE("ReinvDiv",$C99),$N$4:$N99))</f>
        <v>-809</v>
      </c>
      <c r="AB99" s="3">
        <f>(SUMIF($U$4:$U99,CONCATENATE("Buy",$C99),$F$4:$F99)+SUMIF($U$4:$U99,CONCATENATE("ReinvDiv",$C99),$F$4:$F99)+SUMIF($U$4:$U99,CONCATENATE("StkSplit",$C99),$F$4:$F99)-SUMIF($U$4:$U99,CONCATENATE("Sell",$C99),$F$4:$F99))</f>
        <v>20</v>
      </c>
      <c r="AC99" s="3">
        <f>IF(B99="Sell",F99*INDEX(V:V,LOOKUP(2,1/(X$4:X98=CONCATENATE(C99,"_ACB")),ROW(V$4:V98))),0)</f>
        <v>0</v>
      </c>
    </row>
    <row r="100" spans="1:29" x14ac:dyDescent="0.25">
      <c r="A100" s="20">
        <v>37287</v>
      </c>
      <c r="B100" t="s">
        <v>42</v>
      </c>
      <c r="C100" t="s">
        <v>47</v>
      </c>
      <c r="D100" s="3">
        <v>1.36</v>
      </c>
      <c r="M100" s="21">
        <f t="shared" si="14"/>
        <v>1.36</v>
      </c>
      <c r="N100" s="8">
        <f t="shared" si="17"/>
        <v>1.36</v>
      </c>
      <c r="O100" s="25">
        <f t="shared" si="18"/>
        <v>3233.9700000000007</v>
      </c>
      <c r="P100" s="8">
        <f t="shared" si="15"/>
        <v>0</v>
      </c>
      <c r="Q100" s="4">
        <f>IF(AND(S100&gt;=[1]eRRSP_Rpt!$C$6,S100&lt;=[1]eRRSP_Rpt!$C$7),1,0)</f>
        <v>0</v>
      </c>
      <c r="R100" s="4"/>
      <c r="S100" s="4">
        <f t="shared" si="12"/>
        <v>2002</v>
      </c>
      <c r="T100" s="4"/>
      <c r="U100" s="4" t="str">
        <f t="shared" si="16"/>
        <v>DivBombardier</v>
      </c>
      <c r="V100" s="23">
        <f>IFERROR(IF(AND(AB100&gt;0,B100&lt;&gt;"Sell"),(AA100-SUMIF(C$4:C99,C100,AC$4:AC100))/AB100,0),"")</f>
        <v>-23.216666666666665</v>
      </c>
      <c r="W100" s="24" t="str">
        <f t="shared" si="13"/>
        <v/>
      </c>
      <c r="X100" s="25" t="str">
        <f t="shared" si="11"/>
        <v>Bombardier_ACB</v>
      </c>
      <c r="Y100" s="10" t="str">
        <f>IF(S101&lt;&gt;eRRSP_Tx_Table[[#This Row],[Year]],SUMIFS($W$4:$W100,$S$4:$S100,eRRSP_Tx_Table[[#This Row],[Year]],$W$4:$W100,"&gt;0"),"")</f>
        <v/>
      </c>
      <c r="Z100" s="10" t="str">
        <f>IF(S101&lt;&gt;eRRSP_Tx_Table[[#This Row],[Year]],SUMIFS($W$4:$W100,$S$4:$S100,eRRSP_Tx_Table[[#This Row],[Year]],$W$4:$W100,"&lt;0"),"")</f>
        <v/>
      </c>
      <c r="AA100" s="3">
        <f>(SUMIF($U$4:$U100,CONCATENATE("Buy",$C100),$N$4:$N100)+SUMIF($U$4:$U100,CONCATENATE("ReinvDiv",$C100),$N$4:$N100))</f>
        <v>-696.5</v>
      </c>
      <c r="AB100" s="3">
        <f>(SUMIF($U$4:$U100,CONCATENATE("Buy",$C100),$F$4:$F100)+SUMIF($U$4:$U100,CONCATENATE("ReinvDiv",$C100),$F$4:$F100)+SUMIF($U$4:$U100,CONCATENATE("StkSplit",$C100),$F$4:$F100)-SUMIF($U$4:$U100,CONCATENATE("Sell",$C100),$F$4:$F100))</f>
        <v>30</v>
      </c>
      <c r="AC100" s="3">
        <f>IF(B100="Sell",F100*INDEX(V:V,LOOKUP(2,1/(X$4:X99=CONCATENATE(C100,"_ACB")),ROW(V$4:V99))),0)</f>
        <v>0</v>
      </c>
    </row>
    <row r="101" spans="1:29" x14ac:dyDescent="0.25">
      <c r="A101" s="20">
        <v>37287</v>
      </c>
      <c r="B101" t="s">
        <v>42</v>
      </c>
      <c r="C101" t="s">
        <v>45</v>
      </c>
      <c r="D101" s="3">
        <v>5.6</v>
      </c>
      <c r="M101" s="21">
        <f t="shared" si="14"/>
        <v>5.6</v>
      </c>
      <c r="N101" s="8">
        <f t="shared" si="17"/>
        <v>5.6</v>
      </c>
      <c r="O101" s="25">
        <f t="shared" si="18"/>
        <v>3239.5700000000006</v>
      </c>
      <c r="P101" s="8">
        <f t="shared" si="15"/>
        <v>0</v>
      </c>
      <c r="Q101" s="4">
        <f>IF(AND(S101&gt;=[1]eRRSP_Rpt!$C$6,S101&lt;=[1]eRRSP_Rpt!$C$7),1,0)</f>
        <v>0</v>
      </c>
      <c r="R101" s="4"/>
      <c r="S101" s="4">
        <f t="shared" si="12"/>
        <v>2002</v>
      </c>
      <c r="T101" s="4"/>
      <c r="U101" s="4" t="str">
        <f t="shared" si="16"/>
        <v>DivTD Bank</v>
      </c>
      <c r="V101" s="23">
        <f>IFERROR(IF(AND(AB101&gt;0,B101&lt;&gt;"Sell"),(AA101-SUMIF(C$4:C100,C101,AC$4:AC101))/AB101,0),"")</f>
        <v>-44.29</v>
      </c>
      <c r="W101" s="24" t="str">
        <f t="shared" si="13"/>
        <v/>
      </c>
      <c r="X101" s="25" t="str">
        <f t="shared" si="11"/>
        <v>TD Bank_ACB</v>
      </c>
      <c r="Y101" s="10" t="str">
        <f>IF(S102&lt;&gt;eRRSP_Tx_Table[[#This Row],[Year]],SUMIFS($W$4:$W101,$S$4:$S101,eRRSP_Tx_Table[[#This Row],[Year]],$W$4:$W101,"&gt;0"),"")</f>
        <v/>
      </c>
      <c r="Z101" s="10" t="str">
        <f>IF(S102&lt;&gt;eRRSP_Tx_Table[[#This Row],[Year]],SUMIFS($W$4:$W101,$S$4:$S101,eRRSP_Tx_Table[[#This Row],[Year]],$W$4:$W101,"&lt;0"),"")</f>
        <v/>
      </c>
      <c r="AA101" s="3">
        <f>(SUMIF($U$4:$U101,CONCATENATE("Buy",$C101),$N$4:$N101)+SUMIF($U$4:$U101,CONCATENATE("ReinvDiv",$C101),$N$4:$N101))</f>
        <v>-885.8</v>
      </c>
      <c r="AB101" s="3">
        <f>(SUMIF($U$4:$U101,CONCATENATE("Buy",$C101),$F$4:$F101)+SUMIF($U$4:$U101,CONCATENATE("ReinvDiv",$C101),$F$4:$F101)+SUMIF($U$4:$U101,CONCATENATE("StkSplit",$C101),$F$4:$F101)-SUMIF($U$4:$U101,CONCATENATE("Sell",$C101),$F$4:$F101))</f>
        <v>20</v>
      </c>
      <c r="AC101" s="3">
        <f>IF(B101="Sell",F101*INDEX(V:V,LOOKUP(2,1/(X$4:X100=CONCATENATE(C101,"_ACB")),ROW(V$4:V100))),0)</f>
        <v>0</v>
      </c>
    </row>
    <row r="102" spans="1:29" x14ac:dyDescent="0.25">
      <c r="A102" s="20">
        <v>37316</v>
      </c>
      <c r="B102" t="s">
        <v>42</v>
      </c>
      <c r="C102" t="s">
        <v>33</v>
      </c>
      <c r="D102" s="3">
        <v>21.66</v>
      </c>
      <c r="M102" s="21">
        <f t="shared" si="14"/>
        <v>21.66</v>
      </c>
      <c r="N102" s="8">
        <f t="shared" si="17"/>
        <v>21.66</v>
      </c>
      <c r="O102" s="25">
        <f t="shared" si="18"/>
        <v>3261.2300000000005</v>
      </c>
      <c r="P102" s="8">
        <f t="shared" si="15"/>
        <v>0</v>
      </c>
      <c r="Q102" s="4">
        <f>IF(AND(S102&gt;=[1]eRRSP_Rpt!$C$6,S102&lt;=[1]eRRSP_Rpt!$C$7),1,0)</f>
        <v>0</v>
      </c>
      <c r="R102" s="4"/>
      <c r="S102" s="4">
        <f t="shared" si="12"/>
        <v>2002</v>
      </c>
      <c r="T102" s="4"/>
      <c r="U102" s="4" t="str">
        <f t="shared" si="16"/>
        <v>DivEnbridge</v>
      </c>
      <c r="V102" s="23">
        <f>IFERROR(IF(AND(AB102&gt;0,B102&lt;&gt;"Sell"),(AA102-SUMIF(C$4:C101,C102,AC$4:AC102))/AB102,0),"")</f>
        <v>-25.718055555555559</v>
      </c>
      <c r="W102" s="24" t="str">
        <f t="shared" si="13"/>
        <v/>
      </c>
      <c r="X102" s="25" t="str">
        <f t="shared" si="11"/>
        <v>Enbridge_ACB</v>
      </c>
      <c r="Y102" s="10" t="str">
        <f>IF(S103&lt;&gt;eRRSP_Tx_Table[[#This Row],[Year]],SUMIFS($W$4:$W102,$S$4:$S102,eRRSP_Tx_Table[[#This Row],[Year]],$W$4:$W102,"&gt;0"),"")</f>
        <v/>
      </c>
      <c r="Z102" s="10" t="str">
        <f>IF(S103&lt;&gt;eRRSP_Tx_Table[[#This Row],[Year]],SUMIFS($W$4:$W102,$S$4:$S102,eRRSP_Tx_Table[[#This Row],[Year]],$W$4:$W102,"&lt;0"),"")</f>
        <v/>
      </c>
      <c r="AA102" s="3">
        <f>(SUMIF($U$4:$U102,CONCATENATE("Buy",$C102),$N$4:$N102)+SUMIF($U$4:$U102,CONCATENATE("ReinvDiv",$C102),$N$4:$N102))</f>
        <v>-1851.7</v>
      </c>
      <c r="AB102" s="3">
        <f>(SUMIF($U$4:$U102,CONCATENATE("Buy",$C102),$F$4:$F102)+SUMIF($U$4:$U102,CONCATENATE("ReinvDiv",$C102),$F$4:$F102)+SUMIF($U$4:$U102,CONCATENATE("StkSplit",$C102),$F$4:$F102)-SUMIF($U$4:$U102,CONCATENATE("Sell",$C102),$F$4:$F102))</f>
        <v>57</v>
      </c>
      <c r="AC102" s="3">
        <f>IF(B102="Sell",F102*INDEX(V:V,LOOKUP(2,1/(X$4:X101=CONCATENATE(C102,"_ACB")),ROW(V$4:V101))),0)</f>
        <v>0</v>
      </c>
    </row>
    <row r="103" spans="1:29" x14ac:dyDescent="0.25">
      <c r="A103" s="20">
        <v>37319</v>
      </c>
      <c r="B103" t="s">
        <v>32</v>
      </c>
      <c r="C103" t="s">
        <v>57</v>
      </c>
      <c r="D103" s="3">
        <v>1500</v>
      </c>
      <c r="E103">
        <v>23.85</v>
      </c>
      <c r="F103" s="3">
        <v>62.893000000000001</v>
      </c>
      <c r="M103" s="21">
        <f t="shared" si="14"/>
        <v>1500</v>
      </c>
      <c r="N103" s="8">
        <f t="shared" si="17"/>
        <v>-1500</v>
      </c>
      <c r="O103" s="25">
        <f t="shared" si="18"/>
        <v>1761.2300000000005</v>
      </c>
      <c r="P103" s="8">
        <f t="shared" si="15"/>
        <v>0</v>
      </c>
      <c r="Q103" s="4">
        <f>IF(AND(S103&gt;=[1]eRRSP_Rpt!$C$6,S103&lt;=[1]eRRSP_Rpt!$C$7),1,0)</f>
        <v>0</v>
      </c>
      <c r="R103" s="4"/>
      <c r="S103" s="4">
        <f t="shared" si="12"/>
        <v>2002</v>
      </c>
      <c r="T103" s="4"/>
      <c r="U103" s="4" t="str">
        <f t="shared" si="16"/>
        <v>BuyFidelity Americas SmallCap</v>
      </c>
      <c r="V103" s="23">
        <f>IFERROR(IF(AND(AB103&gt;0,B103&lt;&gt;"Sell"),(AA103-SUMIF(C$4:C102,C103,AC$4:AC103))/AB103,0),"")</f>
        <v>-23.850031005040307</v>
      </c>
      <c r="W103" s="24" t="str">
        <f t="shared" si="13"/>
        <v/>
      </c>
      <c r="X103" s="25" t="str">
        <f t="shared" si="11"/>
        <v>Fidelity Americas SmallCap_ACB</v>
      </c>
      <c r="Y103" s="10" t="str">
        <f>IF(S104&lt;&gt;eRRSP_Tx_Table[[#This Row],[Year]],SUMIFS($W$4:$W103,$S$4:$S103,eRRSP_Tx_Table[[#This Row],[Year]],$W$4:$W103,"&gt;0"),"")</f>
        <v/>
      </c>
      <c r="Z103" s="10" t="str">
        <f>IF(S104&lt;&gt;eRRSP_Tx_Table[[#This Row],[Year]],SUMIFS($W$4:$W103,$S$4:$S103,eRRSP_Tx_Table[[#This Row],[Year]],$W$4:$W103,"&lt;0"),"")</f>
        <v/>
      </c>
      <c r="AA103" s="3">
        <f>(SUMIF($U$4:$U103,CONCATENATE("Buy",$C103),$N$4:$N103)+SUMIF($U$4:$U103,CONCATENATE("ReinvDiv",$C103),$N$4:$N103))</f>
        <v>-1500</v>
      </c>
      <c r="AB103" s="3">
        <f>(SUMIF($U$4:$U103,CONCATENATE("Buy",$C103),$F$4:$F103)+SUMIF($U$4:$U103,CONCATENATE("ReinvDiv",$C103),$F$4:$F103)+SUMIF($U$4:$U103,CONCATENATE("StkSplit",$C103),$F$4:$F103)-SUMIF($U$4:$U103,CONCATENATE("Sell",$C103),$F$4:$F103))</f>
        <v>62.893000000000001</v>
      </c>
      <c r="AC103" s="3">
        <f>IF(B103="Sell",F103*INDEX(V:V,LOOKUP(2,1/(X$4:X102=CONCATENATE(C103,"_ACB")),ROW(V$4:V102))),0)</f>
        <v>0</v>
      </c>
    </row>
    <row r="104" spans="1:29" x14ac:dyDescent="0.25">
      <c r="A104" s="20">
        <v>37330</v>
      </c>
      <c r="B104" t="s">
        <v>41</v>
      </c>
      <c r="C104" t="s">
        <v>39</v>
      </c>
      <c r="D104" s="3">
        <v>10.57</v>
      </c>
      <c r="E104">
        <v>9.4600000000000009</v>
      </c>
      <c r="F104" s="3">
        <v>1.117</v>
      </c>
      <c r="M104" s="21">
        <f t="shared" si="14"/>
        <v>10.57</v>
      </c>
      <c r="N104" s="8">
        <f t="shared" si="17"/>
        <v>-10.57</v>
      </c>
      <c r="O104" s="25">
        <f t="shared" si="18"/>
        <v>1761.2300000000005</v>
      </c>
      <c r="P104" s="8">
        <f t="shared" si="15"/>
        <v>0</v>
      </c>
      <c r="Q104" s="4">
        <f>IF(AND(S104&gt;=[1]eRRSP_Rpt!$C$6,S104&lt;=[1]eRRSP_Rpt!$C$7),1,0)</f>
        <v>0</v>
      </c>
      <c r="R104" s="4"/>
      <c r="S104" s="4">
        <f t="shared" si="12"/>
        <v>2002</v>
      </c>
      <c r="T104" s="4"/>
      <c r="U104" s="4" t="str">
        <f t="shared" si="16"/>
        <v>ReinvDivTrimark Income Growth</v>
      </c>
      <c r="V104" s="23">
        <f>IFERROR(IF(AND(AB104&gt;0,B104&lt;&gt;"Sell"),(AA104-SUMIF(C$4:C103,C104,AC$4:AC104))/AB104,0),"")</f>
        <v>-7.7454032367991585</v>
      </c>
      <c r="W104" s="24" t="str">
        <f t="shared" si="13"/>
        <v/>
      </c>
      <c r="X104" s="25" t="str">
        <f t="shared" si="11"/>
        <v>Trimark Income Growth_ACB</v>
      </c>
      <c r="Y104" s="10" t="str">
        <f>IF(S105&lt;&gt;eRRSP_Tx_Table[[#This Row],[Year]],SUMIFS($W$4:$W104,$S$4:$S104,eRRSP_Tx_Table[[#This Row],[Year]],$W$4:$W104,"&gt;0"),"")</f>
        <v/>
      </c>
      <c r="Z104" s="10" t="str">
        <f>IF(S105&lt;&gt;eRRSP_Tx_Table[[#This Row],[Year]],SUMIFS($W$4:$W104,$S$4:$S104,eRRSP_Tx_Table[[#This Row],[Year]],$W$4:$W104,"&lt;0"),"")</f>
        <v/>
      </c>
      <c r="AA104" s="3">
        <f>(SUMIF($U$4:$U104,CONCATENATE("Buy",$C104),$N$4:$N104)+SUMIF($U$4:$U104,CONCATENATE("ReinvDiv",$C104),$N$4:$N104))</f>
        <v>-2102.42</v>
      </c>
      <c r="AB104" s="3">
        <f>(SUMIF($U$4:$U104,CONCATENATE("Buy",$C104),$F$4:$F104)+SUMIF($U$4:$U104,CONCATENATE("ReinvDiv",$C104),$F$4:$F104)+SUMIF($U$4:$U104,CONCATENATE("StkSplit",$C104),$F$4:$F104)-SUMIF($U$4:$U104,CONCATENATE("Sell",$C104),$F$4:$F104))</f>
        <v>271.44099999999997</v>
      </c>
      <c r="AC104" s="3">
        <f>IF(B104="Sell",F104*INDEX(V:V,LOOKUP(2,1/(X$4:X103=CONCATENATE(C104,"_ACB")),ROW(V$4:V103))),0)</f>
        <v>0</v>
      </c>
    </row>
    <row r="105" spans="1:29" x14ac:dyDescent="0.25">
      <c r="A105" s="20">
        <v>37342</v>
      </c>
      <c r="B105" t="s">
        <v>30</v>
      </c>
      <c r="C105" t="s">
        <v>31</v>
      </c>
      <c r="D105" s="3">
        <v>6000</v>
      </c>
      <c r="M105" s="21">
        <f t="shared" si="14"/>
        <v>6000</v>
      </c>
      <c r="N105" s="8">
        <f t="shared" si="17"/>
        <v>6000</v>
      </c>
      <c r="O105" s="25">
        <f t="shared" si="18"/>
        <v>7761.2300000000005</v>
      </c>
      <c r="P105" s="8">
        <f t="shared" si="15"/>
        <v>6000</v>
      </c>
      <c r="Q105" s="4">
        <f>IF(AND(S105&gt;=[1]eRRSP_Rpt!$C$6,S105&lt;=[1]eRRSP_Rpt!$C$7),1,0)</f>
        <v>0</v>
      </c>
      <c r="R105" s="4"/>
      <c r="S105" s="4">
        <f t="shared" si="12"/>
        <v>2002</v>
      </c>
      <c r="T105" s="4"/>
      <c r="U105" s="4" t="str">
        <f t="shared" si="16"/>
        <v>CashContribution</v>
      </c>
      <c r="V105" s="23">
        <f>IFERROR(IF(AND(AB105&gt;0,B105&lt;&gt;"Sell"),(AA105-SUMIF(C$4:C104,C105,AC$4:AC105))/AB105,0),"")</f>
        <v>0</v>
      </c>
      <c r="W105" s="24" t="str">
        <f t="shared" si="13"/>
        <v/>
      </c>
      <c r="X105" s="25" t="str">
        <f t="shared" si="11"/>
        <v/>
      </c>
      <c r="Y105" s="10" t="str">
        <f>IF(S106&lt;&gt;eRRSP_Tx_Table[[#This Row],[Year]],SUMIFS($W$4:$W105,$S$4:$S105,eRRSP_Tx_Table[[#This Row],[Year]],$W$4:$W105,"&gt;0"),"")</f>
        <v/>
      </c>
      <c r="Z105" s="10" t="str">
        <f>IF(S106&lt;&gt;eRRSP_Tx_Table[[#This Row],[Year]],SUMIFS($W$4:$W105,$S$4:$S105,eRRSP_Tx_Table[[#This Row],[Year]],$W$4:$W105,"&lt;0"),"")</f>
        <v/>
      </c>
      <c r="AA105" s="3">
        <f>(SUMIF($U$4:$U105,CONCATENATE("Buy",$C105),$N$4:$N105)+SUMIF($U$4:$U105,CONCATENATE("ReinvDiv",$C105),$N$4:$N105))</f>
        <v>0</v>
      </c>
      <c r="AB105" s="3">
        <f>(SUMIF($U$4:$U105,CONCATENATE("Buy",$C105),$F$4:$F105)+SUMIF($U$4:$U105,CONCATENATE("ReinvDiv",$C105),$F$4:$F105)+SUMIF($U$4:$U105,CONCATENATE("StkSplit",$C105),$F$4:$F105)-SUMIF($U$4:$U105,CONCATENATE("Sell",$C105),$F$4:$F105))</f>
        <v>0</v>
      </c>
      <c r="AC105" s="3">
        <f>IF(B105="Sell",F105*INDEX(V:V,LOOKUP(2,1/(X$4:X104=CONCATENATE(C105,"_ACB")),ROW(V$4:V104))),0)</f>
        <v>0</v>
      </c>
    </row>
    <row r="106" spans="1:29" x14ac:dyDescent="0.25">
      <c r="A106" s="20">
        <v>37342</v>
      </c>
      <c r="B106" t="s">
        <v>42</v>
      </c>
      <c r="C106" t="s">
        <v>53</v>
      </c>
      <c r="D106" s="3">
        <v>29.44</v>
      </c>
      <c r="M106" s="21">
        <f t="shared" si="14"/>
        <v>29.44</v>
      </c>
      <c r="N106" s="8">
        <f t="shared" si="17"/>
        <v>29.44</v>
      </c>
      <c r="O106" s="25">
        <f t="shared" si="18"/>
        <v>7790.67</v>
      </c>
      <c r="P106" s="8">
        <f t="shared" si="15"/>
        <v>0</v>
      </c>
      <c r="Q106" s="4">
        <f>IF(AND(S106&gt;=[1]eRRSP_Rpt!$C$6,S106&lt;=[1]eRRSP_Rpt!$C$7),1,0)</f>
        <v>0</v>
      </c>
      <c r="R106" s="4"/>
      <c r="S106" s="4">
        <f t="shared" si="12"/>
        <v>2002</v>
      </c>
      <c r="T106" s="4"/>
      <c r="U106" s="4" t="str">
        <f t="shared" si="16"/>
        <v>DivTD CDN Bond</v>
      </c>
      <c r="V106" s="23">
        <f>IFERROR(IF(AND(AB106&gt;0,B106&lt;&gt;"Sell"),(AA106-SUMIF(C$4:C105,C106,AC$4:AC106))/AB106,0),"")</f>
        <v>-12.100018755029071</v>
      </c>
      <c r="W106" s="24" t="str">
        <f t="shared" si="13"/>
        <v/>
      </c>
      <c r="X106" s="25" t="str">
        <f t="shared" si="11"/>
        <v>TD CDN Bond_ACB</v>
      </c>
      <c r="Y106" s="10" t="str">
        <f>IF(S107&lt;&gt;eRRSP_Tx_Table[[#This Row],[Year]],SUMIFS($W$4:$W106,$S$4:$S106,eRRSP_Tx_Table[[#This Row],[Year]],$W$4:$W106,"&gt;0"),"")</f>
        <v/>
      </c>
      <c r="Z106" s="10" t="str">
        <f>IF(S107&lt;&gt;eRRSP_Tx_Table[[#This Row],[Year]],SUMIFS($W$4:$W106,$S$4:$S106,eRRSP_Tx_Table[[#This Row],[Year]],$W$4:$W106,"&lt;0"),"")</f>
        <v/>
      </c>
      <c r="AA106" s="3">
        <f>(SUMIF($U$4:$U106,CONCATENATE("Buy",$C106),$N$4:$N106)+SUMIF($U$4:$U106,CONCATENATE("ReinvDiv",$C106),$N$4:$N106))</f>
        <v>-2000</v>
      </c>
      <c r="AB106" s="3">
        <f>(SUMIF($U$4:$U106,CONCATENATE("Buy",$C106),$F$4:$F106)+SUMIF($U$4:$U106,CONCATENATE("ReinvDiv",$C106),$F$4:$F106)+SUMIF($U$4:$U106,CONCATENATE("StkSplit",$C106),$F$4:$F106)-SUMIF($U$4:$U106,CONCATENATE("Sell",$C106),$F$4:$F106))</f>
        <v>165.28899999999999</v>
      </c>
      <c r="AC106" s="3">
        <f>IF(B106="Sell",F106*INDEX(V:V,LOOKUP(2,1/(X$4:X105=CONCATENATE(C106,"_ACB")),ROW(V$4:V105))),0)</f>
        <v>0</v>
      </c>
    </row>
    <row r="107" spans="1:29" x14ac:dyDescent="0.25">
      <c r="A107" s="20">
        <v>37347</v>
      </c>
      <c r="B107" t="s">
        <v>42</v>
      </c>
      <c r="C107" t="s">
        <v>48</v>
      </c>
      <c r="D107" s="3">
        <v>3</v>
      </c>
      <c r="M107" s="21">
        <f t="shared" si="14"/>
        <v>3</v>
      </c>
      <c r="N107" s="8">
        <f t="shared" si="17"/>
        <v>3</v>
      </c>
      <c r="O107" s="25">
        <f t="shared" si="18"/>
        <v>7793.67</v>
      </c>
      <c r="P107" s="8">
        <f t="shared" si="15"/>
        <v>0</v>
      </c>
      <c r="Q107" s="4">
        <f>IF(AND(S107&gt;=[1]eRRSP_Rpt!$C$6,S107&lt;=[1]eRRSP_Rpt!$C$7),1,0)</f>
        <v>0</v>
      </c>
      <c r="R107" s="4"/>
      <c r="S107" s="4">
        <f t="shared" si="12"/>
        <v>2002</v>
      </c>
      <c r="T107" s="4"/>
      <c r="U107" s="4" t="str">
        <f t="shared" si="16"/>
        <v>DivTelus</v>
      </c>
      <c r="V107" s="23">
        <f>IFERROR(IF(AND(AB107&gt;0,B107&lt;&gt;"Sell"),(AA107-SUMIF(C$4:C106,C107,AC$4:AC107))/AB107,0),"")</f>
        <v>-40.450000000000003</v>
      </c>
      <c r="W107" s="24" t="str">
        <f t="shared" si="13"/>
        <v/>
      </c>
      <c r="X107" s="25" t="str">
        <f t="shared" si="11"/>
        <v>Telus_ACB</v>
      </c>
      <c r="Y107" s="10" t="str">
        <f>IF(S108&lt;&gt;eRRSP_Tx_Table[[#This Row],[Year]],SUMIFS($W$4:$W107,$S$4:$S107,eRRSP_Tx_Table[[#This Row],[Year]],$W$4:$W107,"&gt;0"),"")</f>
        <v/>
      </c>
      <c r="Z107" s="10" t="str">
        <f>IF(S108&lt;&gt;eRRSP_Tx_Table[[#This Row],[Year]],SUMIFS($W$4:$W107,$S$4:$S107,eRRSP_Tx_Table[[#This Row],[Year]],$W$4:$W107,"&lt;0"),"")</f>
        <v/>
      </c>
      <c r="AA107" s="3">
        <f>(SUMIF($U$4:$U107,CONCATENATE("Buy",$C107),$N$4:$N107)+SUMIF($U$4:$U107,CONCATENATE("ReinvDiv",$C107),$N$4:$N107))</f>
        <v>-809</v>
      </c>
      <c r="AB107" s="3">
        <f>(SUMIF($U$4:$U107,CONCATENATE("Buy",$C107),$F$4:$F107)+SUMIF($U$4:$U107,CONCATENATE("ReinvDiv",$C107),$F$4:$F107)+SUMIF($U$4:$U107,CONCATENATE("StkSplit",$C107),$F$4:$F107)-SUMIF($U$4:$U107,CONCATENATE("Sell",$C107),$F$4:$F107))</f>
        <v>20</v>
      </c>
      <c r="AC107" s="3">
        <f>IF(B107="Sell",F107*INDEX(V:V,LOOKUP(2,1/(X$4:X106=CONCATENATE(C107,"_ACB")),ROW(V$4:V106))),0)</f>
        <v>0</v>
      </c>
    </row>
    <row r="108" spans="1:29" x14ac:dyDescent="0.25">
      <c r="A108" s="20">
        <v>37355</v>
      </c>
      <c r="B108" t="s">
        <v>32</v>
      </c>
      <c r="C108" t="s">
        <v>58</v>
      </c>
      <c r="D108" s="3">
        <v>1000</v>
      </c>
      <c r="E108">
        <v>11.48</v>
      </c>
      <c r="F108" s="3">
        <v>87.108000000000004</v>
      </c>
      <c r="M108" s="21">
        <f t="shared" si="14"/>
        <v>1000</v>
      </c>
      <c r="N108" s="8">
        <f t="shared" si="17"/>
        <v>-1000</v>
      </c>
      <c r="O108" s="25">
        <f t="shared" si="18"/>
        <v>6793.67</v>
      </c>
      <c r="P108" s="8">
        <f t="shared" si="15"/>
        <v>0</v>
      </c>
      <c r="Q108" s="4">
        <f>IF(AND(S108&gt;=[1]eRRSP_Rpt!$C$6,S108&lt;=[1]eRRSP_Rpt!$C$7),1,0)</f>
        <v>0</v>
      </c>
      <c r="R108" s="4"/>
      <c r="S108" s="4">
        <f t="shared" si="12"/>
        <v>2002</v>
      </c>
      <c r="T108" s="4"/>
      <c r="U108" s="4" t="str">
        <f t="shared" si="16"/>
        <v>BuyTD DJIA Index</v>
      </c>
      <c r="V108" s="23">
        <f>IFERROR(IF(AND(AB108&gt;0,B108&lt;&gt;"Sell"),(AA108-SUMIF(C$4:C107,C108,AC$4:AC108))/AB108,0),"")</f>
        <v>-11.480001836800293</v>
      </c>
      <c r="W108" s="24" t="str">
        <f t="shared" si="13"/>
        <v/>
      </c>
      <c r="X108" s="25" t="str">
        <f t="shared" si="11"/>
        <v>TD DJIA Index_ACB</v>
      </c>
      <c r="Y108" s="10" t="str">
        <f>IF(S109&lt;&gt;eRRSP_Tx_Table[[#This Row],[Year]],SUMIFS($W$4:$W108,$S$4:$S108,eRRSP_Tx_Table[[#This Row],[Year]],$W$4:$W108,"&gt;0"),"")</f>
        <v/>
      </c>
      <c r="Z108" s="10" t="str">
        <f>IF(S109&lt;&gt;eRRSP_Tx_Table[[#This Row],[Year]],SUMIFS($W$4:$W108,$S$4:$S108,eRRSP_Tx_Table[[#This Row],[Year]],$W$4:$W108,"&lt;0"),"")</f>
        <v/>
      </c>
      <c r="AA108" s="3">
        <f>(SUMIF($U$4:$U108,CONCATENATE("Buy",$C108),$N$4:$N108)+SUMIF($U$4:$U108,CONCATENATE("ReinvDiv",$C108),$N$4:$N108))</f>
        <v>-1000</v>
      </c>
      <c r="AB108" s="3">
        <f>(SUMIF($U$4:$U108,CONCATENATE("Buy",$C108),$F$4:$F108)+SUMIF($U$4:$U108,CONCATENATE("ReinvDiv",$C108),$F$4:$F108)+SUMIF($U$4:$U108,CONCATENATE("StkSplit",$C108),$F$4:$F108)-SUMIF($U$4:$U108,CONCATENATE("Sell",$C108),$F$4:$F108))</f>
        <v>87.108000000000004</v>
      </c>
      <c r="AC108" s="3">
        <f>IF(B108="Sell",F108*INDEX(V:V,LOOKUP(2,1/(X$4:X107=CONCATENATE(C108,"_ACB")),ROW(V$4:V107))),0)</f>
        <v>0</v>
      </c>
    </row>
    <row r="109" spans="1:29" x14ac:dyDescent="0.25">
      <c r="A109" s="20">
        <v>37361</v>
      </c>
      <c r="B109" t="s">
        <v>42</v>
      </c>
      <c r="C109" t="s">
        <v>46</v>
      </c>
      <c r="D109" s="3">
        <v>6</v>
      </c>
      <c r="M109" s="21">
        <f t="shared" si="14"/>
        <v>6</v>
      </c>
      <c r="N109" s="8">
        <f t="shared" si="17"/>
        <v>6</v>
      </c>
      <c r="O109" s="25">
        <f t="shared" si="18"/>
        <v>6799.67</v>
      </c>
      <c r="P109" s="8">
        <f t="shared" si="15"/>
        <v>0</v>
      </c>
      <c r="Q109" s="4">
        <f>IF(AND(S109&gt;=[1]eRRSP_Rpt!$C$6,S109&lt;=[1]eRRSP_Rpt!$C$7),1,0)</f>
        <v>0</v>
      </c>
      <c r="R109" s="4"/>
      <c r="S109" s="4">
        <f t="shared" si="12"/>
        <v>2002</v>
      </c>
      <c r="T109" s="4"/>
      <c r="U109" s="4" t="str">
        <f t="shared" si="16"/>
        <v>DivBCE</v>
      </c>
      <c r="V109" s="23">
        <f>IFERROR(IF(AND(AB109&gt;0,B109&lt;&gt;"Sell"),(AA109-SUMIF(C$4:C108,C109,AC$4:AC109))/AB109,0),"")</f>
        <v>-40.450000000000003</v>
      </c>
      <c r="W109" s="24" t="str">
        <f t="shared" si="13"/>
        <v/>
      </c>
      <c r="X109" s="25" t="str">
        <f t="shared" si="11"/>
        <v>BCE_ACB</v>
      </c>
      <c r="Y109" s="10" t="str">
        <f>IF(S110&lt;&gt;eRRSP_Tx_Table[[#This Row],[Year]],SUMIFS($W$4:$W109,$S$4:$S109,eRRSP_Tx_Table[[#This Row],[Year]],$W$4:$W109,"&gt;0"),"")</f>
        <v/>
      </c>
      <c r="Z109" s="10" t="str">
        <f>IF(S110&lt;&gt;eRRSP_Tx_Table[[#This Row],[Year]],SUMIFS($W$4:$W109,$S$4:$S109,eRRSP_Tx_Table[[#This Row],[Year]],$W$4:$W109,"&lt;0"),"")</f>
        <v/>
      </c>
      <c r="AA109" s="3">
        <f>(SUMIF($U$4:$U109,CONCATENATE("Buy",$C109),$N$4:$N109)+SUMIF($U$4:$U109,CONCATENATE("ReinvDiv",$C109),$N$4:$N109))</f>
        <v>-809</v>
      </c>
      <c r="AB109" s="3">
        <f>(SUMIF($U$4:$U109,CONCATENATE("Buy",$C109),$F$4:$F109)+SUMIF($U$4:$U109,CONCATENATE("ReinvDiv",$C109),$F$4:$F109)+SUMIF($U$4:$U109,CONCATENATE("StkSplit",$C109),$F$4:$F109)-SUMIF($U$4:$U109,CONCATENATE("Sell",$C109),$F$4:$F109))</f>
        <v>20</v>
      </c>
      <c r="AC109" s="3">
        <f>IF(B109="Sell",F109*INDEX(V:V,LOOKUP(2,1/(X$4:X108=CONCATENATE(C109,"_ACB")),ROW(V$4:V108))),0)</f>
        <v>0</v>
      </c>
    </row>
    <row r="110" spans="1:29" x14ac:dyDescent="0.25">
      <c r="A110" s="20">
        <v>37362</v>
      </c>
      <c r="B110" t="s">
        <v>32</v>
      </c>
      <c r="C110" t="s">
        <v>59</v>
      </c>
      <c r="D110" s="3">
        <v>5000</v>
      </c>
      <c r="E110">
        <v>17.166202999999999</v>
      </c>
      <c r="F110" s="3">
        <v>291.27</v>
      </c>
      <c r="M110" s="21">
        <f t="shared" si="14"/>
        <v>5000</v>
      </c>
      <c r="N110" s="8">
        <f t="shared" si="17"/>
        <v>-5000</v>
      </c>
      <c r="O110" s="25">
        <f t="shared" si="18"/>
        <v>1799.67</v>
      </c>
      <c r="P110" s="8">
        <f t="shared" si="15"/>
        <v>0</v>
      </c>
      <c r="Q110" s="4">
        <f>IF(AND(S110&gt;=[1]eRRSP_Rpt!$C$6,S110&lt;=[1]eRRSP_Rpt!$C$7),1,0)</f>
        <v>0</v>
      </c>
      <c r="R110" s="4"/>
      <c r="S110" s="4">
        <f t="shared" si="12"/>
        <v>2002</v>
      </c>
      <c r="T110" s="4"/>
      <c r="U110" s="4" t="str">
        <f t="shared" si="16"/>
        <v>BuySaxon SmallCap</v>
      </c>
      <c r="V110" s="23">
        <f>IFERROR(IF(AND(AB110&gt;0,B110&lt;&gt;"Sell"),(AA110-SUMIF(C$4:C109,C110,AC$4:AC110))/AB110,0),"")</f>
        <v>-17.16620317918083</v>
      </c>
      <c r="W110" s="24" t="str">
        <f t="shared" si="13"/>
        <v/>
      </c>
      <c r="X110" s="25" t="str">
        <f t="shared" si="11"/>
        <v>Saxon SmallCap_ACB</v>
      </c>
      <c r="Y110" s="10" t="str">
        <f>IF(S111&lt;&gt;eRRSP_Tx_Table[[#This Row],[Year]],SUMIFS($W$4:$W110,$S$4:$S110,eRRSP_Tx_Table[[#This Row],[Year]],$W$4:$W110,"&gt;0"),"")</f>
        <v/>
      </c>
      <c r="Z110" s="10" t="str">
        <f>IF(S111&lt;&gt;eRRSP_Tx_Table[[#This Row],[Year]],SUMIFS($W$4:$W110,$S$4:$S110,eRRSP_Tx_Table[[#This Row],[Year]],$W$4:$W110,"&lt;0"),"")</f>
        <v/>
      </c>
      <c r="AA110" s="3">
        <f>(SUMIF($U$4:$U110,CONCATENATE("Buy",$C110),$N$4:$N110)+SUMIF($U$4:$U110,CONCATENATE("ReinvDiv",$C110),$N$4:$N110))</f>
        <v>-5000</v>
      </c>
      <c r="AB110" s="3">
        <f>(SUMIF($U$4:$U110,CONCATENATE("Buy",$C110),$F$4:$F110)+SUMIF($U$4:$U110,CONCATENATE("ReinvDiv",$C110),$F$4:$F110)+SUMIF($U$4:$U110,CONCATENATE("StkSplit",$C110),$F$4:$F110)-SUMIF($U$4:$U110,CONCATENATE("Sell",$C110),$F$4:$F110))</f>
        <v>291.27</v>
      </c>
      <c r="AC110" s="3">
        <f>IF(B110="Sell",F110*INDEX(V:V,LOOKUP(2,1/(X$4:X109=CONCATENATE(C110,"_ACB")),ROW(V$4:V109))),0)</f>
        <v>0</v>
      </c>
    </row>
    <row r="111" spans="1:29" x14ac:dyDescent="0.25">
      <c r="A111" s="20">
        <v>37376</v>
      </c>
      <c r="B111" t="s">
        <v>42</v>
      </c>
      <c r="C111" t="s">
        <v>45</v>
      </c>
      <c r="D111" s="3">
        <v>5.6</v>
      </c>
      <c r="M111" s="21">
        <f t="shared" si="14"/>
        <v>5.6</v>
      </c>
      <c r="N111" s="8">
        <f t="shared" si="17"/>
        <v>5.6</v>
      </c>
      <c r="O111" s="25">
        <f t="shared" si="18"/>
        <v>1805.27</v>
      </c>
      <c r="P111" s="8">
        <f t="shared" si="15"/>
        <v>0</v>
      </c>
      <c r="Q111" s="4">
        <f>IF(AND(S111&gt;=[1]eRRSP_Rpt!$C$6,S111&lt;=[1]eRRSP_Rpt!$C$7),1,0)</f>
        <v>0</v>
      </c>
      <c r="R111" s="4"/>
      <c r="S111" s="4">
        <f t="shared" si="12"/>
        <v>2002</v>
      </c>
      <c r="T111" s="4"/>
      <c r="U111" s="4" t="str">
        <f t="shared" si="16"/>
        <v>DivTD Bank</v>
      </c>
      <c r="V111" s="23">
        <f>IFERROR(IF(AND(AB111&gt;0,B111&lt;&gt;"Sell"),(AA111-SUMIF(C$4:C110,C111,AC$4:AC111))/AB111,0),"")</f>
        <v>-44.29</v>
      </c>
      <c r="W111" s="24" t="str">
        <f t="shared" si="13"/>
        <v/>
      </c>
      <c r="X111" s="25" t="str">
        <f t="shared" si="11"/>
        <v>TD Bank_ACB</v>
      </c>
      <c r="Y111" s="10" t="str">
        <f>IF(S112&lt;&gt;eRRSP_Tx_Table[[#This Row],[Year]],SUMIFS($W$4:$W111,$S$4:$S111,eRRSP_Tx_Table[[#This Row],[Year]],$W$4:$W111,"&gt;0"),"")</f>
        <v/>
      </c>
      <c r="Z111" s="10" t="str">
        <f>IF(S112&lt;&gt;eRRSP_Tx_Table[[#This Row],[Year]],SUMIFS($W$4:$W111,$S$4:$S111,eRRSP_Tx_Table[[#This Row],[Year]],$W$4:$W111,"&lt;0"),"")</f>
        <v/>
      </c>
      <c r="AA111" s="3">
        <f>(SUMIF($U$4:$U111,CONCATENATE("Buy",$C111),$N$4:$N111)+SUMIF($U$4:$U111,CONCATENATE("ReinvDiv",$C111),$N$4:$N111))</f>
        <v>-885.8</v>
      </c>
      <c r="AB111" s="3">
        <f>(SUMIF($U$4:$U111,CONCATENATE("Buy",$C111),$F$4:$F111)+SUMIF($U$4:$U111,CONCATENATE("ReinvDiv",$C111),$F$4:$F111)+SUMIF($U$4:$U111,CONCATENATE("StkSplit",$C111),$F$4:$F111)-SUMIF($U$4:$U111,CONCATENATE("Sell",$C111),$F$4:$F111))</f>
        <v>20</v>
      </c>
      <c r="AC111" s="3">
        <f>IF(B111="Sell",F111*INDEX(V:V,LOOKUP(2,1/(X$4:X110=CONCATENATE(C111,"_ACB")),ROW(V$4:V110))),0)</f>
        <v>0</v>
      </c>
    </row>
    <row r="112" spans="1:29" x14ac:dyDescent="0.25">
      <c r="A112" s="20">
        <v>37407</v>
      </c>
      <c r="B112" t="s">
        <v>42</v>
      </c>
      <c r="C112" t="s">
        <v>47</v>
      </c>
      <c r="D112" s="3">
        <v>1.36</v>
      </c>
      <c r="M112" s="21">
        <f t="shared" si="14"/>
        <v>1.36</v>
      </c>
      <c r="N112" s="8">
        <f t="shared" si="17"/>
        <v>1.36</v>
      </c>
      <c r="O112" s="25">
        <f t="shared" si="18"/>
        <v>1806.6299999999999</v>
      </c>
      <c r="P112" s="8">
        <f t="shared" si="15"/>
        <v>0</v>
      </c>
      <c r="Q112" s="4">
        <f>IF(AND(S112&gt;=[1]eRRSP_Rpt!$C$6,S112&lt;=[1]eRRSP_Rpt!$C$7),1,0)</f>
        <v>0</v>
      </c>
      <c r="R112" s="4"/>
      <c r="S112" s="4">
        <f t="shared" si="12"/>
        <v>2002</v>
      </c>
      <c r="T112" s="4"/>
      <c r="U112" s="4" t="str">
        <f t="shared" si="16"/>
        <v>DivBombardier</v>
      </c>
      <c r="V112" s="23">
        <f>IFERROR(IF(AND(AB112&gt;0,B112&lt;&gt;"Sell"),(AA112-SUMIF(C$4:C111,C112,AC$4:AC112))/AB112,0),"")</f>
        <v>-23.216666666666665</v>
      </c>
      <c r="W112" s="24" t="str">
        <f t="shared" si="13"/>
        <v/>
      </c>
      <c r="X112" s="25" t="str">
        <f t="shared" si="11"/>
        <v>Bombardier_ACB</v>
      </c>
      <c r="Y112" s="10" t="str">
        <f>IF(S113&lt;&gt;eRRSP_Tx_Table[[#This Row],[Year]],SUMIFS($W$4:$W112,$S$4:$S112,eRRSP_Tx_Table[[#This Row],[Year]],$W$4:$W112,"&gt;0"),"")</f>
        <v/>
      </c>
      <c r="Z112" s="10" t="str">
        <f>IF(S113&lt;&gt;eRRSP_Tx_Table[[#This Row],[Year]],SUMIFS($W$4:$W112,$S$4:$S112,eRRSP_Tx_Table[[#This Row],[Year]],$W$4:$W112,"&lt;0"),"")</f>
        <v/>
      </c>
      <c r="AA112" s="3">
        <f>(SUMIF($U$4:$U112,CONCATENATE("Buy",$C112),$N$4:$N112)+SUMIF($U$4:$U112,CONCATENATE("ReinvDiv",$C112),$N$4:$N112))</f>
        <v>-696.5</v>
      </c>
      <c r="AB112" s="3">
        <f>(SUMIF($U$4:$U112,CONCATENATE("Buy",$C112),$F$4:$F112)+SUMIF($U$4:$U112,CONCATENATE("ReinvDiv",$C112),$F$4:$F112)+SUMIF($U$4:$U112,CONCATENATE("StkSplit",$C112),$F$4:$F112)-SUMIF($U$4:$U112,CONCATENATE("Sell",$C112),$F$4:$F112))</f>
        <v>30</v>
      </c>
      <c r="AC112" s="3">
        <f>IF(B112="Sell",F112*INDEX(V:V,LOOKUP(2,1/(X$4:X111=CONCATENATE(C112,"_ACB")),ROW(V$4:V111))),0)</f>
        <v>0</v>
      </c>
    </row>
    <row r="113" spans="1:29" x14ac:dyDescent="0.25">
      <c r="A113" s="20">
        <v>37408</v>
      </c>
      <c r="B113" t="s">
        <v>42</v>
      </c>
      <c r="C113" t="s">
        <v>33</v>
      </c>
      <c r="D113" s="3">
        <v>21.66</v>
      </c>
      <c r="M113" s="21">
        <f t="shared" si="14"/>
        <v>21.66</v>
      </c>
      <c r="N113" s="8">
        <f t="shared" si="17"/>
        <v>21.66</v>
      </c>
      <c r="O113" s="25">
        <f t="shared" si="18"/>
        <v>1828.29</v>
      </c>
      <c r="P113" s="8">
        <f t="shared" si="15"/>
        <v>0</v>
      </c>
      <c r="Q113" s="4">
        <f>IF(AND(S113&gt;=[1]eRRSP_Rpt!$C$6,S113&lt;=[1]eRRSP_Rpt!$C$7),1,0)</f>
        <v>0</v>
      </c>
      <c r="R113" s="4"/>
      <c r="S113" s="4">
        <f t="shared" si="12"/>
        <v>2002</v>
      </c>
      <c r="T113" s="4"/>
      <c r="U113" s="4" t="str">
        <f t="shared" si="16"/>
        <v>DivEnbridge</v>
      </c>
      <c r="V113" s="23">
        <f>IFERROR(IF(AND(AB113&gt;0,B113&lt;&gt;"Sell"),(AA113-SUMIF(C$4:C112,C113,AC$4:AC113))/AB113,0),"")</f>
        <v>-25.718055555555559</v>
      </c>
      <c r="W113" s="24" t="str">
        <f t="shared" si="13"/>
        <v/>
      </c>
      <c r="X113" s="25" t="str">
        <f t="shared" si="11"/>
        <v>Enbridge_ACB</v>
      </c>
      <c r="Y113" s="10" t="str">
        <f>IF(S114&lt;&gt;eRRSP_Tx_Table[[#This Row],[Year]],SUMIFS($W$4:$W113,$S$4:$S113,eRRSP_Tx_Table[[#This Row],[Year]],$W$4:$W113,"&gt;0"),"")</f>
        <v/>
      </c>
      <c r="Z113" s="10" t="str">
        <f>IF(S114&lt;&gt;eRRSP_Tx_Table[[#This Row],[Year]],SUMIFS($W$4:$W113,$S$4:$S113,eRRSP_Tx_Table[[#This Row],[Year]],$W$4:$W113,"&lt;0"),"")</f>
        <v/>
      </c>
      <c r="AA113" s="3">
        <f>(SUMIF($U$4:$U113,CONCATENATE("Buy",$C113),$N$4:$N113)+SUMIF($U$4:$U113,CONCATENATE("ReinvDiv",$C113),$N$4:$N113))</f>
        <v>-1851.7</v>
      </c>
      <c r="AB113" s="3">
        <f>(SUMIF($U$4:$U113,CONCATENATE("Buy",$C113),$F$4:$F113)+SUMIF($U$4:$U113,CONCATENATE("ReinvDiv",$C113),$F$4:$F113)+SUMIF($U$4:$U113,CONCATENATE("StkSplit",$C113),$F$4:$F113)-SUMIF($U$4:$U113,CONCATENATE("Sell",$C113),$F$4:$F113))</f>
        <v>57</v>
      </c>
      <c r="AC113" s="3">
        <f>IF(B113="Sell",F113*INDEX(V:V,LOOKUP(2,1/(X$4:X112=CONCATENATE(C113,"_ACB")),ROW(V$4:V112))),0)</f>
        <v>0</v>
      </c>
    </row>
    <row r="114" spans="1:29" x14ac:dyDescent="0.25">
      <c r="A114" s="20">
        <v>37421</v>
      </c>
      <c r="B114" t="s">
        <v>41</v>
      </c>
      <c r="C114" t="s">
        <v>39</v>
      </c>
      <c r="D114" s="3">
        <v>15.55</v>
      </c>
      <c r="E114">
        <v>9.4499999999999993</v>
      </c>
      <c r="F114" s="3">
        <v>1.6459999999999999</v>
      </c>
      <c r="M114" s="21">
        <f t="shared" si="14"/>
        <v>15.55</v>
      </c>
      <c r="N114" s="8">
        <f t="shared" si="17"/>
        <v>-15.55</v>
      </c>
      <c r="O114" s="25">
        <f t="shared" si="18"/>
        <v>1828.29</v>
      </c>
      <c r="P114" s="8">
        <f t="shared" si="15"/>
        <v>0</v>
      </c>
      <c r="Q114" s="4">
        <f>IF(AND(S114&gt;=[1]eRRSP_Rpt!$C$6,S114&lt;=[1]eRRSP_Rpt!$C$7),1,0)</f>
        <v>0</v>
      </c>
      <c r="R114" s="4"/>
      <c r="S114" s="4">
        <f t="shared" si="12"/>
        <v>2002</v>
      </c>
      <c r="T114" s="4"/>
      <c r="U114" s="4" t="str">
        <f t="shared" si="16"/>
        <v>ReinvDivTrimark Income Growth</v>
      </c>
      <c r="V114" s="23">
        <f>IFERROR(IF(AND(AB114&gt;0,B114&lt;&gt;"Sell"),(AA114-SUMIF(C$4:C113,C114,AC$4:AC114))/AB114,0),"")</f>
        <v>-7.7556602840852911</v>
      </c>
      <c r="W114" s="24" t="str">
        <f t="shared" si="13"/>
        <v/>
      </c>
      <c r="X114" s="25" t="str">
        <f t="shared" si="11"/>
        <v>Trimark Income Growth_ACB</v>
      </c>
      <c r="Y114" s="10" t="str">
        <f>IF(S115&lt;&gt;eRRSP_Tx_Table[[#This Row],[Year]],SUMIFS($W$4:$W114,$S$4:$S114,eRRSP_Tx_Table[[#This Row],[Year]],$W$4:$W114,"&gt;0"),"")</f>
        <v/>
      </c>
      <c r="Z114" s="10" t="str">
        <f>IF(S115&lt;&gt;eRRSP_Tx_Table[[#This Row],[Year]],SUMIFS($W$4:$W114,$S$4:$S114,eRRSP_Tx_Table[[#This Row],[Year]],$W$4:$W114,"&lt;0"),"")</f>
        <v/>
      </c>
      <c r="AA114" s="3">
        <f>(SUMIF($U$4:$U114,CONCATENATE("Buy",$C114),$N$4:$N114)+SUMIF($U$4:$U114,CONCATENATE("ReinvDiv",$C114),$N$4:$N114))</f>
        <v>-2117.9699999999998</v>
      </c>
      <c r="AB114" s="3">
        <f>(SUMIF($U$4:$U114,CONCATENATE("Buy",$C114),$F$4:$F114)+SUMIF($U$4:$U114,CONCATENATE("ReinvDiv",$C114),$F$4:$F114)+SUMIF($U$4:$U114,CONCATENATE("StkSplit",$C114),$F$4:$F114)-SUMIF($U$4:$U114,CONCATENATE("Sell",$C114),$F$4:$F114))</f>
        <v>273.08699999999999</v>
      </c>
      <c r="AC114" s="3">
        <f>IF(B114="Sell",F114*INDEX(V:V,LOOKUP(2,1/(X$4:X113=CONCATENATE(C114,"_ACB")),ROW(V$4:V113))),0)</f>
        <v>0</v>
      </c>
    </row>
    <row r="115" spans="1:29" x14ac:dyDescent="0.25">
      <c r="A115" s="20">
        <v>37423</v>
      </c>
      <c r="B115" t="s">
        <v>43</v>
      </c>
      <c r="C115" t="s">
        <v>36</v>
      </c>
      <c r="D115" s="3">
        <v>0.13</v>
      </c>
      <c r="M115" s="21">
        <f t="shared" si="14"/>
        <v>0.13</v>
      </c>
      <c r="N115" s="8">
        <f t="shared" si="17"/>
        <v>0.13</v>
      </c>
      <c r="O115" s="25">
        <f t="shared" si="18"/>
        <v>1828.42</v>
      </c>
      <c r="P115" s="8">
        <f t="shared" si="15"/>
        <v>0</v>
      </c>
      <c r="Q115" s="4">
        <f>IF(AND(S115&gt;=[1]eRRSP_Rpt!$C$6,S115&lt;=[1]eRRSP_Rpt!$C$7),1,0)</f>
        <v>0</v>
      </c>
      <c r="R115" s="4"/>
      <c r="S115" s="4">
        <f t="shared" si="12"/>
        <v>2002</v>
      </c>
      <c r="T115" s="4"/>
      <c r="U115" s="4" t="str">
        <f t="shared" si="16"/>
        <v>IntIncTDW</v>
      </c>
      <c r="V115" s="23">
        <f>IFERROR(IF(AND(AB115&gt;0,B115&lt;&gt;"Sell"),(AA115-SUMIF(C$4:C114,C115,AC$4:AC115))/AB115,0),"")</f>
        <v>0</v>
      </c>
      <c r="W115" s="24" t="str">
        <f t="shared" si="13"/>
        <v/>
      </c>
      <c r="X115" s="25" t="str">
        <f t="shared" si="11"/>
        <v/>
      </c>
      <c r="Y115" s="10" t="str">
        <f>IF(S116&lt;&gt;eRRSP_Tx_Table[[#This Row],[Year]],SUMIFS($W$4:$W115,$S$4:$S115,eRRSP_Tx_Table[[#This Row],[Year]],$W$4:$W115,"&gt;0"),"")</f>
        <v/>
      </c>
      <c r="Z115" s="10" t="str">
        <f>IF(S116&lt;&gt;eRRSP_Tx_Table[[#This Row],[Year]],SUMIFS($W$4:$W115,$S$4:$S115,eRRSP_Tx_Table[[#This Row],[Year]],$W$4:$W115,"&lt;0"),"")</f>
        <v/>
      </c>
      <c r="AA115" s="3">
        <f>(SUMIF($U$4:$U115,CONCATENATE("Buy",$C115),$N$4:$N115)+SUMIF($U$4:$U115,CONCATENATE("ReinvDiv",$C115),$N$4:$N115))</f>
        <v>0</v>
      </c>
      <c r="AB115" s="3">
        <f>(SUMIF($U$4:$U115,CONCATENATE("Buy",$C115),$F$4:$F115)+SUMIF($U$4:$U115,CONCATENATE("ReinvDiv",$C115),$F$4:$F115)+SUMIF($U$4:$U115,CONCATENATE("StkSplit",$C115),$F$4:$F115)-SUMIF($U$4:$U115,CONCATENATE("Sell",$C115),$F$4:$F115))</f>
        <v>0</v>
      </c>
      <c r="AC115" s="3">
        <f>IF(B115="Sell",F115*INDEX(V:V,LOOKUP(2,1/(X$4:X114=CONCATENATE(C115,"_ACB")),ROW(V$4:V114))),0)</f>
        <v>0</v>
      </c>
    </row>
    <row r="116" spans="1:29" x14ac:dyDescent="0.25">
      <c r="A116" s="20">
        <v>37434</v>
      </c>
      <c r="B116" t="s">
        <v>42</v>
      </c>
      <c r="C116" t="s">
        <v>53</v>
      </c>
      <c r="D116" s="3">
        <v>29.27</v>
      </c>
      <c r="M116" s="21">
        <f t="shared" si="14"/>
        <v>29.27</v>
      </c>
      <c r="N116" s="8">
        <f t="shared" si="17"/>
        <v>29.27</v>
      </c>
      <c r="O116" s="25">
        <f t="shared" si="18"/>
        <v>1857.69</v>
      </c>
      <c r="P116" s="8">
        <f t="shared" si="15"/>
        <v>0</v>
      </c>
      <c r="Q116" s="4">
        <f>IF(AND(S116&gt;=[1]eRRSP_Rpt!$C$6,S116&lt;=[1]eRRSP_Rpt!$C$7),1,0)</f>
        <v>0</v>
      </c>
      <c r="R116" s="4"/>
      <c r="S116" s="4">
        <f t="shared" si="12"/>
        <v>2002</v>
      </c>
      <c r="T116" s="4"/>
      <c r="U116" s="4" t="str">
        <f t="shared" si="16"/>
        <v>DivTD CDN Bond</v>
      </c>
      <c r="V116" s="23">
        <f>IFERROR(IF(AND(AB116&gt;0,B116&lt;&gt;"Sell"),(AA116-SUMIF(C$4:C115,C116,AC$4:AC116))/AB116,0),"")</f>
        <v>-12.100018755029071</v>
      </c>
      <c r="W116" s="24" t="str">
        <f t="shared" si="13"/>
        <v/>
      </c>
      <c r="X116" s="25" t="str">
        <f t="shared" si="11"/>
        <v>TD CDN Bond_ACB</v>
      </c>
      <c r="Y116" s="10" t="str">
        <f>IF(S117&lt;&gt;eRRSP_Tx_Table[[#This Row],[Year]],SUMIFS($W$4:$W116,$S$4:$S116,eRRSP_Tx_Table[[#This Row],[Year]],$W$4:$W116,"&gt;0"),"")</f>
        <v/>
      </c>
      <c r="Z116" s="10" t="str">
        <f>IF(S117&lt;&gt;eRRSP_Tx_Table[[#This Row],[Year]],SUMIFS($W$4:$W116,$S$4:$S116,eRRSP_Tx_Table[[#This Row],[Year]],$W$4:$W116,"&lt;0"),"")</f>
        <v/>
      </c>
      <c r="AA116" s="3">
        <f>(SUMIF($U$4:$U116,CONCATENATE("Buy",$C116),$N$4:$N116)+SUMIF($U$4:$U116,CONCATENATE("ReinvDiv",$C116),$N$4:$N116))</f>
        <v>-2000</v>
      </c>
      <c r="AB116" s="3">
        <f>(SUMIF($U$4:$U116,CONCATENATE("Buy",$C116),$F$4:$F116)+SUMIF($U$4:$U116,CONCATENATE("ReinvDiv",$C116),$F$4:$F116)+SUMIF($U$4:$U116,CONCATENATE("StkSplit",$C116),$F$4:$F116)-SUMIF($U$4:$U116,CONCATENATE("Sell",$C116),$F$4:$F116))</f>
        <v>165.28899999999999</v>
      </c>
      <c r="AC116" s="3">
        <f>IF(B116="Sell",F116*INDEX(V:V,LOOKUP(2,1/(X$4:X115=CONCATENATE(C116,"_ACB")),ROW(V$4:V115))),0)</f>
        <v>0</v>
      </c>
    </row>
    <row r="117" spans="1:29" x14ac:dyDescent="0.25">
      <c r="A117" s="20">
        <v>37438</v>
      </c>
      <c r="B117" t="s">
        <v>42</v>
      </c>
      <c r="C117" t="s">
        <v>48</v>
      </c>
      <c r="D117" s="3">
        <v>3</v>
      </c>
      <c r="M117" s="21">
        <f t="shared" si="14"/>
        <v>3</v>
      </c>
      <c r="N117" s="8">
        <f t="shared" si="17"/>
        <v>3</v>
      </c>
      <c r="O117" s="25">
        <f t="shared" si="18"/>
        <v>1860.69</v>
      </c>
      <c r="P117" s="8">
        <f t="shared" si="15"/>
        <v>0</v>
      </c>
      <c r="Q117" s="4">
        <f>IF(AND(S117&gt;=[1]eRRSP_Rpt!$C$6,S117&lt;=[1]eRRSP_Rpt!$C$7),1,0)</f>
        <v>0</v>
      </c>
      <c r="R117" s="4"/>
      <c r="S117" s="4">
        <f t="shared" si="12"/>
        <v>2002</v>
      </c>
      <c r="T117" s="4"/>
      <c r="U117" s="4" t="str">
        <f t="shared" si="16"/>
        <v>DivTelus</v>
      </c>
      <c r="V117" s="23">
        <f>IFERROR(IF(AND(AB117&gt;0,B117&lt;&gt;"Sell"),(AA117-SUMIF(C$4:C116,C117,AC$4:AC117))/AB117,0),"")</f>
        <v>-40.450000000000003</v>
      </c>
      <c r="W117" s="24" t="str">
        <f t="shared" si="13"/>
        <v/>
      </c>
      <c r="X117" s="25" t="str">
        <f t="shared" si="11"/>
        <v>Telus_ACB</v>
      </c>
      <c r="Y117" s="10" t="str">
        <f>IF(S118&lt;&gt;eRRSP_Tx_Table[[#This Row],[Year]],SUMIFS($W$4:$W117,$S$4:$S117,eRRSP_Tx_Table[[#This Row],[Year]],$W$4:$W117,"&gt;0"),"")</f>
        <v/>
      </c>
      <c r="Z117" s="10" t="str">
        <f>IF(S118&lt;&gt;eRRSP_Tx_Table[[#This Row],[Year]],SUMIFS($W$4:$W117,$S$4:$S117,eRRSP_Tx_Table[[#This Row],[Year]],$W$4:$W117,"&lt;0"),"")</f>
        <v/>
      </c>
      <c r="AA117" s="3">
        <f>(SUMIF($U$4:$U117,CONCATENATE("Buy",$C117),$N$4:$N117)+SUMIF($U$4:$U117,CONCATENATE("ReinvDiv",$C117),$N$4:$N117))</f>
        <v>-809</v>
      </c>
      <c r="AB117" s="3">
        <f>(SUMIF($U$4:$U117,CONCATENATE("Buy",$C117),$F$4:$F117)+SUMIF($U$4:$U117,CONCATENATE("ReinvDiv",$C117),$F$4:$F117)+SUMIF($U$4:$U117,CONCATENATE("StkSplit",$C117),$F$4:$F117)-SUMIF($U$4:$U117,CONCATENATE("Sell",$C117),$F$4:$F117))</f>
        <v>20</v>
      </c>
      <c r="AC117" s="3">
        <f>IF(B117="Sell",F117*INDEX(V:V,LOOKUP(2,1/(X$4:X116=CONCATENATE(C117,"_ACB")),ROW(V$4:V116))),0)</f>
        <v>0</v>
      </c>
    </row>
    <row r="118" spans="1:29" x14ac:dyDescent="0.25">
      <c r="A118" s="20">
        <v>37452</v>
      </c>
      <c r="B118" t="s">
        <v>42</v>
      </c>
      <c r="C118" t="s">
        <v>46</v>
      </c>
      <c r="D118" s="3">
        <v>6</v>
      </c>
      <c r="M118" s="21">
        <f t="shared" si="14"/>
        <v>6</v>
      </c>
      <c r="N118" s="8">
        <f t="shared" si="17"/>
        <v>6</v>
      </c>
      <c r="O118" s="25">
        <f t="shared" si="18"/>
        <v>1866.69</v>
      </c>
      <c r="P118" s="8">
        <f t="shared" si="15"/>
        <v>0</v>
      </c>
      <c r="Q118" s="4">
        <f>IF(AND(S118&gt;=[1]eRRSP_Rpt!$C$6,S118&lt;=[1]eRRSP_Rpt!$C$7),1,0)</f>
        <v>0</v>
      </c>
      <c r="R118" s="4"/>
      <c r="S118" s="4">
        <f t="shared" si="12"/>
        <v>2002</v>
      </c>
      <c r="T118" s="4"/>
      <c r="U118" s="4" t="str">
        <f t="shared" si="16"/>
        <v>DivBCE</v>
      </c>
      <c r="V118" s="23">
        <f>IFERROR(IF(AND(AB118&gt;0,B118&lt;&gt;"Sell"),(AA118-SUMIF(C$4:C117,C118,AC$4:AC118))/AB118,0),"")</f>
        <v>-40.450000000000003</v>
      </c>
      <c r="W118" s="24" t="str">
        <f t="shared" si="13"/>
        <v/>
      </c>
      <c r="X118" s="25" t="str">
        <f t="shared" si="11"/>
        <v>BCE_ACB</v>
      </c>
      <c r="Y118" s="10" t="str">
        <f>IF(S119&lt;&gt;eRRSP_Tx_Table[[#This Row],[Year]],SUMIFS($W$4:$W118,$S$4:$S118,eRRSP_Tx_Table[[#This Row],[Year]],$W$4:$W118,"&gt;0"),"")</f>
        <v/>
      </c>
      <c r="Z118" s="10" t="str">
        <f>IF(S119&lt;&gt;eRRSP_Tx_Table[[#This Row],[Year]],SUMIFS($W$4:$W118,$S$4:$S118,eRRSP_Tx_Table[[#This Row],[Year]],$W$4:$W118,"&lt;0"),"")</f>
        <v/>
      </c>
      <c r="AA118" s="3">
        <f>(SUMIF($U$4:$U118,CONCATENATE("Buy",$C118),$N$4:$N118)+SUMIF($U$4:$U118,CONCATENATE("ReinvDiv",$C118),$N$4:$N118))</f>
        <v>-809</v>
      </c>
      <c r="AB118" s="3">
        <f>(SUMIF($U$4:$U118,CONCATENATE("Buy",$C118),$F$4:$F118)+SUMIF($U$4:$U118,CONCATENATE("ReinvDiv",$C118),$F$4:$F118)+SUMIF($U$4:$U118,CONCATENATE("StkSplit",$C118),$F$4:$F118)-SUMIF($U$4:$U118,CONCATENATE("Sell",$C118),$F$4:$F118))</f>
        <v>20</v>
      </c>
      <c r="AC118" s="3">
        <f>IF(B118="Sell",F118*INDEX(V:V,LOOKUP(2,1/(X$4:X117=CONCATENATE(C118,"_ACB")),ROW(V$4:V117))),0)</f>
        <v>0</v>
      </c>
    </row>
    <row r="119" spans="1:29" x14ac:dyDescent="0.25">
      <c r="A119" s="20">
        <v>37453</v>
      </c>
      <c r="B119" t="s">
        <v>43</v>
      </c>
      <c r="C119" t="s">
        <v>36</v>
      </c>
      <c r="D119" s="3">
        <v>0.37</v>
      </c>
      <c r="M119" s="21">
        <f t="shared" si="14"/>
        <v>0.37</v>
      </c>
      <c r="N119" s="8">
        <f t="shared" si="17"/>
        <v>0.37</v>
      </c>
      <c r="O119" s="25">
        <f t="shared" si="18"/>
        <v>1867.06</v>
      </c>
      <c r="P119" s="8">
        <f t="shared" si="15"/>
        <v>0</v>
      </c>
      <c r="Q119" s="4">
        <f>IF(AND(S119&gt;=[1]eRRSP_Rpt!$C$6,S119&lt;=[1]eRRSP_Rpt!$C$7),1,0)</f>
        <v>0</v>
      </c>
      <c r="R119" s="4"/>
      <c r="S119" s="4">
        <f t="shared" si="12"/>
        <v>2002</v>
      </c>
      <c r="T119" s="4"/>
      <c r="U119" s="4" t="str">
        <f t="shared" si="16"/>
        <v>IntIncTDW</v>
      </c>
      <c r="V119" s="23">
        <f>IFERROR(IF(AND(AB119&gt;0,B119&lt;&gt;"Sell"),(AA119-SUMIF(C$4:C118,C119,AC$4:AC119))/AB119,0),"")</f>
        <v>0</v>
      </c>
      <c r="W119" s="24" t="str">
        <f t="shared" si="13"/>
        <v/>
      </c>
      <c r="X119" s="25" t="str">
        <f t="shared" si="11"/>
        <v/>
      </c>
      <c r="Y119" s="10" t="str">
        <f>IF(S120&lt;&gt;eRRSP_Tx_Table[[#This Row],[Year]],SUMIFS($W$4:$W119,$S$4:$S119,eRRSP_Tx_Table[[#This Row],[Year]],$W$4:$W119,"&gt;0"),"")</f>
        <v/>
      </c>
      <c r="Z119" s="10" t="str">
        <f>IF(S120&lt;&gt;eRRSP_Tx_Table[[#This Row],[Year]],SUMIFS($W$4:$W119,$S$4:$S119,eRRSP_Tx_Table[[#This Row],[Year]],$W$4:$W119,"&lt;0"),"")</f>
        <v/>
      </c>
      <c r="AA119" s="3">
        <f>(SUMIF($U$4:$U119,CONCATENATE("Buy",$C119),$N$4:$N119)+SUMIF($U$4:$U119,CONCATENATE("ReinvDiv",$C119),$N$4:$N119))</f>
        <v>0</v>
      </c>
      <c r="AB119" s="3">
        <f>(SUMIF($U$4:$U119,CONCATENATE("Buy",$C119),$F$4:$F119)+SUMIF($U$4:$U119,CONCATENATE("ReinvDiv",$C119),$F$4:$F119)+SUMIF($U$4:$U119,CONCATENATE("StkSplit",$C119),$F$4:$F119)-SUMIF($U$4:$U119,CONCATENATE("Sell",$C119),$F$4:$F119))</f>
        <v>0</v>
      </c>
      <c r="AC119" s="3">
        <f>IF(B119="Sell",F119*INDEX(V:V,LOOKUP(2,1/(X$4:X118=CONCATENATE(C119,"_ACB")),ROW(V$4:V118))),0)</f>
        <v>0</v>
      </c>
    </row>
    <row r="120" spans="1:29" x14ac:dyDescent="0.25">
      <c r="A120" s="20">
        <v>37468</v>
      </c>
      <c r="B120" t="s">
        <v>42</v>
      </c>
      <c r="C120" t="s">
        <v>47</v>
      </c>
      <c r="D120" s="3">
        <v>1.36</v>
      </c>
      <c r="M120" s="21">
        <f t="shared" si="14"/>
        <v>1.36</v>
      </c>
      <c r="N120" s="8">
        <f t="shared" si="17"/>
        <v>1.36</v>
      </c>
      <c r="O120" s="25">
        <f t="shared" si="18"/>
        <v>1868.4199999999998</v>
      </c>
      <c r="P120" s="8">
        <f t="shared" si="15"/>
        <v>0</v>
      </c>
      <c r="Q120" s="4">
        <f>IF(AND(S120&gt;=[1]eRRSP_Rpt!$C$6,S120&lt;=[1]eRRSP_Rpt!$C$7),1,0)</f>
        <v>0</v>
      </c>
      <c r="R120" s="4"/>
      <c r="S120" s="4">
        <f t="shared" si="12"/>
        <v>2002</v>
      </c>
      <c r="T120" s="4"/>
      <c r="U120" s="4" t="str">
        <f t="shared" si="16"/>
        <v>DivBombardier</v>
      </c>
      <c r="V120" s="23">
        <f>IFERROR(IF(AND(AB120&gt;0,B120&lt;&gt;"Sell"),(AA120-SUMIF(C$4:C119,C120,AC$4:AC120))/AB120,0),"")</f>
        <v>-23.216666666666665</v>
      </c>
      <c r="W120" s="24" t="str">
        <f t="shared" si="13"/>
        <v/>
      </c>
      <c r="X120" s="25" t="str">
        <f t="shared" si="11"/>
        <v>Bombardier_ACB</v>
      </c>
      <c r="Y120" s="10" t="str">
        <f>IF(S121&lt;&gt;eRRSP_Tx_Table[[#This Row],[Year]],SUMIFS($W$4:$W120,$S$4:$S120,eRRSP_Tx_Table[[#This Row],[Year]],$W$4:$W120,"&gt;0"),"")</f>
        <v/>
      </c>
      <c r="Z120" s="10" t="str">
        <f>IF(S121&lt;&gt;eRRSP_Tx_Table[[#This Row],[Year]],SUMIFS($W$4:$W120,$S$4:$S120,eRRSP_Tx_Table[[#This Row],[Year]],$W$4:$W120,"&lt;0"),"")</f>
        <v/>
      </c>
      <c r="AA120" s="3">
        <f>(SUMIF($U$4:$U120,CONCATENATE("Buy",$C120),$N$4:$N120)+SUMIF($U$4:$U120,CONCATENATE("ReinvDiv",$C120),$N$4:$N120))</f>
        <v>-696.5</v>
      </c>
      <c r="AB120" s="3">
        <f>(SUMIF($U$4:$U120,CONCATENATE("Buy",$C120),$F$4:$F120)+SUMIF($U$4:$U120,CONCATENATE("ReinvDiv",$C120),$F$4:$F120)+SUMIF($U$4:$U120,CONCATENATE("StkSplit",$C120),$F$4:$F120)-SUMIF($U$4:$U120,CONCATENATE("Sell",$C120),$F$4:$F120))</f>
        <v>30</v>
      </c>
      <c r="AC120" s="3">
        <f>IF(B120="Sell",F120*INDEX(V:V,LOOKUP(2,1/(X$4:X119=CONCATENATE(C120,"_ACB")),ROW(V$4:V119))),0)</f>
        <v>0</v>
      </c>
    </row>
    <row r="121" spans="1:29" x14ac:dyDescent="0.25">
      <c r="A121" s="20">
        <v>37468</v>
      </c>
      <c r="B121" t="s">
        <v>42</v>
      </c>
      <c r="C121" t="s">
        <v>45</v>
      </c>
      <c r="D121" s="3">
        <v>5.6</v>
      </c>
      <c r="M121" s="21">
        <f t="shared" si="14"/>
        <v>5.6</v>
      </c>
      <c r="N121" s="8">
        <f t="shared" si="17"/>
        <v>5.6</v>
      </c>
      <c r="O121" s="25">
        <f t="shared" si="18"/>
        <v>1874.0199999999998</v>
      </c>
      <c r="P121" s="8">
        <f t="shared" si="15"/>
        <v>0</v>
      </c>
      <c r="Q121" s="4">
        <f>IF(AND(S121&gt;=[1]eRRSP_Rpt!$C$6,S121&lt;=[1]eRRSP_Rpt!$C$7),1,0)</f>
        <v>0</v>
      </c>
      <c r="R121" s="4"/>
      <c r="S121" s="4">
        <f t="shared" si="12"/>
        <v>2002</v>
      </c>
      <c r="T121" s="4"/>
      <c r="U121" s="4" t="str">
        <f t="shared" si="16"/>
        <v>DivTD Bank</v>
      </c>
      <c r="V121" s="23">
        <f>IFERROR(IF(AND(AB121&gt;0,B121&lt;&gt;"Sell"),(AA121-SUMIF(C$4:C120,C121,AC$4:AC121))/AB121,0),"")</f>
        <v>-44.29</v>
      </c>
      <c r="W121" s="24" t="str">
        <f t="shared" si="13"/>
        <v/>
      </c>
      <c r="X121" s="25" t="str">
        <f t="shared" si="11"/>
        <v>TD Bank_ACB</v>
      </c>
      <c r="Y121" s="10" t="str">
        <f>IF(S122&lt;&gt;eRRSP_Tx_Table[[#This Row],[Year]],SUMIFS($W$4:$W121,$S$4:$S121,eRRSP_Tx_Table[[#This Row],[Year]],$W$4:$W121,"&gt;0"),"")</f>
        <v/>
      </c>
      <c r="Z121" s="10" t="str">
        <f>IF(S122&lt;&gt;eRRSP_Tx_Table[[#This Row],[Year]],SUMIFS($W$4:$W121,$S$4:$S121,eRRSP_Tx_Table[[#This Row],[Year]],$W$4:$W121,"&lt;0"),"")</f>
        <v/>
      </c>
      <c r="AA121" s="3">
        <f>(SUMIF($U$4:$U121,CONCATENATE("Buy",$C121),$N$4:$N121)+SUMIF($U$4:$U121,CONCATENATE("ReinvDiv",$C121),$N$4:$N121))</f>
        <v>-885.8</v>
      </c>
      <c r="AB121" s="3">
        <f>(SUMIF($U$4:$U121,CONCATENATE("Buy",$C121),$F$4:$F121)+SUMIF($U$4:$U121,CONCATENATE("ReinvDiv",$C121),$F$4:$F121)+SUMIF($U$4:$U121,CONCATENATE("StkSplit",$C121),$F$4:$F121)-SUMIF($U$4:$U121,CONCATENATE("Sell",$C121),$F$4:$F121))</f>
        <v>20</v>
      </c>
      <c r="AC121" s="3">
        <f>IF(B121="Sell",F121*INDEX(V:V,LOOKUP(2,1/(X$4:X120=CONCATENATE(C121,"_ACB")),ROW(V$4:V120))),0)</f>
        <v>0</v>
      </c>
    </row>
    <row r="122" spans="1:29" x14ac:dyDescent="0.25">
      <c r="A122" s="20">
        <v>37483</v>
      </c>
      <c r="B122" t="s">
        <v>60</v>
      </c>
      <c r="C122" t="s">
        <v>36</v>
      </c>
      <c r="D122" s="3">
        <v>-8.32</v>
      </c>
      <c r="M122" s="21">
        <f t="shared" si="14"/>
        <v>-8.32</v>
      </c>
      <c r="N122" s="8">
        <f t="shared" si="17"/>
        <v>-8.32</v>
      </c>
      <c r="O122" s="25">
        <f t="shared" si="18"/>
        <v>1865.6999999999998</v>
      </c>
      <c r="P122" s="8">
        <f t="shared" si="15"/>
        <v>0</v>
      </c>
      <c r="Q122" s="4">
        <f>IF(AND(S122&gt;=[1]eRRSP_Rpt!$C$6,S122&lt;=[1]eRRSP_Rpt!$C$7),1,0)</f>
        <v>0</v>
      </c>
      <c r="R122" s="4"/>
      <c r="S122" s="4">
        <f t="shared" si="12"/>
        <v>2002</v>
      </c>
      <c r="T122" s="4"/>
      <c r="U122" s="4" t="str">
        <f t="shared" si="16"/>
        <v>TaxTDW</v>
      </c>
      <c r="V122" s="23">
        <f>IFERROR(IF(AND(AB122&gt;0,B122&lt;&gt;"Sell"),(AA122-SUMIF(C$4:C121,C122,AC$4:AC122))/AB122,0),"")</f>
        <v>0</v>
      </c>
      <c r="W122" s="24" t="str">
        <f t="shared" si="13"/>
        <v/>
      </c>
      <c r="X122" s="25" t="str">
        <f t="shared" si="11"/>
        <v/>
      </c>
      <c r="Y122" s="10" t="str">
        <f>IF(S123&lt;&gt;eRRSP_Tx_Table[[#This Row],[Year]],SUMIFS($W$4:$W122,$S$4:$S122,eRRSP_Tx_Table[[#This Row],[Year]],$W$4:$W122,"&gt;0"),"")</f>
        <v/>
      </c>
      <c r="Z122" s="10" t="str">
        <f>IF(S123&lt;&gt;eRRSP_Tx_Table[[#This Row],[Year]],SUMIFS($W$4:$W122,$S$4:$S122,eRRSP_Tx_Table[[#This Row],[Year]],$W$4:$W122,"&lt;0"),"")</f>
        <v/>
      </c>
      <c r="AA122" s="3">
        <f>(SUMIF($U$4:$U122,CONCATENATE("Buy",$C122),$N$4:$N122)+SUMIF($U$4:$U122,CONCATENATE("ReinvDiv",$C122),$N$4:$N122))</f>
        <v>0</v>
      </c>
      <c r="AB122" s="3">
        <f>(SUMIF($U$4:$U122,CONCATENATE("Buy",$C122),$F$4:$F122)+SUMIF($U$4:$U122,CONCATENATE("ReinvDiv",$C122),$F$4:$F122)+SUMIF($U$4:$U122,CONCATENATE("StkSplit",$C122),$F$4:$F122)-SUMIF($U$4:$U122,CONCATENATE("Sell",$C122),$F$4:$F122))</f>
        <v>0</v>
      </c>
      <c r="AC122" s="3">
        <f>IF(B122="Sell",F122*INDEX(V:V,LOOKUP(2,1/(X$4:X121=CONCATENATE(C122,"_ACB")),ROW(V$4:V121))),0)</f>
        <v>0</v>
      </c>
    </row>
    <row r="123" spans="1:29" x14ac:dyDescent="0.25">
      <c r="A123" s="20">
        <v>37484</v>
      </c>
      <c r="B123" t="s">
        <v>43</v>
      </c>
      <c r="C123" t="s">
        <v>36</v>
      </c>
      <c r="D123" s="3">
        <v>0.78</v>
      </c>
      <c r="M123" s="21">
        <f t="shared" si="14"/>
        <v>0.78</v>
      </c>
      <c r="N123" s="8">
        <f t="shared" si="17"/>
        <v>0.78</v>
      </c>
      <c r="O123" s="25">
        <f t="shared" si="18"/>
        <v>1866.4799999999998</v>
      </c>
      <c r="P123" s="8">
        <f t="shared" si="15"/>
        <v>0</v>
      </c>
      <c r="Q123" s="4">
        <f>IF(AND(S123&gt;=[1]eRRSP_Rpt!$C$6,S123&lt;=[1]eRRSP_Rpt!$C$7),1,0)</f>
        <v>0</v>
      </c>
      <c r="R123" s="4"/>
      <c r="S123" s="4">
        <f t="shared" si="12"/>
        <v>2002</v>
      </c>
      <c r="T123" s="4"/>
      <c r="U123" s="4" t="str">
        <f t="shared" si="16"/>
        <v>IntIncTDW</v>
      </c>
      <c r="V123" s="23">
        <f>IFERROR(IF(AND(AB123&gt;0,B123&lt;&gt;"Sell"),(AA123-SUMIF(C$4:C122,C123,AC$4:AC123))/AB123,0),"")</f>
        <v>0</v>
      </c>
      <c r="W123" s="24" t="str">
        <f t="shared" si="13"/>
        <v/>
      </c>
      <c r="X123" s="25" t="str">
        <f t="shared" si="11"/>
        <v/>
      </c>
      <c r="Y123" s="10" t="str">
        <f>IF(S124&lt;&gt;eRRSP_Tx_Table[[#This Row],[Year]],SUMIFS($W$4:$W123,$S$4:$S123,eRRSP_Tx_Table[[#This Row],[Year]],$W$4:$W123,"&gt;0"),"")</f>
        <v/>
      </c>
      <c r="Z123" s="10" t="str">
        <f>IF(S124&lt;&gt;eRRSP_Tx_Table[[#This Row],[Year]],SUMIFS($W$4:$W123,$S$4:$S123,eRRSP_Tx_Table[[#This Row],[Year]],$W$4:$W123,"&lt;0"),"")</f>
        <v/>
      </c>
      <c r="AA123" s="3">
        <f>(SUMIF($U$4:$U123,CONCATENATE("Buy",$C123),$N$4:$N123)+SUMIF($U$4:$U123,CONCATENATE("ReinvDiv",$C123),$N$4:$N123))</f>
        <v>0</v>
      </c>
      <c r="AB123" s="3">
        <f>(SUMIF($U$4:$U123,CONCATENATE("Buy",$C123),$F$4:$F123)+SUMIF($U$4:$U123,CONCATENATE("ReinvDiv",$C123),$F$4:$F123)+SUMIF($U$4:$U123,CONCATENATE("StkSplit",$C123),$F$4:$F123)-SUMIF($U$4:$U123,CONCATENATE("Sell",$C123),$F$4:$F123))</f>
        <v>0</v>
      </c>
      <c r="AC123" s="3">
        <f>IF(B123="Sell",F123*INDEX(V:V,LOOKUP(2,1/(X$4:X122=CONCATENATE(C123,"_ACB")),ROW(V$4:V122))),0)</f>
        <v>0</v>
      </c>
    </row>
    <row r="124" spans="1:29" x14ac:dyDescent="0.25">
      <c r="A124" s="20">
        <v>37500</v>
      </c>
      <c r="B124" t="s">
        <v>42</v>
      </c>
      <c r="C124" t="s">
        <v>33</v>
      </c>
      <c r="D124" s="3">
        <v>21.66</v>
      </c>
      <c r="M124" s="21">
        <f t="shared" si="14"/>
        <v>21.66</v>
      </c>
      <c r="N124" s="8">
        <f t="shared" si="17"/>
        <v>21.66</v>
      </c>
      <c r="O124" s="25">
        <f t="shared" si="18"/>
        <v>1888.1399999999999</v>
      </c>
      <c r="P124" s="8">
        <f t="shared" si="15"/>
        <v>0</v>
      </c>
      <c r="Q124" s="4">
        <f>IF(AND(S124&gt;=[1]eRRSP_Rpt!$C$6,S124&lt;=[1]eRRSP_Rpt!$C$7),1,0)</f>
        <v>0</v>
      </c>
      <c r="R124" s="4"/>
      <c r="S124" s="4">
        <f t="shared" si="12"/>
        <v>2002</v>
      </c>
      <c r="T124" s="4"/>
      <c r="U124" s="4" t="str">
        <f t="shared" si="16"/>
        <v>DivEnbridge</v>
      </c>
      <c r="V124" s="23">
        <f>IFERROR(IF(AND(AB124&gt;0,B124&lt;&gt;"Sell"),(AA124-SUMIF(C$4:C123,C124,AC$4:AC124))/AB124,0),"")</f>
        <v>-25.718055555555559</v>
      </c>
      <c r="W124" s="24" t="str">
        <f t="shared" si="13"/>
        <v/>
      </c>
      <c r="X124" s="25" t="str">
        <f t="shared" si="11"/>
        <v>Enbridge_ACB</v>
      </c>
      <c r="Y124" s="10" t="str">
        <f>IF(S125&lt;&gt;eRRSP_Tx_Table[[#This Row],[Year]],SUMIFS($W$4:$W124,$S$4:$S124,eRRSP_Tx_Table[[#This Row],[Year]],$W$4:$W124,"&gt;0"),"")</f>
        <v/>
      </c>
      <c r="Z124" s="10" t="str">
        <f>IF(S125&lt;&gt;eRRSP_Tx_Table[[#This Row],[Year]],SUMIFS($W$4:$W124,$S$4:$S124,eRRSP_Tx_Table[[#This Row],[Year]],$W$4:$W124,"&lt;0"),"")</f>
        <v/>
      </c>
      <c r="AA124" s="3">
        <f>(SUMIF($U$4:$U124,CONCATENATE("Buy",$C124),$N$4:$N124)+SUMIF($U$4:$U124,CONCATENATE("ReinvDiv",$C124),$N$4:$N124))</f>
        <v>-1851.7</v>
      </c>
      <c r="AB124" s="3">
        <f>(SUMIF($U$4:$U124,CONCATENATE("Buy",$C124),$F$4:$F124)+SUMIF($U$4:$U124,CONCATENATE("ReinvDiv",$C124),$F$4:$F124)+SUMIF($U$4:$U124,CONCATENATE("StkSplit",$C124),$F$4:$F124)-SUMIF($U$4:$U124,CONCATENATE("Sell",$C124),$F$4:$F124))</f>
        <v>57</v>
      </c>
      <c r="AC124" s="3">
        <f>IF(B124="Sell",F124*INDEX(V:V,LOOKUP(2,1/(X$4:X123=CONCATENATE(C124,"_ACB")),ROW(V$4:V123))),0)</f>
        <v>0</v>
      </c>
    </row>
    <row r="125" spans="1:29" x14ac:dyDescent="0.25">
      <c r="A125" s="20">
        <v>37512</v>
      </c>
      <c r="B125" t="s">
        <v>41</v>
      </c>
      <c r="C125" t="s">
        <v>39</v>
      </c>
      <c r="D125" s="3">
        <v>15.1</v>
      </c>
      <c r="E125">
        <v>9.25</v>
      </c>
      <c r="F125" s="3">
        <v>1.633</v>
      </c>
      <c r="M125" s="21">
        <f t="shared" si="14"/>
        <v>15.1</v>
      </c>
      <c r="N125" s="8">
        <f t="shared" si="17"/>
        <v>-15.1</v>
      </c>
      <c r="O125" s="25">
        <f t="shared" si="18"/>
        <v>1888.1399999999999</v>
      </c>
      <c r="P125" s="8">
        <f t="shared" si="15"/>
        <v>0</v>
      </c>
      <c r="Q125" s="4">
        <f>IF(AND(S125&gt;=[1]eRRSP_Rpt!$C$6,S125&lt;=[1]eRRSP_Rpt!$C$7),1,0)</f>
        <v>0</v>
      </c>
      <c r="R125" s="4"/>
      <c r="S125" s="4">
        <f t="shared" si="12"/>
        <v>2002</v>
      </c>
      <c r="T125" s="4"/>
      <c r="U125" s="4" t="str">
        <f t="shared" si="16"/>
        <v>ReinvDivTrimark Income Growth</v>
      </c>
      <c r="V125" s="23">
        <f>IFERROR(IF(AND(AB125&gt;0,B125&lt;&gt;"Sell"),(AA125-SUMIF(C$4:C124,C125,AC$4:AC125))/AB125,0),"")</f>
        <v>-7.7645238788584736</v>
      </c>
      <c r="W125" s="24" t="str">
        <f t="shared" si="13"/>
        <v/>
      </c>
      <c r="X125" s="25" t="str">
        <f t="shared" si="11"/>
        <v>Trimark Income Growth_ACB</v>
      </c>
      <c r="Y125" s="10" t="str">
        <f>IF(S126&lt;&gt;eRRSP_Tx_Table[[#This Row],[Year]],SUMIFS($W$4:$W125,$S$4:$S125,eRRSP_Tx_Table[[#This Row],[Year]],$W$4:$W125,"&gt;0"),"")</f>
        <v/>
      </c>
      <c r="Z125" s="10" t="str">
        <f>IF(S126&lt;&gt;eRRSP_Tx_Table[[#This Row],[Year]],SUMIFS($W$4:$W125,$S$4:$S125,eRRSP_Tx_Table[[#This Row],[Year]],$W$4:$W125,"&lt;0"),"")</f>
        <v/>
      </c>
      <c r="AA125" s="3">
        <f>(SUMIF($U$4:$U125,CONCATENATE("Buy",$C125),$N$4:$N125)+SUMIF($U$4:$U125,CONCATENATE("ReinvDiv",$C125),$N$4:$N125))</f>
        <v>-2133.0699999999997</v>
      </c>
      <c r="AB125" s="3">
        <f>(SUMIF($U$4:$U125,CONCATENATE("Buy",$C125),$F$4:$F125)+SUMIF($U$4:$U125,CONCATENATE("ReinvDiv",$C125),$F$4:$F125)+SUMIF($U$4:$U125,CONCATENATE("StkSplit",$C125),$F$4:$F125)-SUMIF($U$4:$U125,CONCATENATE("Sell",$C125),$F$4:$F125))</f>
        <v>274.71999999999997</v>
      </c>
      <c r="AC125" s="3">
        <f>IF(B125="Sell",F125*INDEX(V:V,LOOKUP(2,1/(X$4:X124=CONCATENATE(C125,"_ACB")),ROW(V$4:V124))),0)</f>
        <v>0</v>
      </c>
    </row>
    <row r="126" spans="1:29" x14ac:dyDescent="0.25">
      <c r="A126" s="20">
        <v>37515</v>
      </c>
      <c r="B126" t="s">
        <v>43</v>
      </c>
      <c r="C126" t="s">
        <v>36</v>
      </c>
      <c r="D126" s="3">
        <v>0.79</v>
      </c>
      <c r="M126" s="21">
        <f t="shared" si="14"/>
        <v>0.79</v>
      </c>
      <c r="N126" s="8">
        <f t="shared" si="17"/>
        <v>0.79</v>
      </c>
      <c r="O126" s="25">
        <f t="shared" si="18"/>
        <v>1888.9299999999998</v>
      </c>
      <c r="P126" s="8">
        <f t="shared" si="15"/>
        <v>0</v>
      </c>
      <c r="Q126" s="4">
        <f>IF(AND(S126&gt;=[1]eRRSP_Rpt!$C$6,S126&lt;=[1]eRRSP_Rpt!$C$7),1,0)</f>
        <v>0</v>
      </c>
      <c r="R126" s="4"/>
      <c r="S126" s="4">
        <f t="shared" si="12"/>
        <v>2002</v>
      </c>
      <c r="T126" s="4"/>
      <c r="U126" s="4" t="str">
        <f t="shared" si="16"/>
        <v>IntIncTDW</v>
      </c>
      <c r="V126" s="23">
        <f>IFERROR(IF(AND(AB126&gt;0,B126&lt;&gt;"Sell"),(AA126-SUMIF(C$4:C125,C126,AC$4:AC126))/AB126,0),"")</f>
        <v>0</v>
      </c>
      <c r="W126" s="24" t="str">
        <f t="shared" si="13"/>
        <v/>
      </c>
      <c r="X126" s="25" t="str">
        <f t="shared" si="11"/>
        <v/>
      </c>
      <c r="Y126" s="10" t="str">
        <f>IF(S127&lt;&gt;eRRSP_Tx_Table[[#This Row],[Year]],SUMIFS($W$4:$W126,$S$4:$S126,eRRSP_Tx_Table[[#This Row],[Year]],$W$4:$W126,"&gt;0"),"")</f>
        <v/>
      </c>
      <c r="Z126" s="10" t="str">
        <f>IF(S127&lt;&gt;eRRSP_Tx_Table[[#This Row],[Year]],SUMIFS($W$4:$W126,$S$4:$S126,eRRSP_Tx_Table[[#This Row],[Year]],$W$4:$W126,"&lt;0"),"")</f>
        <v/>
      </c>
      <c r="AA126" s="3">
        <f>(SUMIF($U$4:$U126,CONCATENATE("Buy",$C126),$N$4:$N126)+SUMIF($U$4:$U126,CONCATENATE("ReinvDiv",$C126),$N$4:$N126))</f>
        <v>0</v>
      </c>
      <c r="AB126" s="3">
        <f>(SUMIF($U$4:$U126,CONCATENATE("Buy",$C126),$F$4:$F126)+SUMIF($U$4:$U126,CONCATENATE("ReinvDiv",$C126),$F$4:$F126)+SUMIF($U$4:$U126,CONCATENATE("StkSplit",$C126),$F$4:$F126)-SUMIF($U$4:$U126,CONCATENATE("Sell",$C126),$F$4:$F126))</f>
        <v>0</v>
      </c>
      <c r="AC126" s="3">
        <f>IF(B126="Sell",F126*INDEX(V:V,LOOKUP(2,1/(X$4:X125=CONCATENATE(C126,"_ACB")),ROW(V$4:V125))),0)</f>
        <v>0</v>
      </c>
    </row>
    <row r="127" spans="1:29" x14ac:dyDescent="0.25">
      <c r="A127" s="20">
        <v>37526</v>
      </c>
      <c r="B127" t="s">
        <v>42</v>
      </c>
      <c r="C127" t="s">
        <v>53</v>
      </c>
      <c r="D127" s="3">
        <v>28.55</v>
      </c>
      <c r="M127" s="21">
        <f t="shared" si="14"/>
        <v>28.55</v>
      </c>
      <c r="N127" s="8">
        <f t="shared" si="17"/>
        <v>28.55</v>
      </c>
      <c r="O127" s="25">
        <f t="shared" si="18"/>
        <v>1917.4799999999998</v>
      </c>
      <c r="P127" s="8">
        <f t="shared" si="15"/>
        <v>0</v>
      </c>
      <c r="Q127" s="4">
        <f>IF(AND(S127&gt;=[1]eRRSP_Rpt!$C$6,S127&lt;=[1]eRRSP_Rpt!$C$7),1,0)</f>
        <v>0</v>
      </c>
      <c r="R127" s="4"/>
      <c r="S127" s="4">
        <f t="shared" si="12"/>
        <v>2002</v>
      </c>
      <c r="T127" s="4"/>
      <c r="U127" s="4" t="str">
        <f t="shared" si="16"/>
        <v>DivTD CDN Bond</v>
      </c>
      <c r="V127" s="23">
        <f>IFERROR(IF(AND(AB127&gt;0,B127&lt;&gt;"Sell"),(AA127-SUMIF(C$4:C126,C127,AC$4:AC127))/AB127,0),"")</f>
        <v>-12.100018755029071</v>
      </c>
      <c r="W127" s="24" t="str">
        <f t="shared" si="13"/>
        <v/>
      </c>
      <c r="X127" s="25" t="str">
        <f t="shared" si="11"/>
        <v>TD CDN Bond_ACB</v>
      </c>
      <c r="Y127" s="10" t="str">
        <f>IF(S128&lt;&gt;eRRSP_Tx_Table[[#This Row],[Year]],SUMIFS($W$4:$W127,$S$4:$S127,eRRSP_Tx_Table[[#This Row],[Year]],$W$4:$W127,"&gt;0"),"")</f>
        <v/>
      </c>
      <c r="Z127" s="10" t="str">
        <f>IF(S128&lt;&gt;eRRSP_Tx_Table[[#This Row],[Year]],SUMIFS($W$4:$W127,$S$4:$S127,eRRSP_Tx_Table[[#This Row],[Year]],$W$4:$W127,"&lt;0"),"")</f>
        <v/>
      </c>
      <c r="AA127" s="3">
        <f>(SUMIF($U$4:$U127,CONCATENATE("Buy",$C127),$N$4:$N127)+SUMIF($U$4:$U127,CONCATENATE("ReinvDiv",$C127),$N$4:$N127))</f>
        <v>-2000</v>
      </c>
      <c r="AB127" s="3">
        <f>(SUMIF($U$4:$U127,CONCATENATE("Buy",$C127),$F$4:$F127)+SUMIF($U$4:$U127,CONCATENATE("ReinvDiv",$C127),$F$4:$F127)+SUMIF($U$4:$U127,CONCATENATE("StkSplit",$C127),$F$4:$F127)-SUMIF($U$4:$U127,CONCATENATE("Sell",$C127),$F$4:$F127))</f>
        <v>165.28899999999999</v>
      </c>
      <c r="AC127" s="3">
        <f>IF(B127="Sell",F127*INDEX(V:V,LOOKUP(2,1/(X$4:X126=CONCATENATE(C127,"_ACB")),ROW(V$4:V126))),0)</f>
        <v>0</v>
      </c>
    </row>
    <row r="128" spans="1:29" x14ac:dyDescent="0.25">
      <c r="A128" s="20">
        <v>37530</v>
      </c>
      <c r="B128" t="s">
        <v>42</v>
      </c>
      <c r="C128" t="s">
        <v>48</v>
      </c>
      <c r="D128" s="3">
        <v>3</v>
      </c>
      <c r="M128" s="21">
        <f t="shared" si="14"/>
        <v>3</v>
      </c>
      <c r="N128" s="8">
        <f t="shared" si="17"/>
        <v>3</v>
      </c>
      <c r="O128" s="25">
        <f t="shared" si="18"/>
        <v>1920.4799999999998</v>
      </c>
      <c r="P128" s="8">
        <f t="shared" si="15"/>
        <v>0</v>
      </c>
      <c r="Q128" s="4">
        <f>IF(AND(S128&gt;=[1]eRRSP_Rpt!$C$6,S128&lt;=[1]eRRSP_Rpt!$C$7),1,0)</f>
        <v>0</v>
      </c>
      <c r="R128" s="4"/>
      <c r="S128" s="4">
        <f t="shared" si="12"/>
        <v>2002</v>
      </c>
      <c r="T128" s="4"/>
      <c r="U128" s="4" t="str">
        <f t="shared" si="16"/>
        <v>DivTelus</v>
      </c>
      <c r="V128" s="23">
        <f>IFERROR(IF(AND(AB128&gt;0,B128&lt;&gt;"Sell"),(AA128-SUMIF(C$4:C127,C128,AC$4:AC128))/AB128,0),"")</f>
        <v>-40.450000000000003</v>
      </c>
      <c r="W128" s="24" t="str">
        <f t="shared" si="13"/>
        <v/>
      </c>
      <c r="X128" s="25" t="str">
        <f t="shared" si="11"/>
        <v>Telus_ACB</v>
      </c>
      <c r="Y128" s="10" t="str">
        <f>IF(S129&lt;&gt;eRRSP_Tx_Table[[#This Row],[Year]],SUMIFS($W$4:$W128,$S$4:$S128,eRRSP_Tx_Table[[#This Row],[Year]],$W$4:$W128,"&gt;0"),"")</f>
        <v/>
      </c>
      <c r="Z128" s="10" t="str">
        <f>IF(S129&lt;&gt;eRRSP_Tx_Table[[#This Row],[Year]],SUMIFS($W$4:$W128,$S$4:$S128,eRRSP_Tx_Table[[#This Row],[Year]],$W$4:$W128,"&lt;0"),"")</f>
        <v/>
      </c>
      <c r="AA128" s="3">
        <f>(SUMIF($U$4:$U128,CONCATENATE("Buy",$C128),$N$4:$N128)+SUMIF($U$4:$U128,CONCATENATE("ReinvDiv",$C128),$N$4:$N128))</f>
        <v>-809</v>
      </c>
      <c r="AB128" s="3">
        <f>(SUMIF($U$4:$U128,CONCATENATE("Buy",$C128),$F$4:$F128)+SUMIF($U$4:$U128,CONCATENATE("ReinvDiv",$C128),$F$4:$F128)+SUMIF($U$4:$U128,CONCATENATE("StkSplit",$C128),$F$4:$F128)-SUMIF($U$4:$U128,CONCATENATE("Sell",$C128),$F$4:$F128))</f>
        <v>20</v>
      </c>
      <c r="AC128" s="3">
        <f>IF(B128="Sell",F128*INDEX(V:V,LOOKUP(2,1/(X$4:X127=CONCATENATE(C128,"_ACB")),ROW(V$4:V127))),0)</f>
        <v>0</v>
      </c>
    </row>
    <row r="129" spans="1:29" x14ac:dyDescent="0.25">
      <c r="A129" s="20">
        <v>37544</v>
      </c>
      <c r="B129" t="s">
        <v>42</v>
      </c>
      <c r="C129" t="s">
        <v>46</v>
      </c>
      <c r="D129" s="3">
        <v>6</v>
      </c>
      <c r="M129" s="21">
        <f t="shared" si="14"/>
        <v>6</v>
      </c>
      <c r="N129" s="8">
        <f t="shared" si="17"/>
        <v>6</v>
      </c>
      <c r="O129" s="25">
        <f t="shared" si="18"/>
        <v>1926.4799999999998</v>
      </c>
      <c r="P129" s="8">
        <f t="shared" si="15"/>
        <v>0</v>
      </c>
      <c r="Q129" s="4">
        <f>IF(AND(S129&gt;=[1]eRRSP_Rpt!$C$6,S129&lt;=[1]eRRSP_Rpt!$C$7),1,0)</f>
        <v>0</v>
      </c>
      <c r="R129" s="4"/>
      <c r="S129" s="4">
        <f t="shared" si="12"/>
        <v>2002</v>
      </c>
      <c r="T129" s="4"/>
      <c r="U129" s="4" t="str">
        <f t="shared" si="16"/>
        <v>DivBCE</v>
      </c>
      <c r="V129" s="23">
        <f>IFERROR(IF(AND(AB129&gt;0,B129&lt;&gt;"Sell"),(AA129-SUMIF(C$4:C128,C129,AC$4:AC129))/AB129,0),"")</f>
        <v>-40.450000000000003</v>
      </c>
      <c r="W129" s="24" t="str">
        <f t="shared" si="13"/>
        <v/>
      </c>
      <c r="X129" s="25" t="str">
        <f t="shared" si="11"/>
        <v>BCE_ACB</v>
      </c>
      <c r="Y129" s="10" t="str">
        <f>IF(S130&lt;&gt;eRRSP_Tx_Table[[#This Row],[Year]],SUMIFS($W$4:$W129,$S$4:$S129,eRRSP_Tx_Table[[#This Row],[Year]],$W$4:$W129,"&gt;0"),"")</f>
        <v/>
      </c>
      <c r="Z129" s="10" t="str">
        <f>IF(S130&lt;&gt;eRRSP_Tx_Table[[#This Row],[Year]],SUMIFS($W$4:$W129,$S$4:$S129,eRRSP_Tx_Table[[#This Row],[Year]],$W$4:$W129,"&lt;0"),"")</f>
        <v/>
      </c>
      <c r="AA129" s="3">
        <f>(SUMIF($U$4:$U129,CONCATENATE("Buy",$C129),$N$4:$N129)+SUMIF($U$4:$U129,CONCATENATE("ReinvDiv",$C129),$N$4:$N129))</f>
        <v>-809</v>
      </c>
      <c r="AB129" s="3">
        <f>(SUMIF($U$4:$U129,CONCATENATE("Buy",$C129),$F$4:$F129)+SUMIF($U$4:$U129,CONCATENATE("ReinvDiv",$C129),$F$4:$F129)+SUMIF($U$4:$U129,CONCATENATE("StkSplit",$C129),$F$4:$F129)-SUMIF($U$4:$U129,CONCATENATE("Sell",$C129),$F$4:$F129))</f>
        <v>20</v>
      </c>
      <c r="AC129" s="3">
        <f>IF(B129="Sell",F129*INDEX(V:V,LOOKUP(2,1/(X$4:X128=CONCATENATE(C129,"_ACB")),ROW(V$4:V128))),0)</f>
        <v>0</v>
      </c>
    </row>
    <row r="130" spans="1:29" x14ac:dyDescent="0.25">
      <c r="A130" s="20">
        <v>37545</v>
      </c>
      <c r="B130" t="s">
        <v>43</v>
      </c>
      <c r="C130" t="s">
        <v>36</v>
      </c>
      <c r="D130" s="3">
        <v>0.78</v>
      </c>
      <c r="M130" s="21">
        <f t="shared" si="14"/>
        <v>0.78</v>
      </c>
      <c r="N130" s="8">
        <f t="shared" si="17"/>
        <v>0.78</v>
      </c>
      <c r="O130" s="25">
        <f t="shared" si="18"/>
        <v>1927.2599999999998</v>
      </c>
      <c r="P130" s="8">
        <f t="shared" si="15"/>
        <v>0</v>
      </c>
      <c r="Q130" s="4">
        <f>IF(AND(S130&gt;=[1]eRRSP_Rpt!$C$6,S130&lt;=[1]eRRSP_Rpt!$C$7),1,0)</f>
        <v>0</v>
      </c>
      <c r="R130" s="4"/>
      <c r="S130" s="4">
        <f t="shared" si="12"/>
        <v>2002</v>
      </c>
      <c r="T130" s="4"/>
      <c r="U130" s="4" t="str">
        <f t="shared" si="16"/>
        <v>IntIncTDW</v>
      </c>
      <c r="V130" s="23">
        <f>IFERROR(IF(AND(AB130&gt;0,B130&lt;&gt;"Sell"),(AA130-SUMIF(C$4:C129,C130,AC$4:AC130))/AB130,0),"")</f>
        <v>0</v>
      </c>
      <c r="W130" s="24" t="str">
        <f t="shared" si="13"/>
        <v/>
      </c>
      <c r="X130" s="25" t="str">
        <f t="shared" si="11"/>
        <v/>
      </c>
      <c r="Y130" s="10" t="str">
        <f>IF(S131&lt;&gt;eRRSP_Tx_Table[[#This Row],[Year]],SUMIFS($W$4:$W130,$S$4:$S130,eRRSP_Tx_Table[[#This Row],[Year]],$W$4:$W130,"&gt;0"),"")</f>
        <v/>
      </c>
      <c r="Z130" s="10" t="str">
        <f>IF(S131&lt;&gt;eRRSP_Tx_Table[[#This Row],[Year]],SUMIFS($W$4:$W130,$S$4:$S130,eRRSP_Tx_Table[[#This Row],[Year]],$W$4:$W130,"&lt;0"),"")</f>
        <v/>
      </c>
      <c r="AA130" s="3">
        <f>(SUMIF($U$4:$U130,CONCATENATE("Buy",$C130),$N$4:$N130)+SUMIF($U$4:$U130,CONCATENATE("ReinvDiv",$C130),$N$4:$N130))</f>
        <v>0</v>
      </c>
      <c r="AB130" s="3">
        <f>(SUMIF($U$4:$U130,CONCATENATE("Buy",$C130),$F$4:$F130)+SUMIF($U$4:$U130,CONCATENATE("ReinvDiv",$C130),$F$4:$F130)+SUMIF($U$4:$U130,CONCATENATE("StkSplit",$C130),$F$4:$F130)-SUMIF($U$4:$U130,CONCATENATE("Sell",$C130),$F$4:$F130))</f>
        <v>0</v>
      </c>
      <c r="AC130" s="3">
        <f>IF(B130="Sell",F130*INDEX(V:V,LOOKUP(2,1/(X$4:X129=CONCATENATE(C130,"_ACB")),ROW(V$4:V129))),0)</f>
        <v>0</v>
      </c>
    </row>
    <row r="131" spans="1:29" x14ac:dyDescent="0.25">
      <c r="A131" s="20">
        <v>37560</v>
      </c>
      <c r="B131" t="s">
        <v>42</v>
      </c>
      <c r="C131" t="s">
        <v>47</v>
      </c>
      <c r="D131" s="3">
        <v>1.36</v>
      </c>
      <c r="M131" s="21">
        <f t="shared" si="14"/>
        <v>1.36</v>
      </c>
      <c r="N131" s="8">
        <f t="shared" si="17"/>
        <v>1.36</v>
      </c>
      <c r="O131" s="25">
        <f t="shared" si="18"/>
        <v>1928.6199999999997</v>
      </c>
      <c r="P131" s="8">
        <f t="shared" si="15"/>
        <v>0</v>
      </c>
      <c r="Q131" s="4">
        <f>IF(AND(S131&gt;=[1]eRRSP_Rpt!$C$6,S131&lt;=[1]eRRSP_Rpt!$C$7),1,0)</f>
        <v>0</v>
      </c>
      <c r="R131" s="4"/>
      <c r="S131" s="4">
        <f t="shared" si="12"/>
        <v>2002</v>
      </c>
      <c r="T131" s="4"/>
      <c r="U131" s="4" t="str">
        <f t="shared" si="16"/>
        <v>DivBombardier</v>
      </c>
      <c r="V131" s="23">
        <f>IFERROR(IF(AND(AB131&gt;0,B131&lt;&gt;"Sell"),(AA131-SUMIF(C$4:C130,C131,AC$4:AC131))/AB131,0),"")</f>
        <v>-23.216666666666665</v>
      </c>
      <c r="W131" s="24" t="str">
        <f t="shared" si="13"/>
        <v/>
      </c>
      <c r="X131" s="25" t="str">
        <f t="shared" si="11"/>
        <v>Bombardier_ACB</v>
      </c>
      <c r="Y131" s="10" t="str">
        <f>IF(S132&lt;&gt;eRRSP_Tx_Table[[#This Row],[Year]],SUMIFS($W$4:$W131,$S$4:$S131,eRRSP_Tx_Table[[#This Row],[Year]],$W$4:$W131,"&gt;0"),"")</f>
        <v/>
      </c>
      <c r="Z131" s="10" t="str">
        <f>IF(S132&lt;&gt;eRRSP_Tx_Table[[#This Row],[Year]],SUMIFS($W$4:$W131,$S$4:$S131,eRRSP_Tx_Table[[#This Row],[Year]],$W$4:$W131,"&lt;0"),"")</f>
        <v/>
      </c>
      <c r="AA131" s="3">
        <f>(SUMIF($U$4:$U131,CONCATENATE("Buy",$C131),$N$4:$N131)+SUMIF($U$4:$U131,CONCATENATE("ReinvDiv",$C131),$N$4:$N131))</f>
        <v>-696.5</v>
      </c>
      <c r="AB131" s="3">
        <f>(SUMIF($U$4:$U131,CONCATENATE("Buy",$C131),$F$4:$F131)+SUMIF($U$4:$U131,CONCATENATE("ReinvDiv",$C131),$F$4:$F131)+SUMIF($U$4:$U131,CONCATENATE("StkSplit",$C131),$F$4:$F131)-SUMIF($U$4:$U131,CONCATENATE("Sell",$C131),$F$4:$F131))</f>
        <v>30</v>
      </c>
      <c r="AC131" s="3">
        <f>IF(B131="Sell",F131*INDEX(V:V,LOOKUP(2,1/(X$4:X130=CONCATENATE(C131,"_ACB")),ROW(V$4:V130))),0)</f>
        <v>0</v>
      </c>
    </row>
    <row r="132" spans="1:29" x14ac:dyDescent="0.25">
      <c r="A132" s="20">
        <v>37560</v>
      </c>
      <c r="B132" t="s">
        <v>42</v>
      </c>
      <c r="C132" t="s">
        <v>45</v>
      </c>
      <c r="D132" s="3">
        <v>5.6</v>
      </c>
      <c r="M132" s="21">
        <f t="shared" si="14"/>
        <v>5.6</v>
      </c>
      <c r="N132" s="8">
        <f t="shared" si="17"/>
        <v>5.6</v>
      </c>
      <c r="O132" s="25">
        <f t="shared" si="18"/>
        <v>1934.2199999999996</v>
      </c>
      <c r="P132" s="8">
        <f t="shared" si="15"/>
        <v>0</v>
      </c>
      <c r="Q132" s="4">
        <f>IF(AND(S132&gt;=[1]eRRSP_Rpt!$C$6,S132&lt;=[1]eRRSP_Rpt!$C$7),1,0)</f>
        <v>0</v>
      </c>
      <c r="R132" s="4"/>
      <c r="S132" s="4">
        <f t="shared" si="12"/>
        <v>2002</v>
      </c>
      <c r="T132" s="4"/>
      <c r="U132" s="4" t="str">
        <f t="shared" si="16"/>
        <v>DivTD Bank</v>
      </c>
      <c r="V132" s="23">
        <f>IFERROR(IF(AND(AB132&gt;0,B132&lt;&gt;"Sell"),(AA132-SUMIF(C$4:C131,C132,AC$4:AC132))/AB132,0),"")</f>
        <v>-44.29</v>
      </c>
      <c r="W132" s="24" t="str">
        <f t="shared" si="13"/>
        <v/>
      </c>
      <c r="X132" s="25" t="str">
        <f t="shared" ref="X132:X195" si="19">IF(V132,CONCATENATE(C132,"_ACB"),"")</f>
        <v>TD Bank_ACB</v>
      </c>
      <c r="Y132" s="10" t="str">
        <f>IF(S133&lt;&gt;eRRSP_Tx_Table[[#This Row],[Year]],SUMIFS($W$4:$W132,$S$4:$S132,eRRSP_Tx_Table[[#This Row],[Year]],$W$4:$W132,"&gt;0"),"")</f>
        <v/>
      </c>
      <c r="Z132" s="10" t="str">
        <f>IF(S133&lt;&gt;eRRSP_Tx_Table[[#This Row],[Year]],SUMIFS($W$4:$W132,$S$4:$S132,eRRSP_Tx_Table[[#This Row],[Year]],$W$4:$W132,"&lt;0"),"")</f>
        <v/>
      </c>
      <c r="AA132" s="3">
        <f>(SUMIF($U$4:$U132,CONCATENATE("Buy",$C132),$N$4:$N132)+SUMIF($U$4:$U132,CONCATENATE("ReinvDiv",$C132),$N$4:$N132))</f>
        <v>-885.8</v>
      </c>
      <c r="AB132" s="3">
        <f>(SUMIF($U$4:$U132,CONCATENATE("Buy",$C132),$F$4:$F132)+SUMIF($U$4:$U132,CONCATENATE("ReinvDiv",$C132),$F$4:$F132)+SUMIF($U$4:$U132,CONCATENATE("StkSplit",$C132),$F$4:$F132)-SUMIF($U$4:$U132,CONCATENATE("Sell",$C132),$F$4:$F132))</f>
        <v>20</v>
      </c>
      <c r="AC132" s="3">
        <f>IF(B132="Sell",F132*INDEX(V:V,LOOKUP(2,1/(X$4:X131=CONCATENATE(C132,"_ACB")),ROW(V$4:V131))),0)</f>
        <v>0</v>
      </c>
    </row>
    <row r="133" spans="1:29" x14ac:dyDescent="0.25">
      <c r="A133" s="20">
        <v>37576</v>
      </c>
      <c r="B133" t="s">
        <v>43</v>
      </c>
      <c r="C133" t="s">
        <v>36</v>
      </c>
      <c r="D133" s="3">
        <v>0.81</v>
      </c>
      <c r="M133" s="21">
        <f t="shared" si="14"/>
        <v>0.81</v>
      </c>
      <c r="N133" s="8">
        <f t="shared" si="17"/>
        <v>0.81</v>
      </c>
      <c r="O133" s="25">
        <f t="shared" si="18"/>
        <v>1935.0299999999995</v>
      </c>
      <c r="P133" s="8">
        <f t="shared" si="15"/>
        <v>0</v>
      </c>
      <c r="Q133" s="4">
        <f>IF(AND(S133&gt;=[1]eRRSP_Rpt!$C$6,S133&lt;=[1]eRRSP_Rpt!$C$7),1,0)</f>
        <v>0</v>
      </c>
      <c r="R133" s="4"/>
      <c r="S133" s="4">
        <f t="shared" si="12"/>
        <v>2002</v>
      </c>
      <c r="T133" s="4"/>
      <c r="U133" s="4" t="str">
        <f t="shared" si="16"/>
        <v>IntIncTDW</v>
      </c>
      <c r="V133" s="23">
        <f>IFERROR(IF(AND(AB133&gt;0,B133&lt;&gt;"Sell"),(AA133-SUMIF(C$4:C132,C133,AC$4:AC133))/AB133,0),"")</f>
        <v>0</v>
      </c>
      <c r="W133" s="24" t="str">
        <f t="shared" ref="W133:W196" si="20">IF(B133="Sell",N133+AC133,"")</f>
        <v/>
      </c>
      <c r="X133" s="25" t="str">
        <f t="shared" si="19"/>
        <v/>
      </c>
      <c r="Y133" s="10" t="str">
        <f>IF(S134&lt;&gt;eRRSP_Tx_Table[[#This Row],[Year]],SUMIFS($W$4:$W133,$S$4:$S133,eRRSP_Tx_Table[[#This Row],[Year]],$W$4:$W133,"&gt;0"),"")</f>
        <v/>
      </c>
      <c r="Z133" s="10" t="str">
        <f>IF(S134&lt;&gt;eRRSP_Tx_Table[[#This Row],[Year]],SUMIFS($W$4:$W133,$S$4:$S133,eRRSP_Tx_Table[[#This Row],[Year]],$W$4:$W133,"&lt;0"),"")</f>
        <v/>
      </c>
      <c r="AA133" s="3">
        <f>(SUMIF($U$4:$U133,CONCATENATE("Buy",$C133),$N$4:$N133)+SUMIF($U$4:$U133,CONCATENATE("ReinvDiv",$C133),$N$4:$N133))</f>
        <v>0</v>
      </c>
      <c r="AB133" s="3">
        <f>(SUMIF($U$4:$U133,CONCATENATE("Buy",$C133),$F$4:$F133)+SUMIF($U$4:$U133,CONCATENATE("ReinvDiv",$C133),$F$4:$F133)+SUMIF($U$4:$U133,CONCATENATE("StkSplit",$C133),$F$4:$F133)-SUMIF($U$4:$U133,CONCATENATE("Sell",$C133),$F$4:$F133))</f>
        <v>0</v>
      </c>
      <c r="AC133" s="3">
        <f>IF(B133="Sell",F133*INDEX(V:V,LOOKUP(2,1/(X$4:X132=CONCATENATE(C133,"_ACB")),ROW(V$4:V132))),0)</f>
        <v>0</v>
      </c>
    </row>
    <row r="134" spans="1:29" x14ac:dyDescent="0.25">
      <c r="A134" s="20">
        <v>37588</v>
      </c>
      <c r="B134" t="s">
        <v>60</v>
      </c>
      <c r="C134" t="s">
        <v>36</v>
      </c>
      <c r="D134" s="3">
        <v>-7.62</v>
      </c>
      <c r="M134" s="21">
        <f t="shared" si="14"/>
        <v>-7.62</v>
      </c>
      <c r="N134" s="8">
        <f t="shared" si="17"/>
        <v>-7.62</v>
      </c>
      <c r="O134" s="25">
        <f t="shared" si="18"/>
        <v>1927.4099999999996</v>
      </c>
      <c r="P134" s="8">
        <f t="shared" si="15"/>
        <v>0</v>
      </c>
      <c r="Q134" s="4">
        <f>IF(AND(S134&gt;=[1]eRRSP_Rpt!$C$6,S134&lt;=[1]eRRSP_Rpt!$C$7),1,0)</f>
        <v>0</v>
      </c>
      <c r="R134" s="4"/>
      <c r="S134" s="4">
        <f t="shared" si="12"/>
        <v>2002</v>
      </c>
      <c r="T134" s="4"/>
      <c r="U134" s="4" t="str">
        <f t="shared" si="16"/>
        <v>TaxTDW</v>
      </c>
      <c r="V134" s="23">
        <f>IFERROR(IF(AND(AB134&gt;0,B134&lt;&gt;"Sell"),(AA134-SUMIF(C$4:C133,C134,AC$4:AC134))/AB134,0),"")</f>
        <v>0</v>
      </c>
      <c r="W134" s="24" t="str">
        <f t="shared" si="20"/>
        <v/>
      </c>
      <c r="X134" s="25" t="str">
        <f t="shared" si="19"/>
        <v/>
      </c>
      <c r="Y134" s="10" t="str">
        <f>IF(S135&lt;&gt;eRRSP_Tx_Table[[#This Row],[Year]],SUMIFS($W$4:$W134,$S$4:$S134,eRRSP_Tx_Table[[#This Row],[Year]],$W$4:$W134,"&gt;0"),"")</f>
        <v/>
      </c>
      <c r="Z134" s="10" t="str">
        <f>IF(S135&lt;&gt;eRRSP_Tx_Table[[#This Row],[Year]],SUMIFS($W$4:$W134,$S$4:$S134,eRRSP_Tx_Table[[#This Row],[Year]],$W$4:$W134,"&lt;0"),"")</f>
        <v/>
      </c>
      <c r="AA134" s="3">
        <f>(SUMIF($U$4:$U134,CONCATENATE("Buy",$C134),$N$4:$N134)+SUMIF($U$4:$U134,CONCATENATE("ReinvDiv",$C134),$N$4:$N134))</f>
        <v>0</v>
      </c>
      <c r="AB134" s="3">
        <f>(SUMIF($U$4:$U134,CONCATENATE("Buy",$C134),$F$4:$F134)+SUMIF($U$4:$U134,CONCATENATE("ReinvDiv",$C134),$F$4:$F134)+SUMIF($U$4:$U134,CONCATENATE("StkSplit",$C134),$F$4:$F134)-SUMIF($U$4:$U134,CONCATENATE("Sell",$C134),$F$4:$F134))</f>
        <v>0</v>
      </c>
      <c r="AC134" s="3">
        <f>IF(B134="Sell",F134*INDEX(V:V,LOOKUP(2,1/(X$4:X133=CONCATENATE(C134,"_ACB")),ROW(V$4:V133))),0)</f>
        <v>0</v>
      </c>
    </row>
    <row r="135" spans="1:29" x14ac:dyDescent="0.25">
      <c r="A135" s="20">
        <v>37591</v>
      </c>
      <c r="B135" t="s">
        <v>42</v>
      </c>
      <c r="C135" t="s">
        <v>33</v>
      </c>
      <c r="D135" s="3">
        <v>21.66</v>
      </c>
      <c r="M135" s="21">
        <f t="shared" si="14"/>
        <v>21.66</v>
      </c>
      <c r="N135" s="8">
        <f t="shared" si="17"/>
        <v>21.66</v>
      </c>
      <c r="O135" s="25">
        <f t="shared" si="18"/>
        <v>1949.0699999999997</v>
      </c>
      <c r="P135" s="8">
        <f t="shared" si="15"/>
        <v>0</v>
      </c>
      <c r="Q135" s="4">
        <f>IF(AND(S135&gt;=[1]eRRSP_Rpt!$C$6,S135&lt;=[1]eRRSP_Rpt!$C$7),1,0)</f>
        <v>0</v>
      </c>
      <c r="R135" s="4"/>
      <c r="S135" s="4">
        <f t="shared" ref="S135:S200" si="21">YEAR(A135)</f>
        <v>2002</v>
      </c>
      <c r="T135" s="4"/>
      <c r="U135" s="4" t="str">
        <f t="shared" si="16"/>
        <v>DivEnbridge</v>
      </c>
      <c r="V135" s="23">
        <f>IFERROR(IF(AND(AB135&gt;0,B135&lt;&gt;"Sell"),(AA135-SUMIF(C$4:C134,C135,AC$4:AC135))/AB135,0),"")</f>
        <v>-25.718055555555559</v>
      </c>
      <c r="W135" s="24" t="str">
        <f t="shared" si="20"/>
        <v/>
      </c>
      <c r="X135" s="25" t="str">
        <f t="shared" si="19"/>
        <v>Enbridge_ACB</v>
      </c>
      <c r="Y135" s="10" t="str">
        <f>IF(S136&lt;&gt;eRRSP_Tx_Table[[#This Row],[Year]],SUMIFS($W$4:$W135,$S$4:$S135,eRRSP_Tx_Table[[#This Row],[Year]],$W$4:$W135,"&gt;0"),"")</f>
        <v/>
      </c>
      <c r="Z135" s="10" t="str">
        <f>IF(S136&lt;&gt;eRRSP_Tx_Table[[#This Row],[Year]],SUMIFS($W$4:$W135,$S$4:$S135,eRRSP_Tx_Table[[#This Row],[Year]],$W$4:$W135,"&lt;0"),"")</f>
        <v/>
      </c>
      <c r="AA135" s="3">
        <f>(SUMIF($U$4:$U135,CONCATENATE("Buy",$C135),$N$4:$N135)+SUMIF($U$4:$U135,CONCATENATE("ReinvDiv",$C135),$N$4:$N135))</f>
        <v>-1851.7</v>
      </c>
      <c r="AB135" s="3">
        <f>(SUMIF($U$4:$U135,CONCATENATE("Buy",$C135),$F$4:$F135)+SUMIF($U$4:$U135,CONCATENATE("ReinvDiv",$C135),$F$4:$F135)+SUMIF($U$4:$U135,CONCATENATE("StkSplit",$C135),$F$4:$F135)-SUMIF($U$4:$U135,CONCATENATE("Sell",$C135),$F$4:$F135))</f>
        <v>57</v>
      </c>
      <c r="AC135" s="3">
        <f>IF(B135="Sell",F135*INDEX(V:V,LOOKUP(2,1/(X$4:X134=CONCATENATE(C135,"_ACB")),ROW(V$4:V134))),0)</f>
        <v>0</v>
      </c>
    </row>
    <row r="136" spans="1:29" x14ac:dyDescent="0.25">
      <c r="A136" s="20">
        <v>37606</v>
      </c>
      <c r="B136" t="s">
        <v>43</v>
      </c>
      <c r="C136" t="s">
        <v>36</v>
      </c>
      <c r="D136" s="3">
        <v>0.79</v>
      </c>
      <c r="M136" s="21">
        <f t="shared" si="14"/>
        <v>0.79</v>
      </c>
      <c r="N136" s="8">
        <f t="shared" si="17"/>
        <v>0.79</v>
      </c>
      <c r="O136" s="25">
        <f t="shared" si="18"/>
        <v>1949.8599999999997</v>
      </c>
      <c r="P136" s="8">
        <f t="shared" si="15"/>
        <v>0</v>
      </c>
      <c r="Q136" s="4">
        <f>IF(AND(S136&gt;=[1]eRRSP_Rpt!$C$6,S136&lt;=[1]eRRSP_Rpt!$C$7),1,0)</f>
        <v>0</v>
      </c>
      <c r="R136" s="4"/>
      <c r="S136" s="4">
        <f t="shared" si="21"/>
        <v>2002</v>
      </c>
      <c r="T136" s="4"/>
      <c r="U136" s="4" t="str">
        <f t="shared" si="16"/>
        <v>IntIncTDW</v>
      </c>
      <c r="V136" s="23">
        <f>IFERROR(IF(AND(AB136&gt;0,B136&lt;&gt;"Sell"),(AA136-SUMIF(C$4:C135,C136,AC$4:AC136))/AB136,0),"")</f>
        <v>0</v>
      </c>
      <c r="W136" s="24" t="str">
        <f t="shared" si="20"/>
        <v/>
      </c>
      <c r="X136" s="25" t="str">
        <f t="shared" si="19"/>
        <v/>
      </c>
      <c r="Y136" s="10" t="str">
        <f>IF(S137&lt;&gt;eRRSP_Tx_Table[[#This Row],[Year]],SUMIFS($W$4:$W136,$S$4:$S136,eRRSP_Tx_Table[[#This Row],[Year]],$W$4:$W136,"&gt;0"),"")</f>
        <v/>
      </c>
      <c r="Z136" s="10" t="str">
        <f>IF(S137&lt;&gt;eRRSP_Tx_Table[[#This Row],[Year]],SUMIFS($W$4:$W136,$S$4:$S136,eRRSP_Tx_Table[[#This Row],[Year]],$W$4:$W136,"&lt;0"),"")</f>
        <v/>
      </c>
      <c r="AA136" s="3">
        <f>(SUMIF($U$4:$U136,CONCATENATE("Buy",$C136),$N$4:$N136)+SUMIF($U$4:$U136,CONCATENATE("ReinvDiv",$C136),$N$4:$N136))</f>
        <v>0</v>
      </c>
      <c r="AB136" s="3">
        <f>(SUMIF($U$4:$U136,CONCATENATE("Buy",$C136),$F$4:$F136)+SUMIF($U$4:$U136,CONCATENATE("ReinvDiv",$C136),$F$4:$F136)+SUMIF($U$4:$U136,CONCATENATE("StkSplit",$C136),$F$4:$F136)-SUMIF($U$4:$U136,CONCATENATE("Sell",$C136),$F$4:$F136))</f>
        <v>0</v>
      </c>
      <c r="AC136" s="3">
        <f>IF(B136="Sell",F136*INDEX(V:V,LOOKUP(2,1/(X$4:X135=CONCATENATE(C136,"_ACB")),ROW(V$4:V135))),0)</f>
        <v>0</v>
      </c>
    </row>
    <row r="137" spans="1:29" x14ac:dyDescent="0.25">
      <c r="A137" s="20">
        <v>37606</v>
      </c>
      <c r="B137" t="s">
        <v>42</v>
      </c>
      <c r="C137" t="s">
        <v>52</v>
      </c>
      <c r="D137" s="3">
        <v>9.8800000000000008</v>
      </c>
      <c r="M137" s="21">
        <f t="shared" si="14"/>
        <v>9.8800000000000008</v>
      </c>
      <c r="N137" s="8">
        <f t="shared" si="17"/>
        <v>9.8800000000000008</v>
      </c>
      <c r="O137" s="25">
        <f t="shared" si="18"/>
        <v>1959.7399999999998</v>
      </c>
      <c r="P137" s="8">
        <f t="shared" si="15"/>
        <v>0</v>
      </c>
      <c r="Q137" s="4">
        <f>IF(AND(S137&gt;=[1]eRRSP_Rpt!$C$6,S137&lt;=[1]eRRSP_Rpt!$C$7),1,0)</f>
        <v>0</v>
      </c>
      <c r="R137" s="4"/>
      <c r="S137" s="4">
        <f t="shared" si="21"/>
        <v>2002</v>
      </c>
      <c r="T137" s="4"/>
      <c r="U137" s="4" t="str">
        <f t="shared" si="16"/>
        <v>DivBMO Dividend</v>
      </c>
      <c r="V137" s="23">
        <f>IFERROR(IF(AND(AB137&gt;0,B137&lt;&gt;"Sell"),(AA137-SUMIF(C$4:C136,C137,AC$4:AC137))/AB137,0),"")</f>
        <v>-24.933925098489006</v>
      </c>
      <c r="W137" s="24" t="str">
        <f t="shared" si="20"/>
        <v/>
      </c>
      <c r="X137" s="25" t="str">
        <f t="shared" si="19"/>
        <v>BMO Dividend_ACB</v>
      </c>
      <c r="Y137" s="10" t="str">
        <f>IF(S138&lt;&gt;eRRSP_Tx_Table[[#This Row],[Year]],SUMIFS($W$4:$W137,$S$4:$S137,eRRSP_Tx_Table[[#This Row],[Year]],$W$4:$W137,"&gt;0"),"")</f>
        <v/>
      </c>
      <c r="Z137" s="10" t="str">
        <f>IF(S138&lt;&gt;eRRSP_Tx_Table[[#This Row],[Year]],SUMIFS($W$4:$W137,$S$4:$S137,eRRSP_Tx_Table[[#This Row],[Year]],$W$4:$W137,"&lt;0"),"")</f>
        <v/>
      </c>
      <c r="AA137" s="3">
        <f>(SUMIF($U$4:$U137,CONCATENATE("Buy",$C137),$N$4:$N137)+SUMIF($U$4:$U137,CONCATENATE("ReinvDiv",$C137),$N$4:$N137))</f>
        <v>-3000</v>
      </c>
      <c r="AB137" s="3">
        <f>(SUMIF($U$4:$U137,CONCATENATE("Buy",$C137),$F$4:$F137)+SUMIF($U$4:$U137,CONCATENATE("ReinvDiv",$C137),$F$4:$F137)+SUMIF($U$4:$U137,CONCATENATE("StkSplit",$C137),$F$4:$F137)-SUMIF($U$4:$U137,CONCATENATE("Sell",$C137),$F$4:$F137))</f>
        <v>120.318</v>
      </c>
      <c r="AC137" s="3">
        <f>IF(B137="Sell",F137*INDEX(V:V,LOOKUP(2,1/(X$4:X136=CONCATENATE(C137,"_ACB")),ROW(V$4:V136))),0)</f>
        <v>0</v>
      </c>
    </row>
    <row r="138" spans="1:29" x14ac:dyDescent="0.25">
      <c r="A138" s="20">
        <v>37607</v>
      </c>
      <c r="B138" t="s">
        <v>41</v>
      </c>
      <c r="C138" t="s">
        <v>59</v>
      </c>
      <c r="D138" s="3">
        <v>204.21</v>
      </c>
      <c r="E138">
        <v>14.06</v>
      </c>
      <c r="F138" s="3">
        <v>14.523</v>
      </c>
      <c r="M138" s="21">
        <f t="shared" si="14"/>
        <v>204.21</v>
      </c>
      <c r="N138" s="8">
        <f t="shared" si="17"/>
        <v>-204.21</v>
      </c>
      <c r="O138" s="25">
        <f t="shared" si="18"/>
        <v>1959.7399999999998</v>
      </c>
      <c r="P138" s="8">
        <f t="shared" si="15"/>
        <v>0</v>
      </c>
      <c r="Q138" s="4">
        <f>IF(AND(S138&gt;=[1]eRRSP_Rpt!$C$6,S138&lt;=[1]eRRSP_Rpt!$C$7),1,0)</f>
        <v>0</v>
      </c>
      <c r="R138" s="4"/>
      <c r="S138" s="4">
        <f t="shared" si="21"/>
        <v>2002</v>
      </c>
      <c r="T138" s="4"/>
      <c r="U138" s="4" t="str">
        <f t="shared" si="16"/>
        <v>ReinvDivSaxon SmallCap</v>
      </c>
      <c r="V138" s="23">
        <f>IFERROR(IF(AND(AB138&gt;0,B138&lt;&gt;"Sell"),(AA138-SUMIF(C$4:C137,C138,AC$4:AC138))/AB138,0),"")</f>
        <v>-17.018734895828224</v>
      </c>
      <c r="W138" s="24" t="str">
        <f t="shared" si="20"/>
        <v/>
      </c>
      <c r="X138" s="25" t="str">
        <f t="shared" si="19"/>
        <v>Saxon SmallCap_ACB</v>
      </c>
      <c r="Y138" s="10" t="str">
        <f>IF(S139&lt;&gt;eRRSP_Tx_Table[[#This Row],[Year]],SUMIFS($W$4:$W138,$S$4:$S138,eRRSP_Tx_Table[[#This Row],[Year]],$W$4:$W138,"&gt;0"),"")</f>
        <v/>
      </c>
      <c r="Z138" s="10" t="str">
        <f>IF(S139&lt;&gt;eRRSP_Tx_Table[[#This Row],[Year]],SUMIFS($W$4:$W138,$S$4:$S138,eRRSP_Tx_Table[[#This Row],[Year]],$W$4:$W138,"&lt;0"),"")</f>
        <v/>
      </c>
      <c r="AA138" s="3">
        <f>(SUMIF($U$4:$U138,CONCATENATE("Buy",$C138),$N$4:$N138)+SUMIF($U$4:$U138,CONCATENATE("ReinvDiv",$C138),$N$4:$N138))</f>
        <v>-5204.21</v>
      </c>
      <c r="AB138" s="3">
        <f>(SUMIF($U$4:$U138,CONCATENATE("Buy",$C138),$F$4:$F138)+SUMIF($U$4:$U138,CONCATENATE("ReinvDiv",$C138),$F$4:$F138)+SUMIF($U$4:$U138,CONCATENATE("StkSplit",$C138),$F$4:$F138)-SUMIF($U$4:$U138,CONCATENATE("Sell",$C138),$F$4:$F138))</f>
        <v>305.79300000000001</v>
      </c>
      <c r="AC138" s="3">
        <f>IF(B138="Sell",F138*INDEX(V:V,LOOKUP(2,1/(X$4:X137=CONCATENATE(C138,"_ACB")),ROW(V$4:V137))),0)</f>
        <v>0</v>
      </c>
    </row>
    <row r="139" spans="1:29" x14ac:dyDescent="0.25">
      <c r="A139" s="20">
        <v>37609</v>
      </c>
      <c r="B139" t="s">
        <v>42</v>
      </c>
      <c r="C139" t="s">
        <v>53</v>
      </c>
      <c r="D139" s="3">
        <v>23.2</v>
      </c>
      <c r="M139" s="21">
        <f t="shared" ref="M139:M204" si="22">ROUND(IF(OR(B139="Buy",B139="Sell"),E139*F139,D139),2)</f>
        <v>23.2</v>
      </c>
      <c r="N139" s="8">
        <f t="shared" si="17"/>
        <v>23.2</v>
      </c>
      <c r="O139" s="25">
        <f t="shared" si="18"/>
        <v>1982.9399999999998</v>
      </c>
      <c r="P139" s="8">
        <f t="shared" ref="P139:P204" si="23">IF(OR($B139="Cash"),$N139,0)</f>
        <v>0</v>
      </c>
      <c r="Q139" s="4">
        <f>IF(AND(S139&gt;=[1]eRRSP_Rpt!$C$6,S139&lt;=[1]eRRSP_Rpt!$C$7),1,0)</f>
        <v>0</v>
      </c>
      <c r="R139" s="4"/>
      <c r="S139" s="4">
        <f t="shared" si="21"/>
        <v>2002</v>
      </c>
      <c r="T139" s="4"/>
      <c r="U139" s="4" t="str">
        <f t="shared" ref="U139:U204" si="24">CONCATENATE(B139,C139)</f>
        <v>DivTD CDN Bond</v>
      </c>
      <c r="V139" s="23">
        <f>IFERROR(IF(AND(AB139&gt;0,B139&lt;&gt;"Sell"),(AA139-SUMIF(C$4:C138,C139,AC$4:AC139))/AB139,0),"")</f>
        <v>-12.100018755029071</v>
      </c>
      <c r="W139" s="24" t="str">
        <f t="shared" si="20"/>
        <v/>
      </c>
      <c r="X139" s="25" t="str">
        <f t="shared" si="19"/>
        <v>TD CDN Bond_ACB</v>
      </c>
      <c r="Y139" s="10" t="str">
        <f>IF(S140&lt;&gt;eRRSP_Tx_Table[[#This Row],[Year]],SUMIFS($W$4:$W139,$S$4:$S139,eRRSP_Tx_Table[[#This Row],[Year]],$W$4:$W139,"&gt;0"),"")</f>
        <v/>
      </c>
      <c r="Z139" s="10" t="str">
        <f>IF(S140&lt;&gt;eRRSP_Tx_Table[[#This Row],[Year]],SUMIFS($W$4:$W139,$S$4:$S139,eRRSP_Tx_Table[[#This Row],[Year]],$W$4:$W139,"&lt;0"),"")</f>
        <v/>
      </c>
      <c r="AA139" s="3">
        <f>(SUMIF($U$4:$U139,CONCATENATE("Buy",$C139),$N$4:$N139)+SUMIF($U$4:$U139,CONCATENATE("ReinvDiv",$C139),$N$4:$N139))</f>
        <v>-2000</v>
      </c>
      <c r="AB139" s="3">
        <f>(SUMIF($U$4:$U139,CONCATENATE("Buy",$C139),$F$4:$F139)+SUMIF($U$4:$U139,CONCATENATE("ReinvDiv",$C139),$F$4:$F139)+SUMIF($U$4:$U139,CONCATENATE("StkSplit",$C139),$F$4:$F139)-SUMIF($U$4:$U139,CONCATENATE("Sell",$C139),$F$4:$F139))</f>
        <v>165.28899999999999</v>
      </c>
      <c r="AC139" s="3">
        <f>IF(B139="Sell",F139*INDEX(V:V,LOOKUP(2,1/(X$4:X138=CONCATENATE(C139,"_ACB")),ROW(V$4:V138))),0)</f>
        <v>0</v>
      </c>
    </row>
    <row r="140" spans="1:29" x14ac:dyDescent="0.25">
      <c r="A140" s="20">
        <v>37609</v>
      </c>
      <c r="B140" t="s">
        <v>41</v>
      </c>
      <c r="C140" t="s">
        <v>58</v>
      </c>
      <c r="D140" s="3">
        <v>55.84</v>
      </c>
      <c r="E140">
        <v>8.76</v>
      </c>
      <c r="F140" s="3">
        <v>6.3739999999999997</v>
      </c>
      <c r="M140" s="21">
        <f t="shared" si="22"/>
        <v>55.84</v>
      </c>
      <c r="N140" s="8">
        <f t="shared" si="17"/>
        <v>-55.84</v>
      </c>
      <c r="O140" s="25">
        <f t="shared" si="18"/>
        <v>1982.9399999999998</v>
      </c>
      <c r="P140" s="8">
        <f t="shared" si="23"/>
        <v>0</v>
      </c>
      <c r="Q140" s="4">
        <f>IF(AND(S140&gt;=[1]eRRSP_Rpt!$C$6,S140&lt;=[1]eRRSP_Rpt!$C$7),1,0)</f>
        <v>0</v>
      </c>
      <c r="R140" s="4"/>
      <c r="S140" s="4">
        <f t="shared" si="21"/>
        <v>2002</v>
      </c>
      <c r="T140" s="4"/>
      <c r="U140" s="4" t="str">
        <f t="shared" si="24"/>
        <v>ReinvDivTD DJIA Index</v>
      </c>
      <c r="V140" s="23">
        <f>IFERROR(IF(AND(AB140&gt;0,B140&lt;&gt;"Sell"),(AA140-SUMIF(C$4:C139,C140,AC$4:AC140))/AB140,0),"")</f>
        <v>-11.294580774908537</v>
      </c>
      <c r="W140" s="24" t="str">
        <f t="shared" si="20"/>
        <v/>
      </c>
      <c r="X140" s="25" t="str">
        <f t="shared" si="19"/>
        <v>TD DJIA Index_ACB</v>
      </c>
      <c r="Y140" s="10" t="str">
        <f>IF(S141&lt;&gt;eRRSP_Tx_Table[[#This Row],[Year]],SUMIFS($W$4:$W140,$S$4:$S140,eRRSP_Tx_Table[[#This Row],[Year]],$W$4:$W140,"&gt;0"),"")</f>
        <v/>
      </c>
      <c r="Z140" s="10" t="str">
        <f>IF(S141&lt;&gt;eRRSP_Tx_Table[[#This Row],[Year]],SUMIFS($W$4:$W140,$S$4:$S140,eRRSP_Tx_Table[[#This Row],[Year]],$W$4:$W140,"&lt;0"),"")</f>
        <v/>
      </c>
      <c r="AA140" s="3">
        <f>(SUMIF($U$4:$U140,CONCATENATE("Buy",$C140),$N$4:$N140)+SUMIF($U$4:$U140,CONCATENATE("ReinvDiv",$C140),$N$4:$N140))</f>
        <v>-1055.8399999999999</v>
      </c>
      <c r="AB140" s="3">
        <f>(SUMIF($U$4:$U140,CONCATENATE("Buy",$C140),$F$4:$F140)+SUMIF($U$4:$U140,CONCATENATE("ReinvDiv",$C140),$F$4:$F140)+SUMIF($U$4:$U140,CONCATENATE("StkSplit",$C140),$F$4:$F140)-SUMIF($U$4:$U140,CONCATENATE("Sell",$C140),$F$4:$F140))</f>
        <v>93.481999999999999</v>
      </c>
      <c r="AC140" s="3">
        <f>IF(B140="Sell",F140*INDEX(V:V,LOOKUP(2,1/(X$4:X139=CONCATENATE(C140,"_ACB")),ROW(V$4:V139))),0)</f>
        <v>0</v>
      </c>
    </row>
    <row r="141" spans="1:29" x14ac:dyDescent="0.25">
      <c r="A141" s="20">
        <v>37610</v>
      </c>
      <c r="B141" t="s">
        <v>41</v>
      </c>
      <c r="C141" t="s">
        <v>37</v>
      </c>
      <c r="D141" s="3">
        <v>222.49</v>
      </c>
      <c r="E141">
        <v>26.57</v>
      </c>
      <c r="F141" s="3">
        <v>8.375</v>
      </c>
      <c r="M141" s="21">
        <f t="shared" si="22"/>
        <v>222.49</v>
      </c>
      <c r="N141" s="8">
        <f t="shared" si="17"/>
        <v>-222.49</v>
      </c>
      <c r="O141" s="25">
        <f t="shared" si="18"/>
        <v>1982.9399999999998</v>
      </c>
      <c r="P141" s="8">
        <f t="shared" si="23"/>
        <v>0</v>
      </c>
      <c r="Q141" s="4">
        <f>IF(AND(S141&gt;=[1]eRRSP_Rpt!$C$6,S141&lt;=[1]eRRSP_Rpt!$C$7),1,0)</f>
        <v>0</v>
      </c>
      <c r="R141" s="4"/>
      <c r="S141" s="4">
        <f t="shared" si="21"/>
        <v>2002</v>
      </c>
      <c r="T141" s="4"/>
      <c r="U141" s="4" t="str">
        <f t="shared" si="24"/>
        <v>ReinvDivTrimark Fund</v>
      </c>
      <c r="V141" s="23">
        <f>IFERROR(IF(AND(AB141&gt;0,B141&lt;&gt;"Sell"),(AA141-SUMIF(C$4:C140,C141,AC$4:AC141))/AB141,0),"")</f>
        <v>-27.656362329259522</v>
      </c>
      <c r="W141" s="24" t="str">
        <f t="shared" si="20"/>
        <v/>
      </c>
      <c r="X141" s="25" t="str">
        <f t="shared" si="19"/>
        <v>Trimark Fund_ACB</v>
      </c>
      <c r="Y141" s="10" t="str">
        <f>IF(S142&lt;&gt;eRRSP_Tx_Table[[#This Row],[Year]],SUMIFS($W$4:$W141,$S$4:$S141,eRRSP_Tx_Table[[#This Row],[Year]],$W$4:$W141,"&gt;0"),"")</f>
        <v/>
      </c>
      <c r="Z141" s="10" t="str">
        <f>IF(S142&lt;&gt;eRRSP_Tx_Table[[#This Row],[Year]],SUMIFS($W$4:$W141,$S$4:$S141,eRRSP_Tx_Table[[#This Row],[Year]],$W$4:$W141,"&lt;0"),"")</f>
        <v/>
      </c>
      <c r="AA141" s="3">
        <f>(SUMIF($U$4:$U141,CONCATENATE("Buy",$C141),$N$4:$N141)+SUMIF($U$4:$U141,CONCATENATE("ReinvDiv",$C141),$N$4:$N141))</f>
        <v>-3308.4199999999996</v>
      </c>
      <c r="AB141" s="3">
        <f>(SUMIF($U$4:$U141,CONCATENATE("Buy",$C141),$F$4:$F141)+SUMIF($U$4:$U141,CONCATENATE("ReinvDiv",$C141),$F$4:$F141)+SUMIF($U$4:$U141,CONCATENATE("StkSplit",$C141),$F$4:$F141)-SUMIF($U$4:$U141,CONCATENATE("Sell",$C141),$F$4:$F141))</f>
        <v>119.626</v>
      </c>
      <c r="AC141" s="3">
        <f>IF(B141="Sell",F141*INDEX(V:V,LOOKUP(2,1/(X$4:X140=CONCATENATE(C141,"_ACB")),ROW(V$4:V140))),0)</f>
        <v>0</v>
      </c>
    </row>
    <row r="142" spans="1:29" x14ac:dyDescent="0.25">
      <c r="A142" s="20">
        <v>37610</v>
      </c>
      <c r="B142" t="s">
        <v>41</v>
      </c>
      <c r="C142" t="s">
        <v>39</v>
      </c>
      <c r="D142" s="3">
        <v>33.270000000000003</v>
      </c>
      <c r="E142">
        <v>9.0500000000000007</v>
      </c>
      <c r="F142" s="3">
        <v>3.6749999999999998</v>
      </c>
      <c r="M142" s="21">
        <f t="shared" si="22"/>
        <v>33.270000000000003</v>
      </c>
      <c r="N142" s="8">
        <f t="shared" si="17"/>
        <v>-33.270000000000003</v>
      </c>
      <c r="O142" s="25">
        <f t="shared" si="18"/>
        <v>1982.9399999999998</v>
      </c>
      <c r="P142" s="8">
        <f t="shared" si="23"/>
        <v>0</v>
      </c>
      <c r="Q142" s="4">
        <f>IF(AND(S142&gt;=[1]eRRSP_Rpt!$C$6,S142&lt;=[1]eRRSP_Rpt!$C$7),1,0)</f>
        <v>0</v>
      </c>
      <c r="R142" s="4"/>
      <c r="S142" s="4">
        <f t="shared" si="21"/>
        <v>2002</v>
      </c>
      <c r="T142" s="4"/>
      <c r="U142" s="4" t="str">
        <f t="shared" si="24"/>
        <v>ReinvDivTrimark Income Growth</v>
      </c>
      <c r="V142" s="23">
        <f>IFERROR(IF(AND(AB142&gt;0,B142&lt;&gt;"Sell"),(AA142-SUMIF(C$4:C141,C142,AC$4:AC142))/AB142,0),"")</f>
        <v>-7.7815334327125134</v>
      </c>
      <c r="W142" s="24" t="str">
        <f t="shared" si="20"/>
        <v/>
      </c>
      <c r="X142" s="25" t="str">
        <f t="shared" si="19"/>
        <v>Trimark Income Growth_ACB</v>
      </c>
      <c r="Y142" s="10" t="str">
        <f>IF(S143&lt;&gt;eRRSP_Tx_Table[[#This Row],[Year]],SUMIFS($W$4:$W142,$S$4:$S142,eRRSP_Tx_Table[[#This Row],[Year]],$W$4:$W142,"&gt;0"),"")</f>
        <v/>
      </c>
      <c r="Z142" s="10" t="str">
        <f>IF(S143&lt;&gt;eRRSP_Tx_Table[[#This Row],[Year]],SUMIFS($W$4:$W142,$S$4:$S142,eRRSP_Tx_Table[[#This Row],[Year]],$W$4:$W142,"&lt;0"),"")</f>
        <v/>
      </c>
      <c r="AA142" s="3">
        <f>(SUMIF($U$4:$U142,CONCATENATE("Buy",$C142),$N$4:$N142)+SUMIF($U$4:$U142,CONCATENATE("ReinvDiv",$C142),$N$4:$N142))</f>
        <v>-2166.34</v>
      </c>
      <c r="AB142" s="3">
        <f>(SUMIF($U$4:$U142,CONCATENATE("Buy",$C142),$F$4:$F142)+SUMIF($U$4:$U142,CONCATENATE("ReinvDiv",$C142),$F$4:$F142)+SUMIF($U$4:$U142,CONCATENATE("StkSplit",$C142),$F$4:$F142)-SUMIF($U$4:$U142,CONCATENATE("Sell",$C142),$F$4:$F142))</f>
        <v>278.39499999999998</v>
      </c>
      <c r="AC142" s="3">
        <f>IF(B142="Sell",F142*INDEX(V:V,LOOKUP(2,1/(X$4:X141=CONCATENATE(C142,"_ACB")),ROW(V$4:V141))),0)</f>
        <v>0</v>
      </c>
    </row>
    <row r="143" spans="1:29" ht="13.5" customHeight="1" x14ac:dyDescent="0.25">
      <c r="A143" s="32">
        <f>A97+364</f>
        <v>37621</v>
      </c>
      <c r="B143" s="33"/>
      <c r="C143" s="33"/>
      <c r="D143" s="34"/>
      <c r="E143" s="33"/>
      <c r="F143" s="34"/>
      <c r="G143" s="33"/>
      <c r="H143" s="33"/>
      <c r="I143" s="33"/>
      <c r="J143" s="33"/>
      <c r="K143" s="33"/>
      <c r="L143" s="33"/>
      <c r="M143" s="35"/>
      <c r="N143" s="8"/>
      <c r="O143" s="36"/>
      <c r="P143" s="37">
        <v>-31773.1</v>
      </c>
      <c r="Q143" s="4">
        <f>IF(AND(S143&gt;=[1]eRRSP_Rpt!$C$6,S143&lt;=[1]eRRSP_Rpt!$C$7),1,0)</f>
        <v>0</v>
      </c>
      <c r="R143" s="4" t="s">
        <v>34</v>
      </c>
      <c r="S143" s="4">
        <f>YEAR(A143)</f>
        <v>2002</v>
      </c>
      <c r="T143" s="22"/>
      <c r="U143" s="4"/>
      <c r="V143" s="23">
        <f>IFERROR(IF(AND(AB143&gt;0,B143&lt;&gt;"Sell"),(AA143-SUMIF(C$4:C142,C143,AC$4:AC143))/AB143,0),"")</f>
        <v>0</v>
      </c>
      <c r="W143" s="24" t="str">
        <f t="shared" si="20"/>
        <v/>
      </c>
      <c r="X143" s="25" t="str">
        <f t="shared" si="19"/>
        <v/>
      </c>
      <c r="Y143" s="10">
        <f>IF(S144&lt;&gt;eRRSP_Tx_Table[[#This Row],[Year]],SUMIFS($W$4:$W143,$S$4:$S143,eRRSP_Tx_Table[[#This Row],[Year]],$W$4:$W143,"&gt;0"),"")</f>
        <v>0</v>
      </c>
      <c r="Z143" s="10">
        <f>IF(S144&lt;&gt;eRRSP_Tx_Table[[#This Row],[Year]],SUMIFS($W$4:$W143,$S$4:$S143,eRRSP_Tx_Table[[#This Row],[Year]],$W$4:$W143,"&lt;0"),"")</f>
        <v>0</v>
      </c>
      <c r="AA143" s="3">
        <f>(SUMIF($U$4:$U143,CONCATENATE("Buy",$C143),$N$4:$N143)+SUMIF($U$4:$U143,CONCATENATE("ReinvDiv",$C143),$N$4:$N143))</f>
        <v>0</v>
      </c>
      <c r="AB143" s="3">
        <f>(SUMIF($U$4:$U143,CONCATENATE("Buy",$C143),$F$4:$F143)+SUMIF($U$4:$U143,CONCATENATE("ReinvDiv",$C143),$F$4:$F143)+SUMIF($U$4:$U143,CONCATENATE("StkSplit",$C143),$F$4:$F143)-SUMIF($U$4:$U143,CONCATENATE("Sell",$C143),$F$4:$F143))</f>
        <v>0</v>
      </c>
      <c r="AC143" s="3">
        <f>IF(B143="Sell",F143*INDEX(V:V,LOOKUP(2,1/(X$4:X142=CONCATENATE(C143,"_ACB")),ROW(V$4:V142))),0)</f>
        <v>0</v>
      </c>
    </row>
    <row r="144" spans="1:29" ht="13.5" customHeight="1" x14ac:dyDescent="0.25">
      <c r="A144" s="32">
        <f>A143+1</f>
        <v>37622</v>
      </c>
      <c r="B144" s="33"/>
      <c r="C144" s="33"/>
      <c r="D144" s="34"/>
      <c r="E144" s="33"/>
      <c r="F144" s="34"/>
      <c r="G144" s="33"/>
      <c r="H144" s="33"/>
      <c r="I144" s="33"/>
      <c r="J144" s="33"/>
      <c r="K144" s="33"/>
      <c r="L144" s="33"/>
      <c r="M144" s="35"/>
      <c r="N144" s="8"/>
      <c r="O144" s="36"/>
      <c r="P144" s="37">
        <f>-P143</f>
        <v>31773.1</v>
      </c>
      <c r="Q144" s="4">
        <f>IF(AND(S144&gt;=[1]eRRSP_Rpt!$C$6,S144&lt;=[1]eRRSP_Rpt!$C$7),1,0)</f>
        <v>0</v>
      </c>
      <c r="R144" s="4" t="s">
        <v>34</v>
      </c>
      <c r="S144" s="4">
        <f>YEAR(A144)</f>
        <v>2003</v>
      </c>
      <c r="T144" s="22"/>
      <c r="U144" s="4"/>
      <c r="V144" s="23">
        <f>IFERROR(IF(AND(AB144&gt;0,B144&lt;&gt;"Sell"),(AA144-SUMIF(C$4:C143,C144,AC$4:AC144))/AB144,0),"")</f>
        <v>0</v>
      </c>
      <c r="W144" s="24" t="str">
        <f t="shared" si="20"/>
        <v/>
      </c>
      <c r="X144" s="25" t="str">
        <f t="shared" si="19"/>
        <v/>
      </c>
      <c r="Y144" s="10" t="str">
        <f>IF(S145&lt;&gt;eRRSP_Tx_Table[[#This Row],[Year]],SUMIFS($W$4:$W144,$S$4:$S144,eRRSP_Tx_Table[[#This Row],[Year]],$W$4:$W144,"&gt;0"),"")</f>
        <v/>
      </c>
      <c r="Z144" s="10" t="str">
        <f>IF(S145&lt;&gt;eRRSP_Tx_Table[[#This Row],[Year]],SUMIFS($W$4:$W144,$S$4:$S144,eRRSP_Tx_Table[[#This Row],[Year]],$W$4:$W144,"&lt;0"),"")</f>
        <v/>
      </c>
      <c r="AA144" s="3">
        <f>(SUMIF($U$4:$U144,CONCATENATE("Buy",$C144),$N$4:$N144)+SUMIF($U$4:$U144,CONCATENATE("ReinvDiv",$C144),$N$4:$N144))</f>
        <v>0</v>
      </c>
      <c r="AB144" s="3">
        <f>(SUMIF($U$4:$U144,CONCATENATE("Buy",$C144),$F$4:$F144)+SUMIF($U$4:$U144,CONCATENATE("ReinvDiv",$C144),$F$4:$F144)+SUMIF($U$4:$U144,CONCATENATE("StkSplit",$C144),$F$4:$F144)-SUMIF($U$4:$U144,CONCATENATE("Sell",$C144),$F$4:$F144))</f>
        <v>0</v>
      </c>
      <c r="AC144" s="3">
        <f>IF(B144="Sell",F144*INDEX(V:V,LOOKUP(2,1/(X$4:X143=CONCATENATE(C144,"_ACB")),ROW(V$4:V143))),0)</f>
        <v>0</v>
      </c>
    </row>
    <row r="145" spans="1:29" x14ac:dyDescent="0.25">
      <c r="A145" s="20">
        <v>37622</v>
      </c>
      <c r="B145" t="s">
        <v>42</v>
      </c>
      <c r="C145" t="s">
        <v>48</v>
      </c>
      <c r="D145" s="3">
        <v>3</v>
      </c>
      <c r="M145" s="21">
        <f t="shared" si="22"/>
        <v>3</v>
      </c>
      <c r="N145" s="8">
        <f t="shared" ref="N145:N205" si="25">IF(OR(B145="Buy",B145="ReinvDiv"),-M145-G145,M145-G145)</f>
        <v>3</v>
      </c>
      <c r="O145" s="25">
        <f>O142+IF(OR(B145="Cash",B145="Buy",B145="Sell",B145="Div",B145="Rebate",B145="Fees",B145="IntInc",B145="Tax",B145="Distr"),N145,0)</f>
        <v>1985.9399999999998</v>
      </c>
      <c r="P145" s="8">
        <f t="shared" si="23"/>
        <v>0</v>
      </c>
      <c r="Q145" s="4">
        <f>IF(AND(S145&gt;=[1]eRRSP_Rpt!$C$6,S145&lt;=[1]eRRSP_Rpt!$C$7),1,0)</f>
        <v>0</v>
      </c>
      <c r="R145" s="4"/>
      <c r="S145" s="4">
        <f t="shared" si="21"/>
        <v>2003</v>
      </c>
      <c r="T145" s="4"/>
      <c r="U145" s="4" t="str">
        <f t="shared" si="24"/>
        <v>DivTelus</v>
      </c>
      <c r="V145" s="23">
        <f>IFERROR(IF(AND(AB145&gt;0,B145&lt;&gt;"Sell"),(AA145-SUMIF(C$4:C144,C145,AC$4:AC145))/AB145,0),"")</f>
        <v>-40.450000000000003</v>
      </c>
      <c r="W145" s="24" t="str">
        <f t="shared" si="20"/>
        <v/>
      </c>
      <c r="X145" s="25" t="str">
        <f t="shared" si="19"/>
        <v>Telus_ACB</v>
      </c>
      <c r="Y145" s="10" t="str">
        <f>IF(S146&lt;&gt;eRRSP_Tx_Table[[#This Row],[Year]],SUMIFS($W$4:$W145,$S$4:$S145,eRRSP_Tx_Table[[#This Row],[Year]],$W$4:$W145,"&gt;0"),"")</f>
        <v/>
      </c>
      <c r="Z145" s="10" t="str">
        <f>IF(S146&lt;&gt;eRRSP_Tx_Table[[#This Row],[Year]],SUMIFS($W$4:$W145,$S$4:$S145,eRRSP_Tx_Table[[#This Row],[Year]],$W$4:$W145,"&lt;0"),"")</f>
        <v/>
      </c>
      <c r="AA145" s="3">
        <f>(SUMIF($U$4:$U145,CONCATENATE("Buy",$C145),$N$4:$N145)+SUMIF($U$4:$U145,CONCATENATE("ReinvDiv",$C145),$N$4:$N145))</f>
        <v>-809</v>
      </c>
      <c r="AB145" s="3">
        <f>(SUMIF($U$4:$U145,CONCATENATE("Buy",$C145),$F$4:$F145)+SUMIF($U$4:$U145,CONCATENATE("ReinvDiv",$C145),$F$4:$F145)+SUMIF($U$4:$U145,CONCATENATE("StkSplit",$C145),$F$4:$F145)-SUMIF($U$4:$U145,CONCATENATE("Sell",$C145),$F$4:$F145))</f>
        <v>20</v>
      </c>
      <c r="AC145" s="3">
        <f>IF(B145="Sell",F145*INDEX(V:V,LOOKUP(2,1/(X$4:X144=CONCATENATE(C145,"_ACB")),ROW(V$4:V144))),0)</f>
        <v>0</v>
      </c>
    </row>
    <row r="146" spans="1:29" x14ac:dyDescent="0.25">
      <c r="A146" s="20">
        <v>37624</v>
      </c>
      <c r="B146" t="s">
        <v>30</v>
      </c>
      <c r="C146" t="s">
        <v>31</v>
      </c>
      <c r="D146" s="3">
        <v>6002</v>
      </c>
      <c r="M146" s="21">
        <f t="shared" si="22"/>
        <v>6002</v>
      </c>
      <c r="N146" s="8">
        <f t="shared" si="25"/>
        <v>6002</v>
      </c>
      <c r="O146" s="25">
        <f t="shared" ref="O146:O205" si="26">O145+IF(OR(B146="Cash",B146="Buy",B146="Sell",B146="Div",B146="Rebate",B146="Fees",B146="IntInc",B146="Tax",B146="Distr"),N146,0)</f>
        <v>7987.94</v>
      </c>
      <c r="P146" s="8">
        <f t="shared" si="23"/>
        <v>6002</v>
      </c>
      <c r="Q146" s="4">
        <f>IF(AND(S146&gt;=[1]eRRSP_Rpt!$C$6,S146&lt;=[1]eRRSP_Rpt!$C$7),1,0)</f>
        <v>0</v>
      </c>
      <c r="R146" s="4"/>
      <c r="S146" s="4">
        <f t="shared" si="21"/>
        <v>2003</v>
      </c>
      <c r="T146" s="4"/>
      <c r="U146" s="4" t="str">
        <f t="shared" si="24"/>
        <v>CashContribution</v>
      </c>
      <c r="V146" s="23">
        <f>IFERROR(IF(AND(AB146&gt;0,B146&lt;&gt;"Sell"),(AA146-SUMIF(C$4:C145,C146,AC$4:AC146))/AB146,0),"")</f>
        <v>0</v>
      </c>
      <c r="W146" s="24" t="str">
        <f t="shared" si="20"/>
        <v/>
      </c>
      <c r="X146" s="25" t="str">
        <f t="shared" si="19"/>
        <v/>
      </c>
      <c r="Y146" s="10" t="str">
        <f>IF(S147&lt;&gt;eRRSP_Tx_Table[[#This Row],[Year]],SUMIFS($W$4:$W146,$S$4:$S146,eRRSP_Tx_Table[[#This Row],[Year]],$W$4:$W146,"&gt;0"),"")</f>
        <v/>
      </c>
      <c r="Z146" s="10" t="str">
        <f>IF(S147&lt;&gt;eRRSP_Tx_Table[[#This Row],[Year]],SUMIFS($W$4:$W146,$S$4:$S146,eRRSP_Tx_Table[[#This Row],[Year]],$W$4:$W146,"&lt;0"),"")</f>
        <v/>
      </c>
      <c r="AA146" s="3">
        <f>(SUMIF($U$4:$U146,CONCATENATE("Buy",$C146),$N$4:$N146)+SUMIF($U$4:$U146,CONCATENATE("ReinvDiv",$C146),$N$4:$N146))</f>
        <v>0</v>
      </c>
      <c r="AB146" s="3">
        <f>(SUMIF($U$4:$U146,CONCATENATE("Buy",$C146),$F$4:$F146)+SUMIF($U$4:$U146,CONCATENATE("ReinvDiv",$C146),$F$4:$F146)+SUMIF($U$4:$U146,CONCATENATE("StkSplit",$C146),$F$4:$F146)-SUMIF($U$4:$U146,CONCATENATE("Sell",$C146),$F$4:$F146))</f>
        <v>0</v>
      </c>
      <c r="AC146" s="3">
        <f>IF(B146="Sell",F146*INDEX(V:V,LOOKUP(2,1/(X$4:X145=CONCATENATE(C146,"_ACB")),ROW(V$4:V145))),0)</f>
        <v>0</v>
      </c>
    </row>
    <row r="147" spans="1:29" x14ac:dyDescent="0.25">
      <c r="A147" s="20">
        <v>37630</v>
      </c>
      <c r="B147" t="s">
        <v>32</v>
      </c>
      <c r="C147" t="s">
        <v>61</v>
      </c>
      <c r="D147" s="3">
        <v>2500</v>
      </c>
      <c r="E147">
        <v>12.129975</v>
      </c>
      <c r="F147" s="3">
        <v>206.101</v>
      </c>
      <c r="M147" s="21">
        <f t="shared" si="22"/>
        <v>2500</v>
      </c>
      <c r="N147" s="8">
        <f t="shared" si="25"/>
        <v>-2500</v>
      </c>
      <c r="O147" s="25">
        <f t="shared" si="26"/>
        <v>5487.94</v>
      </c>
      <c r="P147" s="8">
        <f t="shared" si="23"/>
        <v>0</v>
      </c>
      <c r="Q147" s="4">
        <f>IF(AND(S147&gt;=[1]eRRSP_Rpt!$C$6,S147&lt;=[1]eRRSP_Rpt!$C$7),1,0)</f>
        <v>0</v>
      </c>
      <c r="R147" s="4"/>
      <c r="S147" s="4">
        <f t="shared" si="21"/>
        <v>2003</v>
      </c>
      <c r="T147" s="4"/>
      <c r="U147" s="4" t="str">
        <f t="shared" si="24"/>
        <v>BuyCI Harbour Fund</v>
      </c>
      <c r="V147" s="23">
        <f>IFERROR(IF(AND(AB147&gt;0,B147&lt;&gt;"Sell"),(AA147-SUMIF(C$4:C146,C147,AC$4:AC147))/AB147,0),"")</f>
        <v>-12.129975109291076</v>
      </c>
      <c r="W147" s="24" t="str">
        <f t="shared" si="20"/>
        <v/>
      </c>
      <c r="X147" s="25" t="str">
        <f t="shared" si="19"/>
        <v>CI Harbour Fund_ACB</v>
      </c>
      <c r="Y147" s="10" t="str">
        <f>IF(S148&lt;&gt;eRRSP_Tx_Table[[#This Row],[Year]],SUMIFS($W$4:$W147,$S$4:$S147,eRRSP_Tx_Table[[#This Row],[Year]],$W$4:$W147,"&gt;0"),"")</f>
        <v/>
      </c>
      <c r="Z147" s="10" t="str">
        <f>IF(S148&lt;&gt;eRRSP_Tx_Table[[#This Row],[Year]],SUMIFS($W$4:$W147,$S$4:$S147,eRRSP_Tx_Table[[#This Row],[Year]],$W$4:$W147,"&lt;0"),"")</f>
        <v/>
      </c>
      <c r="AA147" s="3">
        <f>(SUMIF($U$4:$U147,CONCATENATE("Buy",$C147),$N$4:$N147)+SUMIF($U$4:$U147,CONCATENATE("ReinvDiv",$C147),$N$4:$N147))</f>
        <v>-2500</v>
      </c>
      <c r="AB147" s="3">
        <f>(SUMIF($U$4:$U147,CONCATENATE("Buy",$C147),$F$4:$F147)+SUMIF($U$4:$U147,CONCATENATE("ReinvDiv",$C147),$F$4:$F147)+SUMIF($U$4:$U147,CONCATENATE("StkSplit",$C147),$F$4:$F147)-SUMIF($U$4:$U147,CONCATENATE("Sell",$C147),$F$4:$F147))</f>
        <v>206.101</v>
      </c>
      <c r="AC147" s="3">
        <f>IF(B147="Sell",F147*INDEX(V:V,LOOKUP(2,1/(X$4:X146=CONCATENATE(C147,"_ACB")),ROW(V$4:V146))),0)</f>
        <v>0</v>
      </c>
    </row>
    <row r="148" spans="1:29" x14ac:dyDescent="0.25">
      <c r="A148" s="20">
        <v>37636</v>
      </c>
      <c r="B148" t="s">
        <v>42</v>
      </c>
      <c r="C148" t="s">
        <v>46</v>
      </c>
      <c r="D148" s="3">
        <v>6</v>
      </c>
      <c r="M148" s="21">
        <f t="shared" si="22"/>
        <v>6</v>
      </c>
      <c r="N148" s="8">
        <f t="shared" si="25"/>
        <v>6</v>
      </c>
      <c r="O148" s="25">
        <f t="shared" si="26"/>
        <v>5493.94</v>
      </c>
      <c r="P148" s="8">
        <f t="shared" si="23"/>
        <v>0</v>
      </c>
      <c r="Q148" s="4">
        <f>IF(AND(S148&gt;=[1]eRRSP_Rpt!$C$6,S148&lt;=[1]eRRSP_Rpt!$C$7),1,0)</f>
        <v>0</v>
      </c>
      <c r="R148" s="4"/>
      <c r="S148" s="4">
        <f t="shared" si="21"/>
        <v>2003</v>
      </c>
      <c r="T148" s="4"/>
      <c r="U148" s="4" t="str">
        <f t="shared" si="24"/>
        <v>DivBCE</v>
      </c>
      <c r="V148" s="23">
        <f>IFERROR(IF(AND(AB148&gt;0,B148&lt;&gt;"Sell"),(AA148-SUMIF(C$4:C147,C148,AC$4:AC148))/AB148,0),"")</f>
        <v>-40.450000000000003</v>
      </c>
      <c r="W148" s="24" t="str">
        <f t="shared" si="20"/>
        <v/>
      </c>
      <c r="X148" s="25" t="str">
        <f t="shared" si="19"/>
        <v>BCE_ACB</v>
      </c>
      <c r="Y148" s="10" t="str">
        <f>IF(S149&lt;&gt;eRRSP_Tx_Table[[#This Row],[Year]],SUMIFS($W$4:$W148,$S$4:$S148,eRRSP_Tx_Table[[#This Row],[Year]],$W$4:$W148,"&gt;0"),"")</f>
        <v/>
      </c>
      <c r="Z148" s="10" t="str">
        <f>IF(S149&lt;&gt;eRRSP_Tx_Table[[#This Row],[Year]],SUMIFS($W$4:$W148,$S$4:$S148,eRRSP_Tx_Table[[#This Row],[Year]],$W$4:$W148,"&lt;0"),"")</f>
        <v/>
      </c>
      <c r="AA148" s="3">
        <f>(SUMIF($U$4:$U148,CONCATENATE("Buy",$C148),$N$4:$N148)+SUMIF($U$4:$U148,CONCATENATE("ReinvDiv",$C148),$N$4:$N148))</f>
        <v>-809</v>
      </c>
      <c r="AB148" s="3">
        <f>(SUMIF($U$4:$U148,CONCATENATE("Buy",$C148),$F$4:$F148)+SUMIF($U$4:$U148,CONCATENATE("ReinvDiv",$C148),$F$4:$F148)+SUMIF($U$4:$U148,CONCATENATE("StkSplit",$C148),$F$4:$F148)-SUMIF($U$4:$U148,CONCATENATE("Sell",$C148),$F$4:$F148))</f>
        <v>20</v>
      </c>
      <c r="AC148" s="3">
        <f>IF(B148="Sell",F148*INDEX(V:V,LOOKUP(2,1/(X$4:X147=CONCATENATE(C148,"_ACB")),ROW(V$4:V147))),0)</f>
        <v>0</v>
      </c>
    </row>
    <row r="149" spans="1:29" x14ac:dyDescent="0.25">
      <c r="A149" s="20">
        <v>37637</v>
      </c>
      <c r="B149" t="s">
        <v>43</v>
      </c>
      <c r="C149" t="s">
        <v>36</v>
      </c>
      <c r="D149" s="3">
        <v>1.67</v>
      </c>
      <c r="M149" s="21">
        <f t="shared" si="22"/>
        <v>1.67</v>
      </c>
      <c r="N149" s="8">
        <f t="shared" si="25"/>
        <v>1.67</v>
      </c>
      <c r="O149" s="25">
        <f t="shared" si="26"/>
        <v>5495.61</v>
      </c>
      <c r="P149" s="8">
        <f t="shared" si="23"/>
        <v>0</v>
      </c>
      <c r="Q149" s="4">
        <f>IF(AND(S149&gt;=[1]eRRSP_Rpt!$C$6,S149&lt;=[1]eRRSP_Rpt!$C$7),1,0)</f>
        <v>0</v>
      </c>
      <c r="R149" s="4"/>
      <c r="S149" s="4">
        <f t="shared" si="21"/>
        <v>2003</v>
      </c>
      <c r="T149" s="4"/>
      <c r="U149" s="4" t="str">
        <f t="shared" si="24"/>
        <v>IntIncTDW</v>
      </c>
      <c r="V149" s="23">
        <f>IFERROR(IF(AND(AB149&gt;0,B149&lt;&gt;"Sell"),(AA149-SUMIF(C$4:C148,C149,AC$4:AC149))/AB149,0),"")</f>
        <v>0</v>
      </c>
      <c r="W149" s="24" t="str">
        <f t="shared" si="20"/>
        <v/>
      </c>
      <c r="X149" s="25" t="str">
        <f t="shared" si="19"/>
        <v/>
      </c>
      <c r="Y149" s="10" t="str">
        <f>IF(S150&lt;&gt;eRRSP_Tx_Table[[#This Row],[Year]],SUMIFS($W$4:$W149,$S$4:$S149,eRRSP_Tx_Table[[#This Row],[Year]],$W$4:$W149,"&gt;0"),"")</f>
        <v/>
      </c>
      <c r="Z149" s="10" t="str">
        <f>IF(S150&lt;&gt;eRRSP_Tx_Table[[#This Row],[Year]],SUMIFS($W$4:$W149,$S$4:$S149,eRRSP_Tx_Table[[#This Row],[Year]],$W$4:$W149,"&lt;0"),"")</f>
        <v/>
      </c>
      <c r="AA149" s="3">
        <f>(SUMIF($U$4:$U149,CONCATENATE("Buy",$C149),$N$4:$N149)+SUMIF($U$4:$U149,CONCATENATE("ReinvDiv",$C149),$N$4:$N149))</f>
        <v>0</v>
      </c>
      <c r="AB149" s="3">
        <f>(SUMIF($U$4:$U149,CONCATENATE("Buy",$C149),$F$4:$F149)+SUMIF($U$4:$U149,CONCATENATE("ReinvDiv",$C149),$F$4:$F149)+SUMIF($U$4:$U149,CONCATENATE("StkSplit",$C149),$F$4:$F149)-SUMIF($U$4:$U149,CONCATENATE("Sell",$C149),$F$4:$F149))</f>
        <v>0</v>
      </c>
      <c r="AC149" s="3">
        <f>IF(B149="Sell",F149*INDEX(V:V,LOOKUP(2,1/(X$4:X148=CONCATENATE(C149,"_ACB")),ROW(V$4:V148))),0)</f>
        <v>0</v>
      </c>
    </row>
    <row r="150" spans="1:29" x14ac:dyDescent="0.25">
      <c r="A150" s="20">
        <v>37652</v>
      </c>
      <c r="B150" t="s">
        <v>42</v>
      </c>
      <c r="C150" t="s">
        <v>47</v>
      </c>
      <c r="D150" s="3">
        <v>1.36</v>
      </c>
      <c r="M150" s="21">
        <f t="shared" si="22"/>
        <v>1.36</v>
      </c>
      <c r="N150" s="8">
        <f t="shared" si="25"/>
        <v>1.36</v>
      </c>
      <c r="O150" s="25">
        <f t="shared" si="26"/>
        <v>5496.9699999999993</v>
      </c>
      <c r="P150" s="8">
        <f t="shared" si="23"/>
        <v>0</v>
      </c>
      <c r="Q150" s="4">
        <f>IF(AND(S150&gt;=[1]eRRSP_Rpt!$C$6,S150&lt;=[1]eRRSP_Rpt!$C$7),1,0)</f>
        <v>0</v>
      </c>
      <c r="R150" s="4"/>
      <c r="S150" s="4">
        <f t="shared" si="21"/>
        <v>2003</v>
      </c>
      <c r="T150" s="4"/>
      <c r="U150" s="4" t="str">
        <f t="shared" si="24"/>
        <v>DivBombardier</v>
      </c>
      <c r="V150" s="23">
        <f>IFERROR(IF(AND(AB150&gt;0,B150&lt;&gt;"Sell"),(AA150-SUMIF(C$4:C149,C150,AC$4:AC150))/AB150,0),"")</f>
        <v>-23.216666666666665</v>
      </c>
      <c r="W150" s="24" t="str">
        <f t="shared" si="20"/>
        <v/>
      </c>
      <c r="X150" s="25" t="str">
        <f t="shared" si="19"/>
        <v>Bombardier_ACB</v>
      </c>
      <c r="Y150" s="10" t="str">
        <f>IF(S151&lt;&gt;eRRSP_Tx_Table[[#This Row],[Year]],SUMIFS($W$4:$W150,$S$4:$S150,eRRSP_Tx_Table[[#This Row],[Year]],$W$4:$W150,"&gt;0"),"")</f>
        <v/>
      </c>
      <c r="Z150" s="10" t="str">
        <f>IF(S151&lt;&gt;eRRSP_Tx_Table[[#This Row],[Year]],SUMIFS($W$4:$W150,$S$4:$S150,eRRSP_Tx_Table[[#This Row],[Year]],$W$4:$W150,"&lt;0"),"")</f>
        <v/>
      </c>
      <c r="AA150" s="3">
        <f>(SUMIF($U$4:$U150,CONCATENATE("Buy",$C150),$N$4:$N150)+SUMIF($U$4:$U150,CONCATENATE("ReinvDiv",$C150),$N$4:$N150))</f>
        <v>-696.5</v>
      </c>
      <c r="AB150" s="3">
        <f>(SUMIF($U$4:$U150,CONCATENATE("Buy",$C150),$F$4:$F150)+SUMIF($U$4:$U150,CONCATENATE("ReinvDiv",$C150),$F$4:$F150)+SUMIF($U$4:$U150,CONCATENATE("StkSplit",$C150),$F$4:$F150)-SUMIF($U$4:$U150,CONCATENATE("Sell",$C150),$F$4:$F150))</f>
        <v>30</v>
      </c>
      <c r="AC150" s="3">
        <f>IF(B150="Sell",F150*INDEX(V:V,LOOKUP(2,1/(X$4:X149=CONCATENATE(C150,"_ACB")),ROW(V$4:V149))),0)</f>
        <v>0</v>
      </c>
    </row>
    <row r="151" spans="1:29" x14ac:dyDescent="0.25">
      <c r="A151" s="20">
        <v>37652</v>
      </c>
      <c r="B151" t="s">
        <v>42</v>
      </c>
      <c r="C151" t="s">
        <v>45</v>
      </c>
      <c r="D151" s="3">
        <v>5.6</v>
      </c>
      <c r="M151" s="21">
        <f t="shared" si="22"/>
        <v>5.6</v>
      </c>
      <c r="N151" s="8">
        <f t="shared" si="25"/>
        <v>5.6</v>
      </c>
      <c r="O151" s="25">
        <f t="shared" si="26"/>
        <v>5502.57</v>
      </c>
      <c r="P151" s="8">
        <f t="shared" si="23"/>
        <v>0</v>
      </c>
      <c r="Q151" s="4">
        <f>IF(AND(S151&gt;=[1]eRRSP_Rpt!$C$6,S151&lt;=[1]eRRSP_Rpt!$C$7),1,0)</f>
        <v>0</v>
      </c>
      <c r="R151" s="4"/>
      <c r="S151" s="4">
        <f t="shared" si="21"/>
        <v>2003</v>
      </c>
      <c r="T151" s="4"/>
      <c r="U151" s="4" t="str">
        <f t="shared" si="24"/>
        <v>DivTD Bank</v>
      </c>
      <c r="V151" s="23">
        <f>IFERROR(IF(AND(AB151&gt;0,B151&lt;&gt;"Sell"),(AA151-SUMIF(C$4:C150,C151,AC$4:AC151))/AB151,0),"")</f>
        <v>-44.29</v>
      </c>
      <c r="W151" s="24" t="str">
        <f t="shared" si="20"/>
        <v/>
      </c>
      <c r="X151" s="25" t="str">
        <f t="shared" si="19"/>
        <v>TD Bank_ACB</v>
      </c>
      <c r="Y151" s="10" t="str">
        <f>IF(S152&lt;&gt;eRRSP_Tx_Table[[#This Row],[Year]],SUMIFS($W$4:$W151,$S$4:$S151,eRRSP_Tx_Table[[#This Row],[Year]],$W$4:$W151,"&gt;0"),"")</f>
        <v/>
      </c>
      <c r="Z151" s="10" t="str">
        <f>IF(S152&lt;&gt;eRRSP_Tx_Table[[#This Row],[Year]],SUMIFS($W$4:$W151,$S$4:$S151,eRRSP_Tx_Table[[#This Row],[Year]],$W$4:$W151,"&lt;0"),"")</f>
        <v/>
      </c>
      <c r="AA151" s="3">
        <f>(SUMIF($U$4:$U151,CONCATENATE("Buy",$C151),$N$4:$N151)+SUMIF($U$4:$U151,CONCATENATE("ReinvDiv",$C151),$N$4:$N151))</f>
        <v>-885.8</v>
      </c>
      <c r="AB151" s="3">
        <f>(SUMIF($U$4:$U151,CONCATENATE("Buy",$C151),$F$4:$F151)+SUMIF($U$4:$U151,CONCATENATE("ReinvDiv",$C151),$F$4:$F151)+SUMIF($U$4:$U151,CONCATENATE("StkSplit",$C151),$F$4:$F151)-SUMIF($U$4:$U151,CONCATENATE("Sell",$C151),$F$4:$F151))</f>
        <v>20</v>
      </c>
      <c r="AC151" s="3">
        <f>IF(B151="Sell",F151*INDEX(V:V,LOOKUP(2,1/(X$4:X150=CONCATENATE(C151,"_ACB")),ROW(V$4:V150))),0)</f>
        <v>0</v>
      </c>
    </row>
    <row r="152" spans="1:29" x14ac:dyDescent="0.25">
      <c r="A152" s="20">
        <v>37668</v>
      </c>
      <c r="B152" t="s">
        <v>43</v>
      </c>
      <c r="C152" t="s">
        <v>36</v>
      </c>
      <c r="D152" s="3">
        <v>2.33</v>
      </c>
      <c r="M152" s="21">
        <f t="shared" si="22"/>
        <v>2.33</v>
      </c>
      <c r="N152" s="8">
        <f t="shared" si="25"/>
        <v>2.33</v>
      </c>
      <c r="O152" s="25">
        <f t="shared" si="26"/>
        <v>5504.9</v>
      </c>
      <c r="P152" s="8">
        <f t="shared" si="23"/>
        <v>0</v>
      </c>
      <c r="Q152" s="4">
        <f>IF(AND(S152&gt;=[1]eRRSP_Rpt!$C$6,S152&lt;=[1]eRRSP_Rpt!$C$7),1,0)</f>
        <v>0</v>
      </c>
      <c r="R152" s="4"/>
      <c r="S152" s="4">
        <f t="shared" si="21"/>
        <v>2003</v>
      </c>
      <c r="T152" s="4"/>
      <c r="U152" s="4" t="str">
        <f t="shared" si="24"/>
        <v>IntIncTDW</v>
      </c>
      <c r="V152" s="23">
        <f>IFERROR(IF(AND(AB152&gt;0,B152&lt;&gt;"Sell"),(AA152-SUMIF(C$4:C151,C152,AC$4:AC152))/AB152,0),"")</f>
        <v>0</v>
      </c>
      <c r="W152" s="24" t="str">
        <f t="shared" si="20"/>
        <v/>
      </c>
      <c r="X152" s="25" t="str">
        <f t="shared" si="19"/>
        <v/>
      </c>
      <c r="Y152" s="10" t="str">
        <f>IF(S153&lt;&gt;eRRSP_Tx_Table[[#This Row],[Year]],SUMIFS($W$4:$W152,$S$4:$S152,eRRSP_Tx_Table[[#This Row],[Year]],$W$4:$W152,"&gt;0"),"")</f>
        <v/>
      </c>
      <c r="Z152" s="10" t="str">
        <f>IF(S153&lt;&gt;eRRSP_Tx_Table[[#This Row],[Year]],SUMIFS($W$4:$W152,$S$4:$S152,eRRSP_Tx_Table[[#This Row],[Year]],$W$4:$W152,"&lt;0"),"")</f>
        <v/>
      </c>
      <c r="AA152" s="3">
        <f>(SUMIF($U$4:$U152,CONCATENATE("Buy",$C152),$N$4:$N152)+SUMIF($U$4:$U152,CONCATENATE("ReinvDiv",$C152),$N$4:$N152))</f>
        <v>0</v>
      </c>
      <c r="AB152" s="3">
        <f>(SUMIF($U$4:$U152,CONCATENATE("Buy",$C152),$F$4:$F152)+SUMIF($U$4:$U152,CONCATENATE("ReinvDiv",$C152),$F$4:$F152)+SUMIF($U$4:$U152,CONCATENATE("StkSplit",$C152),$F$4:$F152)-SUMIF($U$4:$U152,CONCATENATE("Sell",$C152),$F$4:$F152))</f>
        <v>0</v>
      </c>
      <c r="AC152" s="3">
        <f>IF(B152="Sell",F152*INDEX(V:V,LOOKUP(2,1/(X$4:X151=CONCATENATE(C152,"_ACB")),ROW(V$4:V151))),0)</f>
        <v>0</v>
      </c>
    </row>
    <row r="153" spans="1:29" x14ac:dyDescent="0.25">
      <c r="A153" s="20">
        <v>37669</v>
      </c>
      <c r="B153" t="s">
        <v>60</v>
      </c>
      <c r="C153" t="s">
        <v>36</v>
      </c>
      <c r="D153" s="3">
        <v>-8.1199999999999992</v>
      </c>
      <c r="M153" s="21">
        <f t="shared" si="22"/>
        <v>-8.1199999999999992</v>
      </c>
      <c r="N153" s="8">
        <f t="shared" si="25"/>
        <v>-8.1199999999999992</v>
      </c>
      <c r="O153" s="25">
        <f t="shared" si="26"/>
        <v>5496.78</v>
      </c>
      <c r="P153" s="8">
        <f t="shared" si="23"/>
        <v>0</v>
      </c>
      <c r="Q153" s="4">
        <f>IF(AND(S153&gt;=[1]eRRSP_Rpt!$C$6,S153&lt;=[1]eRRSP_Rpt!$C$7),1,0)</f>
        <v>0</v>
      </c>
      <c r="R153" s="4"/>
      <c r="S153" s="4">
        <f t="shared" si="21"/>
        <v>2003</v>
      </c>
      <c r="T153" s="4"/>
      <c r="U153" s="4" t="str">
        <f t="shared" si="24"/>
        <v>TaxTDW</v>
      </c>
      <c r="V153" s="23">
        <f>IFERROR(IF(AND(AB153&gt;0,B153&lt;&gt;"Sell"),(AA153-SUMIF(C$4:C152,C153,AC$4:AC153))/AB153,0),"")</f>
        <v>0</v>
      </c>
      <c r="W153" s="24" t="str">
        <f t="shared" si="20"/>
        <v/>
      </c>
      <c r="X153" s="25" t="str">
        <f t="shared" si="19"/>
        <v/>
      </c>
      <c r="Y153" s="10" t="str">
        <f>IF(S154&lt;&gt;eRRSP_Tx_Table[[#This Row],[Year]],SUMIFS($W$4:$W153,$S$4:$S153,eRRSP_Tx_Table[[#This Row],[Year]],$W$4:$W153,"&gt;0"),"")</f>
        <v/>
      </c>
      <c r="Z153" s="10" t="str">
        <f>IF(S154&lt;&gt;eRRSP_Tx_Table[[#This Row],[Year]],SUMIFS($W$4:$W153,$S$4:$S153,eRRSP_Tx_Table[[#This Row],[Year]],$W$4:$W153,"&lt;0"),"")</f>
        <v/>
      </c>
      <c r="AA153" s="3">
        <f>(SUMIF($U$4:$U153,CONCATENATE("Buy",$C153),$N$4:$N153)+SUMIF($U$4:$U153,CONCATENATE("ReinvDiv",$C153),$N$4:$N153))</f>
        <v>0</v>
      </c>
      <c r="AB153" s="3">
        <f>(SUMIF($U$4:$U153,CONCATENATE("Buy",$C153),$F$4:$F153)+SUMIF($U$4:$U153,CONCATENATE("ReinvDiv",$C153),$F$4:$F153)+SUMIF($U$4:$U153,CONCATENATE("StkSplit",$C153),$F$4:$F153)-SUMIF($U$4:$U153,CONCATENATE("Sell",$C153),$F$4:$F153))</f>
        <v>0</v>
      </c>
      <c r="AC153" s="3">
        <f>IF(B153="Sell",F153*INDEX(V:V,LOOKUP(2,1/(X$4:X152=CONCATENATE(C153,"_ACB")),ROW(V$4:V152))),0)</f>
        <v>0</v>
      </c>
    </row>
    <row r="154" spans="1:29" x14ac:dyDescent="0.25">
      <c r="A154" s="20">
        <v>37681</v>
      </c>
      <c r="B154" t="s">
        <v>42</v>
      </c>
      <c r="C154" t="s">
        <v>33</v>
      </c>
      <c r="D154" s="3">
        <v>23.65</v>
      </c>
      <c r="M154" s="21">
        <f t="shared" si="22"/>
        <v>23.65</v>
      </c>
      <c r="N154" s="8">
        <f t="shared" si="25"/>
        <v>23.65</v>
      </c>
      <c r="O154" s="25">
        <f t="shared" si="26"/>
        <v>5520.4299999999994</v>
      </c>
      <c r="P154" s="8">
        <f t="shared" si="23"/>
        <v>0</v>
      </c>
      <c r="Q154" s="4">
        <f>IF(AND(S154&gt;=[1]eRRSP_Rpt!$C$6,S154&lt;=[1]eRRSP_Rpt!$C$7),1,0)</f>
        <v>0</v>
      </c>
      <c r="R154" s="4"/>
      <c r="S154" s="4">
        <f t="shared" si="21"/>
        <v>2003</v>
      </c>
      <c r="T154" s="4"/>
      <c r="U154" s="4" t="str">
        <f t="shared" si="24"/>
        <v>DivEnbridge</v>
      </c>
      <c r="V154" s="23">
        <f>IFERROR(IF(AND(AB154&gt;0,B154&lt;&gt;"Sell"),(AA154-SUMIF(C$4:C153,C154,AC$4:AC154))/AB154,0),"")</f>
        <v>-25.718055555555559</v>
      </c>
      <c r="W154" s="24" t="str">
        <f t="shared" si="20"/>
        <v/>
      </c>
      <c r="X154" s="25" t="str">
        <f t="shared" si="19"/>
        <v>Enbridge_ACB</v>
      </c>
      <c r="Y154" s="10" t="str">
        <f>IF(S155&lt;&gt;eRRSP_Tx_Table[[#This Row],[Year]],SUMIFS($W$4:$W154,$S$4:$S154,eRRSP_Tx_Table[[#This Row],[Year]],$W$4:$W154,"&gt;0"),"")</f>
        <v/>
      </c>
      <c r="Z154" s="10" t="str">
        <f>IF(S155&lt;&gt;eRRSP_Tx_Table[[#This Row],[Year]],SUMIFS($W$4:$W154,$S$4:$S154,eRRSP_Tx_Table[[#This Row],[Year]],$W$4:$W154,"&lt;0"),"")</f>
        <v/>
      </c>
      <c r="AA154" s="3">
        <f>(SUMIF($U$4:$U154,CONCATENATE("Buy",$C154),$N$4:$N154)+SUMIF($U$4:$U154,CONCATENATE("ReinvDiv",$C154),$N$4:$N154))</f>
        <v>-1851.7</v>
      </c>
      <c r="AB154" s="3">
        <f>(SUMIF($U$4:$U154,CONCATENATE("Buy",$C154),$F$4:$F154)+SUMIF($U$4:$U154,CONCATENATE("ReinvDiv",$C154),$F$4:$F154)+SUMIF($U$4:$U154,CONCATENATE("StkSplit",$C154),$F$4:$F154)-SUMIF($U$4:$U154,CONCATENATE("Sell",$C154),$F$4:$F154))</f>
        <v>57</v>
      </c>
      <c r="AC154" s="3">
        <f>IF(B154="Sell",F154*INDEX(V:V,LOOKUP(2,1/(X$4:X153=CONCATENATE(C154,"_ACB")),ROW(V$4:V153))),0)</f>
        <v>0</v>
      </c>
    </row>
    <row r="155" spans="1:29" x14ac:dyDescent="0.25">
      <c r="A155" s="20">
        <v>37694</v>
      </c>
      <c r="B155" t="s">
        <v>41</v>
      </c>
      <c r="C155" t="s">
        <v>39</v>
      </c>
      <c r="D155" s="3">
        <v>17.18</v>
      </c>
      <c r="E155">
        <v>8.69</v>
      </c>
      <c r="F155" s="3">
        <v>1.976</v>
      </c>
      <c r="M155" s="21">
        <f t="shared" si="22"/>
        <v>17.18</v>
      </c>
      <c r="N155" s="8">
        <f t="shared" si="25"/>
        <v>-17.18</v>
      </c>
      <c r="O155" s="25">
        <f t="shared" si="26"/>
        <v>5520.4299999999994</v>
      </c>
      <c r="P155" s="8">
        <f t="shared" si="23"/>
        <v>0</v>
      </c>
      <c r="Q155" s="4">
        <f>IF(AND(S155&gt;=[1]eRRSP_Rpt!$C$6,S155&lt;=[1]eRRSP_Rpt!$C$7),1,0)</f>
        <v>0</v>
      </c>
      <c r="R155" s="4"/>
      <c r="S155" s="4">
        <f t="shared" si="21"/>
        <v>2003</v>
      </c>
      <c r="T155" s="4"/>
      <c r="U155" s="4" t="str">
        <f t="shared" si="24"/>
        <v>ReinvDivTrimark Income Growth</v>
      </c>
      <c r="V155" s="23">
        <f>IFERROR(IF(AND(AB155&gt;0,B155&lt;&gt;"Sell"),(AA155-SUMIF(C$4:C154,C155,AC$4:AC155))/AB155,0),"")</f>
        <v>-7.787966658463251</v>
      </c>
      <c r="W155" s="24" t="str">
        <f t="shared" si="20"/>
        <v/>
      </c>
      <c r="X155" s="25" t="str">
        <f t="shared" si="19"/>
        <v>Trimark Income Growth_ACB</v>
      </c>
      <c r="Y155" s="10" t="str">
        <f>IF(S156&lt;&gt;eRRSP_Tx_Table[[#This Row],[Year]],SUMIFS($W$4:$W155,$S$4:$S155,eRRSP_Tx_Table[[#This Row],[Year]],$W$4:$W155,"&gt;0"),"")</f>
        <v/>
      </c>
      <c r="Z155" s="10" t="str">
        <f>IF(S156&lt;&gt;eRRSP_Tx_Table[[#This Row],[Year]],SUMIFS($W$4:$W155,$S$4:$S155,eRRSP_Tx_Table[[#This Row],[Year]],$W$4:$W155,"&lt;0"),"")</f>
        <v/>
      </c>
      <c r="AA155" s="3">
        <f>(SUMIF($U$4:$U155,CONCATENATE("Buy",$C155),$N$4:$N155)+SUMIF($U$4:$U155,CONCATENATE("ReinvDiv",$C155),$N$4:$N155))</f>
        <v>-2183.52</v>
      </c>
      <c r="AB155" s="3">
        <f>(SUMIF($U$4:$U155,CONCATENATE("Buy",$C155),$F$4:$F155)+SUMIF($U$4:$U155,CONCATENATE("ReinvDiv",$C155),$F$4:$F155)+SUMIF($U$4:$U155,CONCATENATE("StkSplit",$C155),$F$4:$F155)-SUMIF($U$4:$U155,CONCATENATE("Sell",$C155),$F$4:$F155))</f>
        <v>280.37099999999998</v>
      </c>
      <c r="AC155" s="3">
        <f>IF(B155="Sell",F155*INDEX(V:V,LOOKUP(2,1/(X$4:X154=CONCATENATE(C155,"_ACB")),ROW(V$4:V154))),0)</f>
        <v>0</v>
      </c>
    </row>
    <row r="156" spans="1:29" x14ac:dyDescent="0.25">
      <c r="A156" s="20">
        <v>37696</v>
      </c>
      <c r="B156" t="s">
        <v>43</v>
      </c>
      <c r="C156" t="s">
        <v>36</v>
      </c>
      <c r="D156" s="3">
        <v>2.52</v>
      </c>
      <c r="M156" s="21">
        <f t="shared" si="22"/>
        <v>2.52</v>
      </c>
      <c r="N156" s="8">
        <f t="shared" si="25"/>
        <v>2.52</v>
      </c>
      <c r="O156" s="25">
        <f t="shared" si="26"/>
        <v>5522.95</v>
      </c>
      <c r="P156" s="8">
        <f t="shared" si="23"/>
        <v>0</v>
      </c>
      <c r="Q156" s="4">
        <f>IF(AND(S156&gt;=[1]eRRSP_Rpt!$C$6,S156&lt;=[1]eRRSP_Rpt!$C$7),1,0)</f>
        <v>0</v>
      </c>
      <c r="R156" s="4"/>
      <c r="S156" s="4">
        <f t="shared" si="21"/>
        <v>2003</v>
      </c>
      <c r="T156" s="4"/>
      <c r="U156" s="4" t="str">
        <f t="shared" si="24"/>
        <v>IntIncTDW</v>
      </c>
      <c r="V156" s="23">
        <f>IFERROR(IF(AND(AB156&gt;0,B156&lt;&gt;"Sell"),(AA156-SUMIF(C$4:C155,C156,AC$4:AC156))/AB156,0),"")</f>
        <v>0</v>
      </c>
      <c r="W156" s="24" t="str">
        <f t="shared" si="20"/>
        <v/>
      </c>
      <c r="X156" s="25" t="str">
        <f t="shared" si="19"/>
        <v/>
      </c>
      <c r="Y156" s="10" t="str">
        <f>IF(S157&lt;&gt;eRRSP_Tx_Table[[#This Row],[Year]],SUMIFS($W$4:$W156,$S$4:$S156,eRRSP_Tx_Table[[#This Row],[Year]],$W$4:$W156,"&gt;0"),"")</f>
        <v/>
      </c>
      <c r="Z156" s="10" t="str">
        <f>IF(S157&lt;&gt;eRRSP_Tx_Table[[#This Row],[Year]],SUMIFS($W$4:$W156,$S$4:$S156,eRRSP_Tx_Table[[#This Row],[Year]],$W$4:$W156,"&lt;0"),"")</f>
        <v/>
      </c>
      <c r="AA156" s="3">
        <f>(SUMIF($U$4:$U156,CONCATENATE("Buy",$C156),$N$4:$N156)+SUMIF($U$4:$U156,CONCATENATE("ReinvDiv",$C156),$N$4:$N156))</f>
        <v>0</v>
      </c>
      <c r="AB156" s="3">
        <f>(SUMIF($U$4:$U156,CONCATENATE("Buy",$C156),$F$4:$F156)+SUMIF($U$4:$U156,CONCATENATE("ReinvDiv",$C156),$F$4:$F156)+SUMIF($U$4:$U156,CONCATENATE("StkSplit",$C156),$F$4:$F156)-SUMIF($U$4:$U156,CONCATENATE("Sell",$C156),$F$4:$F156))</f>
        <v>0</v>
      </c>
      <c r="AC156" s="3">
        <f>IF(B156="Sell",F156*INDEX(V:V,LOOKUP(2,1/(X$4:X155=CONCATENATE(C156,"_ACB")),ROW(V$4:V155))),0)</f>
        <v>0</v>
      </c>
    </row>
    <row r="157" spans="1:29" x14ac:dyDescent="0.25">
      <c r="A157" s="20">
        <v>37708</v>
      </c>
      <c r="B157" t="s">
        <v>42</v>
      </c>
      <c r="C157" t="s">
        <v>53</v>
      </c>
      <c r="D157" s="3">
        <v>28.01</v>
      </c>
      <c r="M157" s="21">
        <f t="shared" si="22"/>
        <v>28.01</v>
      </c>
      <c r="N157" s="8">
        <f t="shared" si="25"/>
        <v>28.01</v>
      </c>
      <c r="O157" s="25">
        <f t="shared" si="26"/>
        <v>5550.96</v>
      </c>
      <c r="P157" s="8">
        <f t="shared" si="23"/>
        <v>0</v>
      </c>
      <c r="Q157" s="4">
        <f>IF(AND(S157&gt;=[1]eRRSP_Rpt!$C$6,S157&lt;=[1]eRRSP_Rpt!$C$7),1,0)</f>
        <v>0</v>
      </c>
      <c r="R157" s="4"/>
      <c r="S157" s="4">
        <f t="shared" si="21"/>
        <v>2003</v>
      </c>
      <c r="T157" s="4"/>
      <c r="U157" s="4" t="str">
        <f t="shared" si="24"/>
        <v>DivTD CDN Bond</v>
      </c>
      <c r="V157" s="23">
        <f>IFERROR(IF(AND(AB157&gt;0,B157&lt;&gt;"Sell"),(AA157-SUMIF(C$4:C156,C157,AC$4:AC157))/AB157,0),"")</f>
        <v>-12.100018755029071</v>
      </c>
      <c r="W157" s="24" t="str">
        <f t="shared" si="20"/>
        <v/>
      </c>
      <c r="X157" s="25" t="str">
        <f t="shared" si="19"/>
        <v>TD CDN Bond_ACB</v>
      </c>
      <c r="Y157" s="10" t="str">
        <f>IF(S158&lt;&gt;eRRSP_Tx_Table[[#This Row],[Year]],SUMIFS($W$4:$W157,$S$4:$S157,eRRSP_Tx_Table[[#This Row],[Year]],$W$4:$W157,"&gt;0"),"")</f>
        <v/>
      </c>
      <c r="Z157" s="10" t="str">
        <f>IF(S158&lt;&gt;eRRSP_Tx_Table[[#This Row],[Year]],SUMIFS($W$4:$W157,$S$4:$S157,eRRSP_Tx_Table[[#This Row],[Year]],$W$4:$W157,"&lt;0"),"")</f>
        <v/>
      </c>
      <c r="AA157" s="3">
        <f>(SUMIF($U$4:$U157,CONCATENATE("Buy",$C157),$N$4:$N157)+SUMIF($U$4:$U157,CONCATENATE("ReinvDiv",$C157),$N$4:$N157))</f>
        <v>-2000</v>
      </c>
      <c r="AB157" s="3">
        <f>(SUMIF($U$4:$U157,CONCATENATE("Buy",$C157),$F$4:$F157)+SUMIF($U$4:$U157,CONCATENATE("ReinvDiv",$C157),$F$4:$F157)+SUMIF($U$4:$U157,CONCATENATE("StkSplit",$C157),$F$4:$F157)-SUMIF($U$4:$U157,CONCATENATE("Sell",$C157),$F$4:$F157))</f>
        <v>165.28899999999999</v>
      </c>
      <c r="AC157" s="3">
        <f>IF(B157="Sell",F157*INDEX(V:V,LOOKUP(2,1/(X$4:X156=CONCATENATE(C157,"_ACB")),ROW(V$4:V156))),0)</f>
        <v>0</v>
      </c>
    </row>
    <row r="158" spans="1:29" x14ac:dyDescent="0.25">
      <c r="A158" s="20">
        <v>37712</v>
      </c>
      <c r="B158" t="s">
        <v>42</v>
      </c>
      <c r="C158" t="s">
        <v>48</v>
      </c>
      <c r="D158" s="3">
        <v>3</v>
      </c>
      <c r="M158" s="21">
        <f t="shared" si="22"/>
        <v>3</v>
      </c>
      <c r="N158" s="8">
        <f t="shared" si="25"/>
        <v>3</v>
      </c>
      <c r="O158" s="25">
        <f t="shared" si="26"/>
        <v>5553.96</v>
      </c>
      <c r="P158" s="8">
        <f t="shared" si="23"/>
        <v>0</v>
      </c>
      <c r="Q158" s="4">
        <f>IF(AND(S158&gt;=[1]eRRSP_Rpt!$C$6,S158&lt;=[1]eRRSP_Rpt!$C$7),1,0)</f>
        <v>0</v>
      </c>
      <c r="R158" s="4"/>
      <c r="S158" s="4">
        <f t="shared" si="21"/>
        <v>2003</v>
      </c>
      <c r="T158" s="4"/>
      <c r="U158" s="4" t="str">
        <f t="shared" si="24"/>
        <v>DivTelus</v>
      </c>
      <c r="V158" s="23">
        <f>IFERROR(IF(AND(AB158&gt;0,B158&lt;&gt;"Sell"),(AA158-SUMIF(C$4:C157,C158,AC$4:AC158))/AB158,0),"")</f>
        <v>-40.450000000000003</v>
      </c>
      <c r="W158" s="24" t="str">
        <f t="shared" si="20"/>
        <v/>
      </c>
      <c r="X158" s="25" t="str">
        <f t="shared" si="19"/>
        <v>Telus_ACB</v>
      </c>
      <c r="Y158" s="10" t="str">
        <f>IF(S159&lt;&gt;eRRSP_Tx_Table[[#This Row],[Year]],SUMIFS($W$4:$W158,$S$4:$S158,eRRSP_Tx_Table[[#This Row],[Year]],$W$4:$W158,"&gt;0"),"")</f>
        <v/>
      </c>
      <c r="Z158" s="10" t="str">
        <f>IF(S159&lt;&gt;eRRSP_Tx_Table[[#This Row],[Year]],SUMIFS($W$4:$W158,$S$4:$S158,eRRSP_Tx_Table[[#This Row],[Year]],$W$4:$W158,"&lt;0"),"")</f>
        <v/>
      </c>
      <c r="AA158" s="3">
        <f>(SUMIF($U$4:$U158,CONCATENATE("Buy",$C158),$N$4:$N158)+SUMIF($U$4:$U158,CONCATENATE("ReinvDiv",$C158),$N$4:$N158))</f>
        <v>-809</v>
      </c>
      <c r="AB158" s="3">
        <f>(SUMIF($U$4:$U158,CONCATENATE("Buy",$C158),$F$4:$F158)+SUMIF($U$4:$U158,CONCATENATE("ReinvDiv",$C158),$F$4:$F158)+SUMIF($U$4:$U158,CONCATENATE("StkSplit",$C158),$F$4:$F158)-SUMIF($U$4:$U158,CONCATENATE("Sell",$C158),$F$4:$F158))</f>
        <v>20</v>
      </c>
      <c r="AC158" s="3">
        <f>IF(B158="Sell",F158*INDEX(V:V,LOOKUP(2,1/(X$4:X157=CONCATENATE(C158,"_ACB")),ROW(V$4:V157))),0)</f>
        <v>0</v>
      </c>
    </row>
    <row r="159" spans="1:29" x14ac:dyDescent="0.25">
      <c r="A159" s="20">
        <v>37726</v>
      </c>
      <c r="B159" t="s">
        <v>42</v>
      </c>
      <c r="C159" t="s">
        <v>46</v>
      </c>
      <c r="D159" s="3">
        <v>6</v>
      </c>
      <c r="M159" s="21">
        <f t="shared" si="22"/>
        <v>6</v>
      </c>
      <c r="N159" s="8">
        <f t="shared" si="25"/>
        <v>6</v>
      </c>
      <c r="O159" s="25">
        <f t="shared" si="26"/>
        <v>5559.96</v>
      </c>
      <c r="P159" s="8">
        <f t="shared" si="23"/>
        <v>0</v>
      </c>
      <c r="Q159" s="4">
        <f>IF(AND(S159&gt;=[1]eRRSP_Rpt!$C$6,S159&lt;=[1]eRRSP_Rpt!$C$7),1,0)</f>
        <v>0</v>
      </c>
      <c r="R159" s="4"/>
      <c r="S159" s="4">
        <f t="shared" si="21"/>
        <v>2003</v>
      </c>
      <c r="T159" s="4"/>
      <c r="U159" s="4" t="str">
        <f t="shared" si="24"/>
        <v>DivBCE</v>
      </c>
      <c r="V159" s="23">
        <f>IFERROR(IF(AND(AB159&gt;0,B159&lt;&gt;"Sell"),(AA159-SUMIF(C$4:C158,C159,AC$4:AC159))/AB159,0),"")</f>
        <v>-40.450000000000003</v>
      </c>
      <c r="W159" s="24" t="str">
        <f t="shared" si="20"/>
        <v/>
      </c>
      <c r="X159" s="25" t="str">
        <f t="shared" si="19"/>
        <v>BCE_ACB</v>
      </c>
      <c r="Y159" s="10" t="str">
        <f>IF(S160&lt;&gt;eRRSP_Tx_Table[[#This Row],[Year]],SUMIFS($W$4:$W159,$S$4:$S159,eRRSP_Tx_Table[[#This Row],[Year]],$W$4:$W159,"&gt;0"),"")</f>
        <v/>
      </c>
      <c r="Z159" s="10" t="str">
        <f>IF(S160&lt;&gt;eRRSP_Tx_Table[[#This Row],[Year]],SUMIFS($W$4:$W159,$S$4:$S159,eRRSP_Tx_Table[[#This Row],[Year]],$W$4:$W159,"&lt;0"),"")</f>
        <v/>
      </c>
      <c r="AA159" s="3">
        <f>(SUMIF($U$4:$U159,CONCATENATE("Buy",$C159),$N$4:$N159)+SUMIF($U$4:$U159,CONCATENATE("ReinvDiv",$C159),$N$4:$N159))</f>
        <v>-809</v>
      </c>
      <c r="AB159" s="3">
        <f>(SUMIF($U$4:$U159,CONCATENATE("Buy",$C159),$F$4:$F159)+SUMIF($U$4:$U159,CONCATENATE("ReinvDiv",$C159),$F$4:$F159)+SUMIF($U$4:$U159,CONCATENATE("StkSplit",$C159),$F$4:$F159)-SUMIF($U$4:$U159,CONCATENATE("Sell",$C159),$F$4:$F159))</f>
        <v>20</v>
      </c>
      <c r="AC159" s="3">
        <f>IF(B159="Sell",F159*INDEX(V:V,LOOKUP(2,1/(X$4:X158=CONCATENATE(C159,"_ACB")),ROW(V$4:V158))),0)</f>
        <v>0</v>
      </c>
    </row>
    <row r="160" spans="1:29" x14ac:dyDescent="0.25">
      <c r="A160" s="20">
        <v>37727</v>
      </c>
      <c r="B160" t="s">
        <v>43</v>
      </c>
      <c r="C160" t="s">
        <v>36</v>
      </c>
      <c r="D160" s="3">
        <v>3.53</v>
      </c>
      <c r="M160" s="21">
        <f t="shared" si="22"/>
        <v>3.53</v>
      </c>
      <c r="N160" s="8">
        <f t="shared" si="25"/>
        <v>3.53</v>
      </c>
      <c r="O160" s="25">
        <f t="shared" si="26"/>
        <v>5563.49</v>
      </c>
      <c r="P160" s="8">
        <f t="shared" si="23"/>
        <v>0</v>
      </c>
      <c r="Q160" s="4">
        <f>IF(AND(S160&gt;=[1]eRRSP_Rpt!$C$6,S160&lt;=[1]eRRSP_Rpt!$C$7),1,0)</f>
        <v>0</v>
      </c>
      <c r="R160" s="4"/>
      <c r="S160" s="4">
        <f t="shared" si="21"/>
        <v>2003</v>
      </c>
      <c r="T160" s="4"/>
      <c r="U160" s="4" t="str">
        <f t="shared" si="24"/>
        <v>IntIncTDW</v>
      </c>
      <c r="V160" s="23">
        <f>IFERROR(IF(AND(AB160&gt;0,B160&lt;&gt;"Sell"),(AA160-SUMIF(C$4:C159,C160,AC$4:AC160))/AB160,0),"")</f>
        <v>0</v>
      </c>
      <c r="W160" s="24" t="str">
        <f t="shared" si="20"/>
        <v/>
      </c>
      <c r="X160" s="25" t="str">
        <f t="shared" si="19"/>
        <v/>
      </c>
      <c r="Y160" s="10" t="str">
        <f>IF(S161&lt;&gt;eRRSP_Tx_Table[[#This Row],[Year]],SUMIFS($W$4:$W160,$S$4:$S160,eRRSP_Tx_Table[[#This Row],[Year]],$W$4:$W160,"&gt;0"),"")</f>
        <v/>
      </c>
      <c r="Z160" s="10" t="str">
        <f>IF(S161&lt;&gt;eRRSP_Tx_Table[[#This Row],[Year]],SUMIFS($W$4:$W160,$S$4:$S160,eRRSP_Tx_Table[[#This Row],[Year]],$W$4:$W160,"&lt;0"),"")</f>
        <v/>
      </c>
      <c r="AA160" s="3">
        <f>(SUMIF($U$4:$U160,CONCATENATE("Buy",$C160),$N$4:$N160)+SUMIF($U$4:$U160,CONCATENATE("ReinvDiv",$C160),$N$4:$N160))</f>
        <v>0</v>
      </c>
      <c r="AB160" s="3">
        <f>(SUMIF($U$4:$U160,CONCATENATE("Buy",$C160),$F$4:$F160)+SUMIF($U$4:$U160,CONCATENATE("ReinvDiv",$C160),$F$4:$F160)+SUMIF($U$4:$U160,CONCATENATE("StkSplit",$C160),$F$4:$F160)-SUMIF($U$4:$U160,CONCATENATE("Sell",$C160),$F$4:$F160))</f>
        <v>0</v>
      </c>
      <c r="AC160" s="3">
        <f>IF(B160="Sell",F160*INDEX(V:V,LOOKUP(2,1/(X$4:X159=CONCATENATE(C160,"_ACB")),ROW(V$4:V159))),0)</f>
        <v>0</v>
      </c>
    </row>
    <row r="161" spans="1:29" x14ac:dyDescent="0.25">
      <c r="A161" s="20">
        <v>37741</v>
      </c>
      <c r="B161" t="s">
        <v>42</v>
      </c>
      <c r="C161" t="s">
        <v>45</v>
      </c>
      <c r="D161" s="3">
        <v>5.6</v>
      </c>
      <c r="M161" s="21">
        <f t="shared" si="22"/>
        <v>5.6</v>
      </c>
      <c r="N161" s="8">
        <f t="shared" si="25"/>
        <v>5.6</v>
      </c>
      <c r="O161" s="25">
        <f t="shared" si="26"/>
        <v>5569.09</v>
      </c>
      <c r="P161" s="8">
        <f t="shared" si="23"/>
        <v>0</v>
      </c>
      <c r="Q161" s="4">
        <f>IF(AND(S161&gt;=[1]eRRSP_Rpt!$C$6,S161&lt;=[1]eRRSP_Rpt!$C$7),1,0)</f>
        <v>0</v>
      </c>
      <c r="R161" s="4"/>
      <c r="S161" s="4">
        <f t="shared" si="21"/>
        <v>2003</v>
      </c>
      <c r="T161" s="4"/>
      <c r="U161" s="4" t="str">
        <f t="shared" si="24"/>
        <v>DivTD Bank</v>
      </c>
      <c r="V161" s="23">
        <f>IFERROR(IF(AND(AB161&gt;0,B161&lt;&gt;"Sell"),(AA161-SUMIF(C$4:C160,C161,AC$4:AC161))/AB161,0),"")</f>
        <v>-44.29</v>
      </c>
      <c r="W161" s="24" t="str">
        <f t="shared" si="20"/>
        <v/>
      </c>
      <c r="X161" s="25" t="str">
        <f t="shared" si="19"/>
        <v>TD Bank_ACB</v>
      </c>
      <c r="Y161" s="10" t="str">
        <f>IF(S162&lt;&gt;eRRSP_Tx_Table[[#This Row],[Year]],SUMIFS($W$4:$W161,$S$4:$S161,eRRSP_Tx_Table[[#This Row],[Year]],$W$4:$W161,"&gt;0"),"")</f>
        <v/>
      </c>
      <c r="Z161" s="10" t="str">
        <f>IF(S162&lt;&gt;eRRSP_Tx_Table[[#This Row],[Year]],SUMIFS($W$4:$W161,$S$4:$S161,eRRSP_Tx_Table[[#This Row],[Year]],$W$4:$W161,"&lt;0"),"")</f>
        <v/>
      </c>
      <c r="AA161" s="3">
        <f>(SUMIF($U$4:$U161,CONCATENATE("Buy",$C161),$N$4:$N161)+SUMIF($U$4:$U161,CONCATENATE("ReinvDiv",$C161),$N$4:$N161))</f>
        <v>-885.8</v>
      </c>
      <c r="AB161" s="3">
        <f>(SUMIF($U$4:$U161,CONCATENATE("Buy",$C161),$F$4:$F161)+SUMIF($U$4:$U161,CONCATENATE("ReinvDiv",$C161),$F$4:$F161)+SUMIF($U$4:$U161,CONCATENATE("StkSplit",$C161),$F$4:$F161)-SUMIF($U$4:$U161,CONCATENATE("Sell",$C161),$F$4:$F161))</f>
        <v>20</v>
      </c>
      <c r="AC161" s="3">
        <f>IF(B161="Sell",F161*INDEX(V:V,LOOKUP(2,1/(X$4:X160=CONCATENATE(C161,"_ACB")),ROW(V$4:V160))),0)</f>
        <v>0</v>
      </c>
    </row>
    <row r="162" spans="1:29" x14ac:dyDescent="0.25">
      <c r="A162" s="20">
        <v>37757</v>
      </c>
      <c r="B162" t="s">
        <v>43</v>
      </c>
      <c r="C162" t="s">
        <v>36</v>
      </c>
      <c r="D162" s="3">
        <v>4.57</v>
      </c>
      <c r="M162" s="21">
        <f t="shared" si="22"/>
        <v>4.57</v>
      </c>
      <c r="N162" s="8">
        <f t="shared" si="25"/>
        <v>4.57</v>
      </c>
      <c r="O162" s="25">
        <f t="shared" si="26"/>
        <v>5573.66</v>
      </c>
      <c r="P162" s="8">
        <f t="shared" si="23"/>
        <v>0</v>
      </c>
      <c r="Q162" s="4">
        <f>IF(AND(S162&gt;=[1]eRRSP_Rpt!$C$6,S162&lt;=[1]eRRSP_Rpt!$C$7),1,0)</f>
        <v>0</v>
      </c>
      <c r="R162" s="4"/>
      <c r="S162" s="4">
        <f t="shared" si="21"/>
        <v>2003</v>
      </c>
      <c r="T162" s="4"/>
      <c r="U162" s="4" t="str">
        <f t="shared" si="24"/>
        <v>IntIncTDW</v>
      </c>
      <c r="V162" s="23">
        <f>IFERROR(IF(AND(AB162&gt;0,B162&lt;&gt;"Sell"),(AA162-SUMIF(C$4:C161,C162,AC$4:AC162))/AB162,0),"")</f>
        <v>0</v>
      </c>
      <c r="W162" s="24" t="str">
        <f t="shared" si="20"/>
        <v/>
      </c>
      <c r="X162" s="25" t="str">
        <f t="shared" si="19"/>
        <v/>
      </c>
      <c r="Y162" s="10" t="str">
        <f>IF(S163&lt;&gt;eRRSP_Tx_Table[[#This Row],[Year]],SUMIFS($W$4:$W162,$S$4:$S162,eRRSP_Tx_Table[[#This Row],[Year]],$W$4:$W162,"&gt;0"),"")</f>
        <v/>
      </c>
      <c r="Z162" s="10" t="str">
        <f>IF(S163&lt;&gt;eRRSP_Tx_Table[[#This Row],[Year]],SUMIFS($W$4:$W162,$S$4:$S162,eRRSP_Tx_Table[[#This Row],[Year]],$W$4:$W162,"&lt;0"),"")</f>
        <v/>
      </c>
      <c r="AA162" s="3">
        <f>(SUMIF($U$4:$U162,CONCATENATE("Buy",$C162),$N$4:$N162)+SUMIF($U$4:$U162,CONCATENATE("ReinvDiv",$C162),$N$4:$N162))</f>
        <v>0</v>
      </c>
      <c r="AB162" s="3">
        <f>(SUMIF($U$4:$U162,CONCATENATE("Buy",$C162),$F$4:$F162)+SUMIF($U$4:$U162,CONCATENATE("ReinvDiv",$C162),$F$4:$F162)+SUMIF($U$4:$U162,CONCATENATE("StkSplit",$C162),$F$4:$F162)-SUMIF($U$4:$U162,CONCATENATE("Sell",$C162),$F$4:$F162))</f>
        <v>0</v>
      </c>
      <c r="AC162" s="3">
        <f>IF(B162="Sell",F162*INDEX(V:V,LOOKUP(2,1/(X$4:X161=CONCATENATE(C162,"_ACB")),ROW(V$4:V161))),0)</f>
        <v>0</v>
      </c>
    </row>
    <row r="163" spans="1:29" x14ac:dyDescent="0.25">
      <c r="A163" s="20">
        <v>37772</v>
      </c>
      <c r="B163" t="s">
        <v>42</v>
      </c>
      <c r="C163" t="s">
        <v>47</v>
      </c>
      <c r="D163" s="3">
        <v>0.68</v>
      </c>
      <c r="M163" s="21">
        <f t="shared" si="22"/>
        <v>0.68</v>
      </c>
      <c r="N163" s="8">
        <f t="shared" si="25"/>
        <v>0.68</v>
      </c>
      <c r="O163" s="25">
        <f t="shared" si="26"/>
        <v>5574.34</v>
      </c>
      <c r="P163" s="8">
        <f t="shared" si="23"/>
        <v>0</v>
      </c>
      <c r="Q163" s="4">
        <f>IF(AND(S163&gt;=[1]eRRSP_Rpt!$C$6,S163&lt;=[1]eRRSP_Rpt!$C$7),1,0)</f>
        <v>0</v>
      </c>
      <c r="R163" s="4"/>
      <c r="S163" s="4">
        <f t="shared" si="21"/>
        <v>2003</v>
      </c>
      <c r="T163" s="4"/>
      <c r="U163" s="4" t="str">
        <f t="shared" si="24"/>
        <v>DivBombardier</v>
      </c>
      <c r="V163" s="23">
        <f>IFERROR(IF(AND(AB163&gt;0,B163&lt;&gt;"Sell"),(AA163-SUMIF(C$4:C162,C163,AC$4:AC163))/AB163,0),"")</f>
        <v>-23.216666666666665</v>
      </c>
      <c r="W163" s="24" t="str">
        <f t="shared" si="20"/>
        <v/>
      </c>
      <c r="X163" s="25" t="str">
        <f t="shared" si="19"/>
        <v>Bombardier_ACB</v>
      </c>
      <c r="Y163" s="10" t="str">
        <f>IF(S164&lt;&gt;eRRSP_Tx_Table[[#This Row],[Year]],SUMIFS($W$4:$W163,$S$4:$S163,eRRSP_Tx_Table[[#This Row],[Year]],$W$4:$W163,"&gt;0"),"")</f>
        <v/>
      </c>
      <c r="Z163" s="10" t="str">
        <f>IF(S164&lt;&gt;eRRSP_Tx_Table[[#This Row],[Year]],SUMIFS($W$4:$W163,$S$4:$S163,eRRSP_Tx_Table[[#This Row],[Year]],$W$4:$W163,"&lt;0"),"")</f>
        <v/>
      </c>
      <c r="AA163" s="3">
        <f>(SUMIF($U$4:$U163,CONCATENATE("Buy",$C163),$N$4:$N163)+SUMIF($U$4:$U163,CONCATENATE("ReinvDiv",$C163),$N$4:$N163))</f>
        <v>-696.5</v>
      </c>
      <c r="AB163" s="3">
        <f>(SUMIF($U$4:$U163,CONCATENATE("Buy",$C163),$F$4:$F163)+SUMIF($U$4:$U163,CONCATENATE("ReinvDiv",$C163),$F$4:$F163)+SUMIF($U$4:$U163,CONCATENATE("StkSplit",$C163),$F$4:$F163)-SUMIF($U$4:$U163,CONCATENATE("Sell",$C163),$F$4:$F163))</f>
        <v>30</v>
      </c>
      <c r="AC163" s="3">
        <f>IF(B163="Sell",F163*INDEX(V:V,LOOKUP(2,1/(X$4:X162=CONCATENATE(C163,"_ACB")),ROW(V$4:V162))),0)</f>
        <v>0</v>
      </c>
    </row>
    <row r="164" spans="1:29" x14ac:dyDescent="0.25">
      <c r="A164" s="20">
        <v>37773</v>
      </c>
      <c r="B164" t="s">
        <v>42</v>
      </c>
      <c r="C164" t="s">
        <v>33</v>
      </c>
      <c r="D164" s="3">
        <v>23.65</v>
      </c>
      <c r="M164" s="21">
        <f t="shared" si="22"/>
        <v>23.65</v>
      </c>
      <c r="N164" s="8">
        <f t="shared" si="25"/>
        <v>23.65</v>
      </c>
      <c r="O164" s="25">
        <f t="shared" si="26"/>
        <v>5597.99</v>
      </c>
      <c r="P164" s="8">
        <f t="shared" si="23"/>
        <v>0</v>
      </c>
      <c r="Q164" s="4">
        <f>IF(AND(S164&gt;=[1]eRRSP_Rpt!$C$6,S164&lt;=[1]eRRSP_Rpt!$C$7),1,0)</f>
        <v>0</v>
      </c>
      <c r="R164" s="4"/>
      <c r="S164" s="4">
        <f t="shared" si="21"/>
        <v>2003</v>
      </c>
      <c r="T164" s="4"/>
      <c r="U164" s="4" t="str">
        <f t="shared" si="24"/>
        <v>DivEnbridge</v>
      </c>
      <c r="V164" s="23">
        <f>IFERROR(IF(AND(AB164&gt;0,B164&lt;&gt;"Sell"),(AA164-SUMIF(C$4:C163,C164,AC$4:AC164))/AB164,0),"")</f>
        <v>-25.718055555555559</v>
      </c>
      <c r="W164" s="24" t="str">
        <f t="shared" si="20"/>
        <v/>
      </c>
      <c r="X164" s="25" t="str">
        <f t="shared" si="19"/>
        <v>Enbridge_ACB</v>
      </c>
      <c r="Y164" s="10" t="str">
        <f>IF(S165&lt;&gt;eRRSP_Tx_Table[[#This Row],[Year]],SUMIFS($W$4:$W164,$S$4:$S164,eRRSP_Tx_Table[[#This Row],[Year]],$W$4:$W164,"&gt;0"),"")</f>
        <v/>
      </c>
      <c r="Z164" s="10" t="str">
        <f>IF(S165&lt;&gt;eRRSP_Tx_Table[[#This Row],[Year]],SUMIFS($W$4:$W164,$S$4:$S164,eRRSP_Tx_Table[[#This Row],[Year]],$W$4:$W164,"&lt;0"),"")</f>
        <v/>
      </c>
      <c r="AA164" s="3">
        <f>(SUMIF($U$4:$U164,CONCATENATE("Buy",$C164),$N$4:$N164)+SUMIF($U$4:$U164,CONCATENATE("ReinvDiv",$C164),$N$4:$N164))</f>
        <v>-1851.7</v>
      </c>
      <c r="AB164" s="3">
        <f>(SUMIF($U$4:$U164,CONCATENATE("Buy",$C164),$F$4:$F164)+SUMIF($U$4:$U164,CONCATENATE("ReinvDiv",$C164),$F$4:$F164)+SUMIF($U$4:$U164,CONCATENATE("StkSplit",$C164),$F$4:$F164)-SUMIF($U$4:$U164,CONCATENATE("Sell",$C164),$F$4:$F164))</f>
        <v>57</v>
      </c>
      <c r="AC164" s="3">
        <f>IF(B164="Sell",F164*INDEX(V:V,LOOKUP(2,1/(X$4:X163=CONCATENATE(C164,"_ACB")),ROW(V$4:V163))),0)</f>
        <v>0</v>
      </c>
    </row>
    <row r="165" spans="1:29" x14ac:dyDescent="0.25">
      <c r="A165" s="20">
        <v>37785</v>
      </c>
      <c r="B165" t="s">
        <v>41</v>
      </c>
      <c r="C165" t="s">
        <v>39</v>
      </c>
      <c r="D165" s="3">
        <v>13.04</v>
      </c>
      <c r="E165">
        <v>9.3000000000000007</v>
      </c>
      <c r="F165" s="3">
        <v>1.4019999999999999</v>
      </c>
      <c r="M165" s="21">
        <f t="shared" si="22"/>
        <v>13.04</v>
      </c>
      <c r="N165" s="8">
        <f t="shared" si="25"/>
        <v>-13.04</v>
      </c>
      <c r="O165" s="25">
        <f t="shared" si="26"/>
        <v>5597.99</v>
      </c>
      <c r="P165" s="8">
        <f t="shared" si="23"/>
        <v>0</v>
      </c>
      <c r="Q165" s="4">
        <f>IF(AND(S165&gt;=[1]eRRSP_Rpt!$C$6,S165&lt;=[1]eRRSP_Rpt!$C$7),1,0)</f>
        <v>0</v>
      </c>
      <c r="R165" s="4"/>
      <c r="S165" s="4">
        <f t="shared" si="21"/>
        <v>2003</v>
      </c>
      <c r="T165" s="4"/>
      <c r="U165" s="4" t="str">
        <f t="shared" si="24"/>
        <v>ReinvDivTrimark Income Growth</v>
      </c>
      <c r="V165" s="23">
        <f>IFERROR(IF(AND(AB165&gt;0,B165&lt;&gt;"Sell"),(AA165-SUMIF(C$4:C164,C165,AC$4:AC165))/AB165,0),"")</f>
        <v>-7.795494955158941</v>
      </c>
      <c r="W165" s="24" t="str">
        <f t="shared" si="20"/>
        <v/>
      </c>
      <c r="X165" s="25" t="str">
        <f t="shared" si="19"/>
        <v>Trimark Income Growth_ACB</v>
      </c>
      <c r="Y165" s="10" t="str">
        <f>IF(S166&lt;&gt;eRRSP_Tx_Table[[#This Row],[Year]],SUMIFS($W$4:$W165,$S$4:$S165,eRRSP_Tx_Table[[#This Row],[Year]],$W$4:$W165,"&gt;0"),"")</f>
        <v/>
      </c>
      <c r="Z165" s="10" t="str">
        <f>IF(S166&lt;&gt;eRRSP_Tx_Table[[#This Row],[Year]],SUMIFS($W$4:$W165,$S$4:$S165,eRRSP_Tx_Table[[#This Row],[Year]],$W$4:$W165,"&lt;0"),"")</f>
        <v/>
      </c>
      <c r="AA165" s="3">
        <f>(SUMIF($U$4:$U165,CONCATENATE("Buy",$C165),$N$4:$N165)+SUMIF($U$4:$U165,CONCATENATE("ReinvDiv",$C165),$N$4:$N165))</f>
        <v>-2196.56</v>
      </c>
      <c r="AB165" s="3">
        <f>(SUMIF($U$4:$U165,CONCATENATE("Buy",$C165),$F$4:$F165)+SUMIF($U$4:$U165,CONCATENATE("ReinvDiv",$C165),$F$4:$F165)+SUMIF($U$4:$U165,CONCATENATE("StkSplit",$C165),$F$4:$F165)-SUMIF($U$4:$U165,CONCATENATE("Sell",$C165),$F$4:$F165))</f>
        <v>281.77299999999997</v>
      </c>
      <c r="AC165" s="3">
        <f>IF(B165="Sell",F165*INDEX(V:V,LOOKUP(2,1/(X$4:X164=CONCATENATE(C165,"_ACB")),ROW(V$4:V164))),0)</f>
        <v>0</v>
      </c>
    </row>
    <row r="166" spans="1:29" x14ac:dyDescent="0.25">
      <c r="A166" s="20">
        <v>37788</v>
      </c>
      <c r="B166" t="s">
        <v>43</v>
      </c>
      <c r="C166" t="s">
        <v>36</v>
      </c>
      <c r="D166" s="3">
        <v>4.74</v>
      </c>
      <c r="M166" s="21">
        <f t="shared" si="22"/>
        <v>4.74</v>
      </c>
      <c r="N166" s="8">
        <f t="shared" si="25"/>
        <v>4.74</v>
      </c>
      <c r="O166" s="25">
        <f t="shared" si="26"/>
        <v>5602.73</v>
      </c>
      <c r="P166" s="8">
        <f t="shared" si="23"/>
        <v>0</v>
      </c>
      <c r="Q166" s="4">
        <f>IF(AND(S166&gt;=[1]eRRSP_Rpt!$C$6,S166&lt;=[1]eRRSP_Rpt!$C$7),1,0)</f>
        <v>0</v>
      </c>
      <c r="R166" s="4"/>
      <c r="S166" s="4">
        <f t="shared" si="21"/>
        <v>2003</v>
      </c>
      <c r="T166" s="4"/>
      <c r="U166" s="4" t="str">
        <f t="shared" si="24"/>
        <v>IntIncTDW</v>
      </c>
      <c r="V166" s="23">
        <f>IFERROR(IF(AND(AB166&gt;0,B166&lt;&gt;"Sell"),(AA166-SUMIF(C$4:C165,C166,AC$4:AC166))/AB166,0),"")</f>
        <v>0</v>
      </c>
      <c r="W166" s="24" t="str">
        <f t="shared" si="20"/>
        <v/>
      </c>
      <c r="X166" s="25" t="str">
        <f t="shared" si="19"/>
        <v/>
      </c>
      <c r="Y166" s="10" t="str">
        <f>IF(S167&lt;&gt;eRRSP_Tx_Table[[#This Row],[Year]],SUMIFS($W$4:$W166,$S$4:$S166,eRRSP_Tx_Table[[#This Row],[Year]],$W$4:$W166,"&gt;0"),"")</f>
        <v/>
      </c>
      <c r="Z166" s="10" t="str">
        <f>IF(S167&lt;&gt;eRRSP_Tx_Table[[#This Row],[Year]],SUMIFS($W$4:$W166,$S$4:$S166,eRRSP_Tx_Table[[#This Row],[Year]],$W$4:$W166,"&lt;0"),"")</f>
        <v/>
      </c>
      <c r="AA166" s="3">
        <f>(SUMIF($U$4:$U166,CONCATENATE("Buy",$C166),$N$4:$N166)+SUMIF($U$4:$U166,CONCATENATE("ReinvDiv",$C166),$N$4:$N166))</f>
        <v>0</v>
      </c>
      <c r="AB166" s="3">
        <f>(SUMIF($U$4:$U166,CONCATENATE("Buy",$C166),$F$4:$F166)+SUMIF($U$4:$U166,CONCATENATE("ReinvDiv",$C166),$F$4:$F166)+SUMIF($U$4:$U166,CONCATENATE("StkSplit",$C166),$F$4:$F166)-SUMIF($U$4:$U166,CONCATENATE("Sell",$C166),$F$4:$F166))</f>
        <v>0</v>
      </c>
      <c r="AC166" s="3">
        <f>IF(B166="Sell",F166*INDEX(V:V,LOOKUP(2,1/(X$4:X165=CONCATENATE(C166,"_ACB")),ROW(V$4:V165))),0)</f>
        <v>0</v>
      </c>
    </row>
    <row r="167" spans="1:29" x14ac:dyDescent="0.25">
      <c r="A167" s="20">
        <v>37799</v>
      </c>
      <c r="B167" t="s">
        <v>42</v>
      </c>
      <c r="C167" t="s">
        <v>53</v>
      </c>
      <c r="D167" s="3">
        <v>27.27</v>
      </c>
      <c r="M167" s="21">
        <f t="shared" si="22"/>
        <v>27.27</v>
      </c>
      <c r="N167" s="8">
        <f t="shared" si="25"/>
        <v>27.27</v>
      </c>
      <c r="O167" s="25">
        <f t="shared" si="26"/>
        <v>5630</v>
      </c>
      <c r="P167" s="8">
        <f t="shared" si="23"/>
        <v>0</v>
      </c>
      <c r="Q167" s="4">
        <f>IF(AND(S167&gt;=[1]eRRSP_Rpt!$C$6,S167&lt;=[1]eRRSP_Rpt!$C$7),1,0)</f>
        <v>0</v>
      </c>
      <c r="R167" s="4"/>
      <c r="S167" s="4">
        <f t="shared" si="21"/>
        <v>2003</v>
      </c>
      <c r="T167" s="4"/>
      <c r="U167" s="4" t="str">
        <f t="shared" si="24"/>
        <v>DivTD CDN Bond</v>
      </c>
      <c r="V167" s="23">
        <f>IFERROR(IF(AND(AB167&gt;0,B167&lt;&gt;"Sell"),(AA167-SUMIF(C$4:C166,C167,AC$4:AC167))/AB167,0),"")</f>
        <v>-12.100018755029071</v>
      </c>
      <c r="W167" s="24" t="str">
        <f t="shared" si="20"/>
        <v/>
      </c>
      <c r="X167" s="25" t="str">
        <f t="shared" si="19"/>
        <v>TD CDN Bond_ACB</v>
      </c>
      <c r="Y167" s="10" t="str">
        <f>IF(S168&lt;&gt;eRRSP_Tx_Table[[#This Row],[Year]],SUMIFS($W$4:$W167,$S$4:$S167,eRRSP_Tx_Table[[#This Row],[Year]],$W$4:$W167,"&gt;0"),"")</f>
        <v/>
      </c>
      <c r="Z167" s="10" t="str">
        <f>IF(S168&lt;&gt;eRRSP_Tx_Table[[#This Row],[Year]],SUMIFS($W$4:$W167,$S$4:$S167,eRRSP_Tx_Table[[#This Row],[Year]],$W$4:$W167,"&lt;0"),"")</f>
        <v/>
      </c>
      <c r="AA167" s="3">
        <f>(SUMIF($U$4:$U167,CONCATENATE("Buy",$C167),$N$4:$N167)+SUMIF($U$4:$U167,CONCATENATE("ReinvDiv",$C167),$N$4:$N167))</f>
        <v>-2000</v>
      </c>
      <c r="AB167" s="3">
        <f>(SUMIF($U$4:$U167,CONCATENATE("Buy",$C167),$F$4:$F167)+SUMIF($U$4:$U167,CONCATENATE("ReinvDiv",$C167),$F$4:$F167)+SUMIF($U$4:$U167,CONCATENATE("StkSplit",$C167),$F$4:$F167)-SUMIF($U$4:$U167,CONCATENATE("Sell",$C167),$F$4:$F167))</f>
        <v>165.28899999999999</v>
      </c>
      <c r="AC167" s="3">
        <f>IF(B167="Sell",F167*INDEX(V:V,LOOKUP(2,1/(X$4:X166=CONCATENATE(C167,"_ACB")),ROW(V$4:V166))),0)</f>
        <v>0</v>
      </c>
    </row>
    <row r="168" spans="1:29" x14ac:dyDescent="0.25">
      <c r="A168" s="20">
        <v>37803</v>
      </c>
      <c r="B168" t="s">
        <v>42</v>
      </c>
      <c r="C168" t="s">
        <v>48</v>
      </c>
      <c r="D168" s="3">
        <v>3</v>
      </c>
      <c r="M168" s="21">
        <f t="shared" si="22"/>
        <v>3</v>
      </c>
      <c r="N168" s="8">
        <f t="shared" si="25"/>
        <v>3</v>
      </c>
      <c r="O168" s="25">
        <f t="shared" si="26"/>
        <v>5633</v>
      </c>
      <c r="P168" s="8">
        <f t="shared" si="23"/>
        <v>0</v>
      </c>
      <c r="Q168" s="4">
        <f>IF(AND(S168&gt;=[1]eRRSP_Rpt!$C$6,S168&lt;=[1]eRRSP_Rpt!$C$7),1,0)</f>
        <v>0</v>
      </c>
      <c r="R168" s="4"/>
      <c r="S168" s="4">
        <f t="shared" si="21"/>
        <v>2003</v>
      </c>
      <c r="T168" s="4"/>
      <c r="U168" s="4" t="str">
        <f t="shared" si="24"/>
        <v>DivTelus</v>
      </c>
      <c r="V168" s="23">
        <f>IFERROR(IF(AND(AB168&gt;0,B168&lt;&gt;"Sell"),(AA168-SUMIF(C$4:C167,C168,AC$4:AC168))/AB168,0),"")</f>
        <v>-40.450000000000003</v>
      </c>
      <c r="W168" s="24" t="str">
        <f t="shared" si="20"/>
        <v/>
      </c>
      <c r="X168" s="25" t="str">
        <f t="shared" si="19"/>
        <v>Telus_ACB</v>
      </c>
      <c r="Y168" s="10" t="str">
        <f>IF(S169&lt;&gt;eRRSP_Tx_Table[[#This Row],[Year]],SUMIFS($W$4:$W168,$S$4:$S168,eRRSP_Tx_Table[[#This Row],[Year]],$W$4:$W168,"&gt;0"),"")</f>
        <v/>
      </c>
      <c r="Z168" s="10" t="str">
        <f>IF(S169&lt;&gt;eRRSP_Tx_Table[[#This Row],[Year]],SUMIFS($W$4:$W168,$S$4:$S168,eRRSP_Tx_Table[[#This Row],[Year]],$W$4:$W168,"&lt;0"),"")</f>
        <v/>
      </c>
      <c r="AA168" s="3">
        <f>(SUMIF($U$4:$U168,CONCATENATE("Buy",$C168),$N$4:$N168)+SUMIF($U$4:$U168,CONCATENATE("ReinvDiv",$C168),$N$4:$N168))</f>
        <v>-809</v>
      </c>
      <c r="AB168" s="3">
        <f>(SUMIF($U$4:$U168,CONCATENATE("Buy",$C168),$F$4:$F168)+SUMIF($U$4:$U168,CONCATENATE("ReinvDiv",$C168),$F$4:$F168)+SUMIF($U$4:$U168,CONCATENATE("StkSplit",$C168),$F$4:$F168)-SUMIF($U$4:$U168,CONCATENATE("Sell",$C168),$F$4:$F168))</f>
        <v>20</v>
      </c>
      <c r="AC168" s="3">
        <f>IF(B168="Sell",F168*INDEX(V:V,LOOKUP(2,1/(X$4:X167=CONCATENATE(C168,"_ACB")),ROW(V$4:V167))),0)</f>
        <v>0</v>
      </c>
    </row>
    <row r="169" spans="1:29" x14ac:dyDescent="0.25">
      <c r="A169" s="20">
        <v>37817</v>
      </c>
      <c r="B169" t="s">
        <v>42</v>
      </c>
      <c r="C169" t="s">
        <v>46</v>
      </c>
      <c r="D169" s="3">
        <v>6</v>
      </c>
      <c r="M169" s="21">
        <f t="shared" si="22"/>
        <v>6</v>
      </c>
      <c r="N169" s="8">
        <f t="shared" si="25"/>
        <v>6</v>
      </c>
      <c r="O169" s="25">
        <f t="shared" si="26"/>
        <v>5639</v>
      </c>
      <c r="P169" s="8">
        <f t="shared" si="23"/>
        <v>0</v>
      </c>
      <c r="Q169" s="4">
        <f>IF(AND(S169&gt;=[1]eRRSP_Rpt!$C$6,S169&lt;=[1]eRRSP_Rpt!$C$7),1,0)</f>
        <v>0</v>
      </c>
      <c r="R169" s="4"/>
      <c r="S169" s="4">
        <f t="shared" si="21"/>
        <v>2003</v>
      </c>
      <c r="T169" s="4"/>
      <c r="U169" s="4" t="str">
        <f t="shared" si="24"/>
        <v>DivBCE</v>
      </c>
      <c r="V169" s="23">
        <f>IFERROR(IF(AND(AB169&gt;0,B169&lt;&gt;"Sell"),(AA169-SUMIF(C$4:C168,C169,AC$4:AC169))/AB169,0),"")</f>
        <v>-40.450000000000003</v>
      </c>
      <c r="W169" s="24" t="str">
        <f t="shared" si="20"/>
        <v/>
      </c>
      <c r="X169" s="25" t="str">
        <f t="shared" si="19"/>
        <v>BCE_ACB</v>
      </c>
      <c r="Y169" s="10" t="str">
        <f>IF(S170&lt;&gt;eRRSP_Tx_Table[[#This Row],[Year]],SUMIFS($W$4:$W169,$S$4:$S169,eRRSP_Tx_Table[[#This Row],[Year]],$W$4:$W169,"&gt;0"),"")</f>
        <v/>
      </c>
      <c r="Z169" s="10" t="str">
        <f>IF(S170&lt;&gt;eRRSP_Tx_Table[[#This Row],[Year]],SUMIFS($W$4:$W169,$S$4:$S169,eRRSP_Tx_Table[[#This Row],[Year]],$W$4:$W169,"&lt;0"),"")</f>
        <v/>
      </c>
      <c r="AA169" s="3">
        <f>(SUMIF($U$4:$U169,CONCATENATE("Buy",$C169),$N$4:$N169)+SUMIF($U$4:$U169,CONCATENATE("ReinvDiv",$C169),$N$4:$N169))</f>
        <v>-809</v>
      </c>
      <c r="AB169" s="3">
        <f>(SUMIF($U$4:$U169,CONCATENATE("Buy",$C169),$F$4:$F169)+SUMIF($U$4:$U169,CONCATENATE("ReinvDiv",$C169),$F$4:$F169)+SUMIF($U$4:$U169,CONCATENATE("StkSplit",$C169),$F$4:$F169)-SUMIF($U$4:$U169,CONCATENATE("Sell",$C169),$F$4:$F169))</f>
        <v>20</v>
      </c>
      <c r="AC169" s="3">
        <f>IF(B169="Sell",F169*INDEX(V:V,LOOKUP(2,1/(X$4:X168=CONCATENATE(C169,"_ACB")),ROW(V$4:V168))),0)</f>
        <v>0</v>
      </c>
    </row>
    <row r="170" spans="1:29" x14ac:dyDescent="0.25">
      <c r="A170" s="20">
        <v>37818</v>
      </c>
      <c r="B170" t="s">
        <v>43</v>
      </c>
      <c r="C170" t="s">
        <v>36</v>
      </c>
      <c r="D170" s="3">
        <v>4.62</v>
      </c>
      <c r="M170" s="21">
        <f t="shared" si="22"/>
        <v>4.62</v>
      </c>
      <c r="N170" s="8">
        <f t="shared" si="25"/>
        <v>4.62</v>
      </c>
      <c r="O170" s="25">
        <f t="shared" si="26"/>
        <v>5643.62</v>
      </c>
      <c r="P170" s="8">
        <f t="shared" si="23"/>
        <v>0</v>
      </c>
      <c r="Q170" s="4">
        <f>IF(AND(S170&gt;=[1]eRRSP_Rpt!$C$6,S170&lt;=[1]eRRSP_Rpt!$C$7),1,0)</f>
        <v>0</v>
      </c>
      <c r="R170" s="4"/>
      <c r="S170" s="4">
        <f t="shared" si="21"/>
        <v>2003</v>
      </c>
      <c r="T170" s="4"/>
      <c r="U170" s="4" t="str">
        <f t="shared" si="24"/>
        <v>IntIncTDW</v>
      </c>
      <c r="V170" s="23">
        <f>IFERROR(IF(AND(AB170&gt;0,B170&lt;&gt;"Sell"),(AA170-SUMIF(C$4:C169,C170,AC$4:AC170))/AB170,0),"")</f>
        <v>0</v>
      </c>
      <c r="W170" s="24" t="str">
        <f t="shared" si="20"/>
        <v/>
      </c>
      <c r="X170" s="25" t="str">
        <f t="shared" si="19"/>
        <v/>
      </c>
      <c r="Y170" s="10" t="str">
        <f>IF(S171&lt;&gt;eRRSP_Tx_Table[[#This Row],[Year]],SUMIFS($W$4:$W170,$S$4:$S170,eRRSP_Tx_Table[[#This Row],[Year]],$W$4:$W170,"&gt;0"),"")</f>
        <v/>
      </c>
      <c r="Z170" s="10" t="str">
        <f>IF(S171&lt;&gt;eRRSP_Tx_Table[[#This Row],[Year]],SUMIFS($W$4:$W170,$S$4:$S170,eRRSP_Tx_Table[[#This Row],[Year]],$W$4:$W170,"&lt;0"),"")</f>
        <v/>
      </c>
      <c r="AA170" s="3">
        <f>(SUMIF($U$4:$U170,CONCATENATE("Buy",$C170),$N$4:$N170)+SUMIF($U$4:$U170,CONCATENATE("ReinvDiv",$C170),$N$4:$N170))</f>
        <v>0</v>
      </c>
      <c r="AB170" s="3">
        <f>(SUMIF($U$4:$U170,CONCATENATE("Buy",$C170),$F$4:$F170)+SUMIF($U$4:$U170,CONCATENATE("ReinvDiv",$C170),$F$4:$F170)+SUMIF($U$4:$U170,CONCATENATE("StkSplit",$C170),$F$4:$F170)-SUMIF($U$4:$U170,CONCATENATE("Sell",$C170),$F$4:$F170))</f>
        <v>0</v>
      </c>
      <c r="AC170" s="3">
        <f>IF(B170="Sell",F170*INDEX(V:V,LOOKUP(2,1/(X$4:X169=CONCATENATE(C170,"_ACB")),ROW(V$4:V169))),0)</f>
        <v>0</v>
      </c>
    </row>
    <row r="171" spans="1:29" x14ac:dyDescent="0.25">
      <c r="A171" s="20">
        <v>37833</v>
      </c>
      <c r="B171" t="s">
        <v>42</v>
      </c>
      <c r="C171" t="s">
        <v>47</v>
      </c>
      <c r="D171" s="3">
        <v>0.68</v>
      </c>
      <c r="M171" s="21">
        <f t="shared" si="22"/>
        <v>0.68</v>
      </c>
      <c r="N171" s="8">
        <f t="shared" si="25"/>
        <v>0.68</v>
      </c>
      <c r="O171" s="25">
        <f t="shared" si="26"/>
        <v>5644.3</v>
      </c>
      <c r="P171" s="8">
        <f t="shared" si="23"/>
        <v>0</v>
      </c>
      <c r="Q171" s="4">
        <f>IF(AND(S171&gt;=[1]eRRSP_Rpt!$C$6,S171&lt;=[1]eRRSP_Rpt!$C$7),1,0)</f>
        <v>0</v>
      </c>
      <c r="R171" s="4"/>
      <c r="S171" s="4">
        <f t="shared" si="21"/>
        <v>2003</v>
      </c>
      <c r="T171" s="4"/>
      <c r="U171" s="4" t="str">
        <f t="shared" si="24"/>
        <v>DivBombardier</v>
      </c>
      <c r="V171" s="23">
        <f>IFERROR(IF(AND(AB171&gt;0,B171&lt;&gt;"Sell"),(AA171-SUMIF(C$4:C170,C171,AC$4:AC171))/AB171,0),"")</f>
        <v>-23.216666666666665</v>
      </c>
      <c r="W171" s="24" t="str">
        <f t="shared" si="20"/>
        <v/>
      </c>
      <c r="X171" s="25" t="str">
        <f t="shared" si="19"/>
        <v>Bombardier_ACB</v>
      </c>
      <c r="Y171" s="10" t="str">
        <f>IF(S172&lt;&gt;eRRSP_Tx_Table[[#This Row],[Year]],SUMIFS($W$4:$W171,$S$4:$S171,eRRSP_Tx_Table[[#This Row],[Year]],$W$4:$W171,"&gt;0"),"")</f>
        <v/>
      </c>
      <c r="Z171" s="10" t="str">
        <f>IF(S172&lt;&gt;eRRSP_Tx_Table[[#This Row],[Year]],SUMIFS($W$4:$W171,$S$4:$S171,eRRSP_Tx_Table[[#This Row],[Year]],$W$4:$W171,"&lt;0"),"")</f>
        <v/>
      </c>
      <c r="AA171" s="3">
        <f>(SUMIF($U$4:$U171,CONCATENATE("Buy",$C171),$N$4:$N171)+SUMIF($U$4:$U171,CONCATENATE("ReinvDiv",$C171),$N$4:$N171))</f>
        <v>-696.5</v>
      </c>
      <c r="AB171" s="3">
        <f>(SUMIF($U$4:$U171,CONCATENATE("Buy",$C171),$F$4:$F171)+SUMIF($U$4:$U171,CONCATENATE("ReinvDiv",$C171),$F$4:$F171)+SUMIF($U$4:$U171,CONCATENATE("StkSplit",$C171),$F$4:$F171)-SUMIF($U$4:$U171,CONCATENATE("Sell",$C171),$F$4:$F171))</f>
        <v>30</v>
      </c>
      <c r="AC171" s="3">
        <f>IF(B171="Sell",F171*INDEX(V:V,LOOKUP(2,1/(X$4:X170=CONCATENATE(C171,"_ACB")),ROW(V$4:V170))),0)</f>
        <v>0</v>
      </c>
    </row>
    <row r="172" spans="1:29" x14ac:dyDescent="0.25">
      <c r="A172" s="20">
        <v>37833</v>
      </c>
      <c r="B172" t="s">
        <v>42</v>
      </c>
      <c r="C172" t="s">
        <v>45</v>
      </c>
      <c r="D172" s="3">
        <v>5.6</v>
      </c>
      <c r="M172" s="21">
        <f t="shared" si="22"/>
        <v>5.6</v>
      </c>
      <c r="N172" s="8">
        <f t="shared" si="25"/>
        <v>5.6</v>
      </c>
      <c r="O172" s="25">
        <f t="shared" si="26"/>
        <v>5649.9000000000005</v>
      </c>
      <c r="P172" s="8">
        <f t="shared" si="23"/>
        <v>0</v>
      </c>
      <c r="Q172" s="4">
        <f>IF(AND(S172&gt;=[1]eRRSP_Rpt!$C$6,S172&lt;=[1]eRRSP_Rpt!$C$7),1,0)</f>
        <v>0</v>
      </c>
      <c r="R172" s="4"/>
      <c r="S172" s="4">
        <f t="shared" si="21"/>
        <v>2003</v>
      </c>
      <c r="T172" s="4"/>
      <c r="U172" s="4" t="str">
        <f t="shared" si="24"/>
        <v>DivTD Bank</v>
      </c>
      <c r="V172" s="23">
        <f>IFERROR(IF(AND(AB172&gt;0,B172&lt;&gt;"Sell"),(AA172-SUMIF(C$4:C171,C172,AC$4:AC172))/AB172,0),"")</f>
        <v>-44.29</v>
      </c>
      <c r="W172" s="24" t="str">
        <f t="shared" si="20"/>
        <v/>
      </c>
      <c r="X172" s="25" t="str">
        <f t="shared" si="19"/>
        <v>TD Bank_ACB</v>
      </c>
      <c r="Y172" s="10" t="str">
        <f>IF(S173&lt;&gt;eRRSP_Tx_Table[[#This Row],[Year]],SUMIFS($W$4:$W172,$S$4:$S172,eRRSP_Tx_Table[[#This Row],[Year]],$W$4:$W172,"&gt;0"),"")</f>
        <v/>
      </c>
      <c r="Z172" s="10" t="str">
        <f>IF(S173&lt;&gt;eRRSP_Tx_Table[[#This Row],[Year]],SUMIFS($W$4:$W172,$S$4:$S172,eRRSP_Tx_Table[[#This Row],[Year]],$W$4:$W172,"&lt;0"),"")</f>
        <v/>
      </c>
      <c r="AA172" s="3">
        <f>(SUMIF($U$4:$U172,CONCATENATE("Buy",$C172),$N$4:$N172)+SUMIF($U$4:$U172,CONCATENATE("ReinvDiv",$C172),$N$4:$N172))</f>
        <v>-885.8</v>
      </c>
      <c r="AB172" s="3">
        <f>(SUMIF($U$4:$U172,CONCATENATE("Buy",$C172),$F$4:$F172)+SUMIF($U$4:$U172,CONCATENATE("ReinvDiv",$C172),$F$4:$F172)+SUMIF($U$4:$U172,CONCATENATE("StkSplit",$C172),$F$4:$F172)-SUMIF($U$4:$U172,CONCATENATE("Sell",$C172),$F$4:$F172))</f>
        <v>20</v>
      </c>
      <c r="AC172" s="3">
        <f>IF(B172="Sell",F172*INDEX(V:V,LOOKUP(2,1/(X$4:X171=CONCATENATE(C172,"_ACB")),ROW(V$4:V171))),0)</f>
        <v>0</v>
      </c>
    </row>
    <row r="173" spans="1:29" x14ac:dyDescent="0.25">
      <c r="A173" s="20">
        <v>37833</v>
      </c>
      <c r="B173" t="s">
        <v>32</v>
      </c>
      <c r="C173" t="s">
        <v>62</v>
      </c>
      <c r="D173" s="3">
        <v>2000</v>
      </c>
      <c r="E173">
        <v>12.82</v>
      </c>
      <c r="F173" s="3">
        <v>156.006</v>
      </c>
      <c r="M173" s="21">
        <f t="shared" si="22"/>
        <v>2000</v>
      </c>
      <c r="N173" s="8">
        <f t="shared" si="25"/>
        <v>-2000</v>
      </c>
      <c r="O173" s="25">
        <f t="shared" si="26"/>
        <v>3649.9000000000005</v>
      </c>
      <c r="P173" s="8">
        <f t="shared" si="23"/>
        <v>0</v>
      </c>
      <c r="Q173" s="4">
        <f>IF(AND(S173&gt;=[1]eRRSP_Rpt!$C$6,S173&lt;=[1]eRRSP_Rpt!$C$7),1,0)</f>
        <v>0</v>
      </c>
      <c r="R173" s="4"/>
      <c r="S173" s="4">
        <f t="shared" si="21"/>
        <v>2003</v>
      </c>
      <c r="T173" s="4"/>
      <c r="U173" s="4" t="str">
        <f t="shared" si="24"/>
        <v>BuyTD RR Bond</v>
      </c>
      <c r="V173" s="23">
        <f>IFERROR(IF(AND(AB173&gt;0,B173&lt;&gt;"Sell"),(AA173-SUMIF(C$4:C172,C173,AC$4:AC173))/AB173,0),"")</f>
        <v>-12.820019742830404</v>
      </c>
      <c r="W173" s="24" t="str">
        <f t="shared" si="20"/>
        <v/>
      </c>
      <c r="X173" s="25" t="str">
        <f t="shared" si="19"/>
        <v>TD RR Bond_ACB</v>
      </c>
      <c r="Y173" s="10" t="str">
        <f>IF(S174&lt;&gt;eRRSP_Tx_Table[[#This Row],[Year]],SUMIFS($W$4:$W173,$S$4:$S173,eRRSP_Tx_Table[[#This Row],[Year]],$W$4:$W173,"&gt;0"),"")</f>
        <v/>
      </c>
      <c r="Z173" s="10" t="str">
        <f>IF(S174&lt;&gt;eRRSP_Tx_Table[[#This Row],[Year]],SUMIFS($W$4:$W173,$S$4:$S173,eRRSP_Tx_Table[[#This Row],[Year]],$W$4:$W173,"&lt;0"),"")</f>
        <v/>
      </c>
      <c r="AA173" s="3">
        <f>(SUMIF($U$4:$U173,CONCATENATE("Buy",$C173),$N$4:$N173)+SUMIF($U$4:$U173,CONCATENATE("ReinvDiv",$C173),$N$4:$N173))</f>
        <v>-2000</v>
      </c>
      <c r="AB173" s="3">
        <f>(SUMIF($U$4:$U173,CONCATENATE("Buy",$C173),$F$4:$F173)+SUMIF($U$4:$U173,CONCATENATE("ReinvDiv",$C173),$F$4:$F173)+SUMIF($U$4:$U173,CONCATENATE("StkSplit",$C173),$F$4:$F173)-SUMIF($U$4:$U173,CONCATENATE("Sell",$C173),$F$4:$F173))</f>
        <v>156.006</v>
      </c>
      <c r="AC173" s="3">
        <f>IF(B173="Sell",F173*INDEX(V:V,LOOKUP(2,1/(X$4:X172=CONCATENATE(C173,"_ACB")),ROW(V$4:V172))),0)</f>
        <v>0</v>
      </c>
    </row>
    <row r="174" spans="1:29" x14ac:dyDescent="0.25">
      <c r="A174" s="20">
        <v>37849</v>
      </c>
      <c r="B174" t="s">
        <v>43</v>
      </c>
      <c r="C174" t="s">
        <v>36</v>
      </c>
      <c r="D174" s="3">
        <v>2.93</v>
      </c>
      <c r="M174" s="21">
        <f t="shared" si="22"/>
        <v>2.93</v>
      </c>
      <c r="N174" s="8">
        <f t="shared" si="25"/>
        <v>2.93</v>
      </c>
      <c r="O174" s="25">
        <f t="shared" si="26"/>
        <v>3652.8300000000004</v>
      </c>
      <c r="P174" s="8">
        <f t="shared" si="23"/>
        <v>0</v>
      </c>
      <c r="Q174" s="4">
        <f>IF(AND(S174&gt;=[1]eRRSP_Rpt!$C$6,S174&lt;=[1]eRRSP_Rpt!$C$7),1,0)</f>
        <v>0</v>
      </c>
      <c r="R174" s="4"/>
      <c r="S174" s="4">
        <f t="shared" si="21"/>
        <v>2003</v>
      </c>
      <c r="T174" s="4"/>
      <c r="U174" s="4" t="str">
        <f t="shared" si="24"/>
        <v>IntIncTDW</v>
      </c>
      <c r="V174" s="23">
        <f>IFERROR(IF(AND(AB174&gt;0,B174&lt;&gt;"Sell"),(AA174-SUMIF(C$4:C173,C174,AC$4:AC174))/AB174,0),"")</f>
        <v>0</v>
      </c>
      <c r="W174" s="24" t="str">
        <f t="shared" si="20"/>
        <v/>
      </c>
      <c r="X174" s="25" t="str">
        <f t="shared" si="19"/>
        <v/>
      </c>
      <c r="Y174" s="10" t="str">
        <f>IF(S175&lt;&gt;eRRSP_Tx_Table[[#This Row],[Year]],SUMIFS($W$4:$W174,$S$4:$S174,eRRSP_Tx_Table[[#This Row],[Year]],$W$4:$W174,"&gt;0"),"")</f>
        <v/>
      </c>
      <c r="Z174" s="10" t="str">
        <f>IF(S175&lt;&gt;eRRSP_Tx_Table[[#This Row],[Year]],SUMIFS($W$4:$W174,$S$4:$S174,eRRSP_Tx_Table[[#This Row],[Year]],$W$4:$W174,"&lt;0"),"")</f>
        <v/>
      </c>
      <c r="AA174" s="3">
        <f>(SUMIF($U$4:$U174,CONCATENATE("Buy",$C174),$N$4:$N174)+SUMIF($U$4:$U174,CONCATENATE("ReinvDiv",$C174),$N$4:$N174))</f>
        <v>0</v>
      </c>
      <c r="AB174" s="3">
        <f>(SUMIF($U$4:$U174,CONCATENATE("Buy",$C174),$F$4:$F174)+SUMIF($U$4:$U174,CONCATENATE("ReinvDiv",$C174),$F$4:$F174)+SUMIF($U$4:$U174,CONCATENATE("StkSplit",$C174),$F$4:$F174)-SUMIF($U$4:$U174,CONCATENATE("Sell",$C174),$F$4:$F174))</f>
        <v>0</v>
      </c>
      <c r="AC174" s="3">
        <f>IF(B174="Sell",F174*INDEX(V:V,LOOKUP(2,1/(X$4:X173=CONCATENATE(C174,"_ACB")),ROW(V$4:V173))),0)</f>
        <v>0</v>
      </c>
    </row>
    <row r="175" spans="1:29" x14ac:dyDescent="0.25">
      <c r="A175" s="20">
        <v>37853</v>
      </c>
      <c r="B175" t="s">
        <v>32</v>
      </c>
      <c r="C175" t="s">
        <v>63</v>
      </c>
      <c r="D175" s="3">
        <v>1500</v>
      </c>
      <c r="E175">
        <v>10.36</v>
      </c>
      <c r="F175" s="3">
        <v>144.78800000000001</v>
      </c>
      <c r="M175" s="21">
        <f t="shared" si="22"/>
        <v>1500</v>
      </c>
      <c r="N175" s="8">
        <f t="shared" si="25"/>
        <v>-1500</v>
      </c>
      <c r="O175" s="25">
        <f t="shared" si="26"/>
        <v>2152.8300000000004</v>
      </c>
      <c r="P175" s="8">
        <f t="shared" si="23"/>
        <v>0</v>
      </c>
      <c r="Q175" s="4">
        <f>IF(AND(S175&gt;=[1]eRRSP_Rpt!$C$6,S175&lt;=[1]eRRSP_Rpt!$C$7),1,0)</f>
        <v>0</v>
      </c>
      <c r="R175" s="4"/>
      <c r="S175" s="4">
        <f t="shared" si="21"/>
        <v>2003</v>
      </c>
      <c r="T175" s="4"/>
      <c r="U175" s="4" t="str">
        <f t="shared" si="24"/>
        <v>BuyTalvest China Plus</v>
      </c>
      <c r="V175" s="23">
        <f>IFERROR(IF(AND(AB175&gt;0,B175&lt;&gt;"Sell"),(AA175-SUMIF(C$4:C174,C175,AC$4:AC175))/AB175,0),"")</f>
        <v>-10.359974583529022</v>
      </c>
      <c r="W175" s="24" t="str">
        <f t="shared" si="20"/>
        <v/>
      </c>
      <c r="X175" s="25" t="str">
        <f t="shared" si="19"/>
        <v>Talvest China Plus_ACB</v>
      </c>
      <c r="Y175" s="10" t="str">
        <f>IF(S176&lt;&gt;eRRSP_Tx_Table[[#This Row],[Year]],SUMIFS($W$4:$W175,$S$4:$S175,eRRSP_Tx_Table[[#This Row],[Year]],$W$4:$W175,"&gt;0"),"")</f>
        <v/>
      </c>
      <c r="Z175" s="10" t="str">
        <f>IF(S176&lt;&gt;eRRSP_Tx_Table[[#This Row],[Year]],SUMIFS($W$4:$W175,$S$4:$S175,eRRSP_Tx_Table[[#This Row],[Year]],$W$4:$W175,"&lt;0"),"")</f>
        <v/>
      </c>
      <c r="AA175" s="3">
        <f>(SUMIF($U$4:$U175,CONCATENATE("Buy",$C175),$N$4:$N175)+SUMIF($U$4:$U175,CONCATENATE("ReinvDiv",$C175),$N$4:$N175))</f>
        <v>-1500</v>
      </c>
      <c r="AB175" s="3">
        <f>(SUMIF($U$4:$U175,CONCATENATE("Buy",$C175),$F$4:$F175)+SUMIF($U$4:$U175,CONCATENATE("ReinvDiv",$C175),$F$4:$F175)+SUMIF($U$4:$U175,CONCATENATE("StkSplit",$C175),$F$4:$F175)-SUMIF($U$4:$U175,CONCATENATE("Sell",$C175),$F$4:$F175))</f>
        <v>144.78800000000001</v>
      </c>
      <c r="AC175" s="3">
        <f>IF(B175="Sell",F175*INDEX(V:V,LOOKUP(2,1/(X$4:X174=CONCATENATE(C175,"_ACB")),ROW(V$4:V174))),0)</f>
        <v>0</v>
      </c>
    </row>
    <row r="176" spans="1:29" x14ac:dyDescent="0.25">
      <c r="A176" s="20">
        <v>37865</v>
      </c>
      <c r="B176" t="s">
        <v>42</v>
      </c>
      <c r="C176" t="s">
        <v>33</v>
      </c>
      <c r="D176" s="3">
        <v>23.65</v>
      </c>
      <c r="M176" s="21">
        <f t="shared" si="22"/>
        <v>23.65</v>
      </c>
      <c r="N176" s="8">
        <f t="shared" si="25"/>
        <v>23.65</v>
      </c>
      <c r="O176" s="25">
        <f t="shared" si="26"/>
        <v>2176.4800000000005</v>
      </c>
      <c r="P176" s="8">
        <f t="shared" si="23"/>
        <v>0</v>
      </c>
      <c r="Q176" s="4">
        <f>IF(AND(S176&gt;=[1]eRRSP_Rpt!$C$6,S176&lt;=[1]eRRSP_Rpt!$C$7),1,0)</f>
        <v>0</v>
      </c>
      <c r="R176" s="4"/>
      <c r="S176" s="4">
        <f t="shared" si="21"/>
        <v>2003</v>
      </c>
      <c r="T176" s="4"/>
      <c r="U176" s="4" t="str">
        <f t="shared" si="24"/>
        <v>DivEnbridge</v>
      </c>
      <c r="V176" s="23">
        <f>IFERROR(IF(AND(AB176&gt;0,B176&lt;&gt;"Sell"),(AA176-SUMIF(C$4:C175,C176,AC$4:AC176))/AB176,0),"")</f>
        <v>-25.718055555555559</v>
      </c>
      <c r="W176" s="24" t="str">
        <f t="shared" si="20"/>
        <v/>
      </c>
      <c r="X176" s="25" t="str">
        <f t="shared" si="19"/>
        <v>Enbridge_ACB</v>
      </c>
      <c r="Y176" s="10" t="str">
        <f>IF(S177&lt;&gt;eRRSP_Tx_Table[[#This Row],[Year]],SUMIFS($W$4:$W176,$S$4:$S176,eRRSP_Tx_Table[[#This Row],[Year]],$W$4:$W176,"&gt;0"),"")</f>
        <v/>
      </c>
      <c r="Z176" s="10" t="str">
        <f>IF(S177&lt;&gt;eRRSP_Tx_Table[[#This Row],[Year]],SUMIFS($W$4:$W176,$S$4:$S176,eRRSP_Tx_Table[[#This Row],[Year]],$W$4:$W176,"&lt;0"),"")</f>
        <v/>
      </c>
      <c r="AA176" s="3">
        <f>(SUMIF($U$4:$U176,CONCATENATE("Buy",$C176),$N$4:$N176)+SUMIF($U$4:$U176,CONCATENATE("ReinvDiv",$C176),$N$4:$N176))</f>
        <v>-1851.7</v>
      </c>
      <c r="AB176" s="3">
        <f>(SUMIF($U$4:$U176,CONCATENATE("Buy",$C176),$F$4:$F176)+SUMIF($U$4:$U176,CONCATENATE("ReinvDiv",$C176),$F$4:$F176)+SUMIF($U$4:$U176,CONCATENATE("StkSplit",$C176),$F$4:$F176)-SUMIF($U$4:$U176,CONCATENATE("Sell",$C176),$F$4:$F176))</f>
        <v>57</v>
      </c>
      <c r="AC176" s="3">
        <f>IF(B176="Sell",F176*INDEX(V:V,LOOKUP(2,1/(X$4:X175=CONCATENATE(C176,"_ACB")),ROW(V$4:V175))),0)</f>
        <v>0</v>
      </c>
    </row>
    <row r="177" spans="1:29" x14ac:dyDescent="0.25">
      <c r="A177" s="20">
        <v>37866</v>
      </c>
      <c r="B177" t="s">
        <v>32</v>
      </c>
      <c r="C177" t="s">
        <v>64</v>
      </c>
      <c r="D177" s="3">
        <v>1800</v>
      </c>
      <c r="E177">
        <v>21.1</v>
      </c>
      <c r="F177" s="3">
        <v>85.308000000000007</v>
      </c>
      <c r="M177" s="21">
        <f t="shared" si="22"/>
        <v>1800</v>
      </c>
      <c r="N177" s="8">
        <f t="shared" si="25"/>
        <v>-1800</v>
      </c>
      <c r="O177" s="25">
        <f t="shared" si="26"/>
        <v>376.48000000000047</v>
      </c>
      <c r="P177" s="8">
        <f t="shared" si="23"/>
        <v>0</v>
      </c>
      <c r="Q177" s="4">
        <f>IF(AND(S177&gt;=[1]eRRSP_Rpt!$C$6,S177&lt;=[1]eRRSP_Rpt!$C$7),1,0)</f>
        <v>0</v>
      </c>
      <c r="R177" s="4"/>
      <c r="S177" s="4">
        <f t="shared" si="21"/>
        <v>2003</v>
      </c>
      <c r="T177" s="4"/>
      <c r="U177" s="4" t="str">
        <f t="shared" si="24"/>
        <v>BuyE&amp;P Growth Opp</v>
      </c>
      <c r="V177" s="23">
        <f>IFERROR(IF(AND(AB177&gt;0,B177&lt;&gt;"Sell"),(AA177-SUMIF(C$4:C176,C177,AC$4:AC177))/AB177,0),"")</f>
        <v>-21.100014066676042</v>
      </c>
      <c r="W177" s="24" t="str">
        <f t="shared" si="20"/>
        <v/>
      </c>
      <c r="X177" s="25" t="str">
        <f t="shared" si="19"/>
        <v>E&amp;P Growth Opp_ACB</v>
      </c>
      <c r="Y177" s="10" t="str">
        <f>IF(S178&lt;&gt;eRRSP_Tx_Table[[#This Row],[Year]],SUMIFS($W$4:$W177,$S$4:$S177,eRRSP_Tx_Table[[#This Row],[Year]],$W$4:$W177,"&gt;0"),"")</f>
        <v/>
      </c>
      <c r="Z177" s="10" t="str">
        <f>IF(S178&lt;&gt;eRRSP_Tx_Table[[#This Row],[Year]],SUMIFS($W$4:$W177,$S$4:$S177,eRRSP_Tx_Table[[#This Row],[Year]],$W$4:$W177,"&lt;0"),"")</f>
        <v/>
      </c>
      <c r="AA177" s="3">
        <f>(SUMIF($U$4:$U177,CONCATENATE("Buy",$C177),$N$4:$N177)+SUMIF($U$4:$U177,CONCATENATE("ReinvDiv",$C177),$N$4:$N177))</f>
        <v>-1800</v>
      </c>
      <c r="AB177" s="3">
        <f>(SUMIF($U$4:$U177,CONCATENATE("Buy",$C177),$F$4:$F177)+SUMIF($U$4:$U177,CONCATENATE("ReinvDiv",$C177),$F$4:$F177)+SUMIF($U$4:$U177,CONCATENATE("StkSplit",$C177),$F$4:$F177)-SUMIF($U$4:$U177,CONCATENATE("Sell",$C177),$F$4:$F177))</f>
        <v>85.308000000000007</v>
      </c>
      <c r="AC177" s="3">
        <f>IF(B177="Sell",F177*INDEX(V:V,LOOKUP(2,1/(X$4:X176=CONCATENATE(C177,"_ACB")),ROW(V$4:V176))),0)</f>
        <v>0</v>
      </c>
    </row>
    <row r="178" spans="1:29" x14ac:dyDescent="0.25">
      <c r="A178" s="20">
        <v>37879</v>
      </c>
      <c r="B178" t="s">
        <v>41</v>
      </c>
      <c r="C178" t="s">
        <v>39</v>
      </c>
      <c r="D178" s="3">
        <v>12.76</v>
      </c>
      <c r="E178">
        <v>9.5399999999999991</v>
      </c>
      <c r="F178" s="3">
        <v>1.3380000000000001</v>
      </c>
      <c r="M178" s="21">
        <f t="shared" si="22"/>
        <v>12.76</v>
      </c>
      <c r="N178" s="8">
        <f t="shared" si="25"/>
        <v>-12.76</v>
      </c>
      <c r="O178" s="25">
        <f t="shared" si="26"/>
        <v>376.48000000000047</v>
      </c>
      <c r="P178" s="8">
        <f t="shared" si="23"/>
        <v>0</v>
      </c>
      <c r="Q178" s="4">
        <f>IF(AND(S178&gt;=[1]eRRSP_Rpt!$C$6,S178&lt;=[1]eRRSP_Rpt!$C$7),1,0)</f>
        <v>0</v>
      </c>
      <c r="R178" s="4"/>
      <c r="S178" s="4">
        <f t="shared" si="21"/>
        <v>2003</v>
      </c>
      <c r="T178" s="4"/>
      <c r="U178" s="4" t="str">
        <f t="shared" si="24"/>
        <v>ReinvDivTrimark Income Growth</v>
      </c>
      <c r="V178" s="23">
        <f>IFERROR(IF(AND(AB178&gt;0,B178&lt;&gt;"Sell"),(AA178-SUMIF(C$4:C177,C178,AC$4:AC178))/AB178,0),"")</f>
        <v>-7.8037236278350184</v>
      </c>
      <c r="W178" s="24" t="str">
        <f t="shared" si="20"/>
        <v/>
      </c>
      <c r="X178" s="25" t="str">
        <f t="shared" si="19"/>
        <v>Trimark Income Growth_ACB</v>
      </c>
      <c r="Y178" s="10" t="str">
        <f>IF(S179&lt;&gt;eRRSP_Tx_Table[[#This Row],[Year]],SUMIFS($W$4:$W178,$S$4:$S178,eRRSP_Tx_Table[[#This Row],[Year]],$W$4:$W178,"&gt;0"),"")</f>
        <v/>
      </c>
      <c r="Z178" s="10" t="str">
        <f>IF(S179&lt;&gt;eRRSP_Tx_Table[[#This Row],[Year]],SUMIFS($W$4:$W178,$S$4:$S178,eRRSP_Tx_Table[[#This Row],[Year]],$W$4:$W178,"&lt;0"),"")</f>
        <v/>
      </c>
      <c r="AA178" s="3">
        <f>(SUMIF($U$4:$U178,CONCATENATE("Buy",$C178),$N$4:$N178)+SUMIF($U$4:$U178,CONCATENATE("ReinvDiv",$C178),$N$4:$N178))</f>
        <v>-2209.3199999999997</v>
      </c>
      <c r="AB178" s="3">
        <f>(SUMIF($U$4:$U178,CONCATENATE("Buy",$C178),$F$4:$F178)+SUMIF($U$4:$U178,CONCATENATE("ReinvDiv",$C178),$F$4:$F178)+SUMIF($U$4:$U178,CONCATENATE("StkSplit",$C178),$F$4:$F178)-SUMIF($U$4:$U178,CONCATENATE("Sell",$C178),$F$4:$F178))</f>
        <v>283.11099999999999</v>
      </c>
      <c r="AC178" s="3">
        <f>IF(B178="Sell",F178*INDEX(V:V,LOOKUP(2,1/(X$4:X177=CONCATENATE(C178,"_ACB")),ROW(V$4:V177))),0)</f>
        <v>0</v>
      </c>
    </row>
    <row r="179" spans="1:29" x14ac:dyDescent="0.25">
      <c r="A179" s="20">
        <v>37880</v>
      </c>
      <c r="B179" t="s">
        <v>43</v>
      </c>
      <c r="C179" t="s">
        <v>36</v>
      </c>
      <c r="D179" s="3">
        <v>0.95</v>
      </c>
      <c r="M179" s="21">
        <f t="shared" si="22"/>
        <v>0.95</v>
      </c>
      <c r="N179" s="8">
        <f t="shared" si="25"/>
        <v>0.95</v>
      </c>
      <c r="O179" s="25">
        <f t="shared" si="26"/>
        <v>377.43000000000046</v>
      </c>
      <c r="P179" s="8">
        <f t="shared" si="23"/>
        <v>0</v>
      </c>
      <c r="Q179" s="4">
        <f>IF(AND(S179&gt;=[1]eRRSP_Rpt!$C$6,S179&lt;=[1]eRRSP_Rpt!$C$7),1,0)</f>
        <v>0</v>
      </c>
      <c r="R179" s="4"/>
      <c r="S179" s="4">
        <f t="shared" si="21"/>
        <v>2003</v>
      </c>
      <c r="T179" s="4"/>
      <c r="U179" s="4" t="str">
        <f t="shared" si="24"/>
        <v>IntIncTDW</v>
      </c>
      <c r="V179" s="23">
        <f>IFERROR(IF(AND(AB179&gt;0,B179&lt;&gt;"Sell"),(AA179-SUMIF(C$4:C178,C179,AC$4:AC179))/AB179,0),"")</f>
        <v>0</v>
      </c>
      <c r="W179" s="24" t="str">
        <f t="shared" si="20"/>
        <v/>
      </c>
      <c r="X179" s="25" t="str">
        <f t="shared" si="19"/>
        <v/>
      </c>
      <c r="Y179" s="10" t="str">
        <f>IF(S180&lt;&gt;eRRSP_Tx_Table[[#This Row],[Year]],SUMIFS($W$4:$W179,$S$4:$S179,eRRSP_Tx_Table[[#This Row],[Year]],$W$4:$W179,"&gt;0"),"")</f>
        <v/>
      </c>
      <c r="Z179" s="10" t="str">
        <f>IF(S180&lt;&gt;eRRSP_Tx_Table[[#This Row],[Year]],SUMIFS($W$4:$W179,$S$4:$S179,eRRSP_Tx_Table[[#This Row],[Year]],$W$4:$W179,"&lt;0"),"")</f>
        <v/>
      </c>
      <c r="AA179" s="3">
        <f>(SUMIF($U$4:$U179,CONCATENATE("Buy",$C179),$N$4:$N179)+SUMIF($U$4:$U179,CONCATENATE("ReinvDiv",$C179),$N$4:$N179))</f>
        <v>0</v>
      </c>
      <c r="AB179" s="3">
        <f>(SUMIF($U$4:$U179,CONCATENATE("Buy",$C179),$F$4:$F179)+SUMIF($U$4:$U179,CONCATENATE("ReinvDiv",$C179),$F$4:$F179)+SUMIF($U$4:$U179,CONCATENATE("StkSplit",$C179),$F$4:$F179)-SUMIF($U$4:$U179,CONCATENATE("Sell",$C179),$F$4:$F179))</f>
        <v>0</v>
      </c>
      <c r="AC179" s="3">
        <f>IF(B179="Sell",F179*INDEX(V:V,LOOKUP(2,1/(X$4:X178=CONCATENATE(C179,"_ACB")),ROW(V$4:V178))),0)</f>
        <v>0</v>
      </c>
    </row>
    <row r="180" spans="1:29" x14ac:dyDescent="0.25">
      <c r="A180" s="20">
        <v>37893</v>
      </c>
      <c r="B180" t="s">
        <v>42</v>
      </c>
      <c r="C180" t="s">
        <v>53</v>
      </c>
      <c r="D180" s="3">
        <v>27.76</v>
      </c>
      <c r="M180" s="21">
        <f t="shared" si="22"/>
        <v>27.76</v>
      </c>
      <c r="N180" s="8">
        <f t="shared" si="25"/>
        <v>27.76</v>
      </c>
      <c r="O180" s="25">
        <f t="shared" si="26"/>
        <v>405.19000000000045</v>
      </c>
      <c r="P180" s="8">
        <f t="shared" si="23"/>
        <v>0</v>
      </c>
      <c r="Q180" s="4">
        <f>IF(AND(S180&gt;=[1]eRRSP_Rpt!$C$6,S180&lt;=[1]eRRSP_Rpt!$C$7),1,0)</f>
        <v>0</v>
      </c>
      <c r="R180" s="4"/>
      <c r="S180" s="4">
        <f t="shared" si="21"/>
        <v>2003</v>
      </c>
      <c r="T180" s="4"/>
      <c r="U180" s="4" t="str">
        <f t="shared" si="24"/>
        <v>DivTD CDN Bond</v>
      </c>
      <c r="V180" s="23">
        <f>IFERROR(IF(AND(AB180&gt;0,B180&lt;&gt;"Sell"),(AA180-SUMIF(C$4:C179,C180,AC$4:AC180))/AB180,0),"")</f>
        <v>-12.100018755029071</v>
      </c>
      <c r="W180" s="24" t="str">
        <f t="shared" si="20"/>
        <v/>
      </c>
      <c r="X180" s="25" t="str">
        <f t="shared" si="19"/>
        <v>TD CDN Bond_ACB</v>
      </c>
      <c r="Y180" s="10" t="str">
        <f>IF(S181&lt;&gt;eRRSP_Tx_Table[[#This Row],[Year]],SUMIFS($W$4:$W180,$S$4:$S180,eRRSP_Tx_Table[[#This Row],[Year]],$W$4:$W180,"&gt;0"),"")</f>
        <v/>
      </c>
      <c r="Z180" s="10" t="str">
        <f>IF(S181&lt;&gt;eRRSP_Tx_Table[[#This Row],[Year]],SUMIFS($W$4:$W180,$S$4:$S180,eRRSP_Tx_Table[[#This Row],[Year]],$W$4:$W180,"&lt;0"),"")</f>
        <v/>
      </c>
      <c r="AA180" s="3">
        <f>(SUMIF($U$4:$U180,CONCATENATE("Buy",$C180),$N$4:$N180)+SUMIF($U$4:$U180,CONCATENATE("ReinvDiv",$C180),$N$4:$N180))</f>
        <v>-2000</v>
      </c>
      <c r="AB180" s="3">
        <f>(SUMIF($U$4:$U180,CONCATENATE("Buy",$C180),$F$4:$F180)+SUMIF($U$4:$U180,CONCATENATE("ReinvDiv",$C180),$F$4:$F180)+SUMIF($U$4:$U180,CONCATENATE("StkSplit",$C180),$F$4:$F180)-SUMIF($U$4:$U180,CONCATENATE("Sell",$C180),$F$4:$F180))</f>
        <v>165.28899999999999</v>
      </c>
      <c r="AC180" s="3">
        <f>IF(B180="Sell",F180*INDEX(V:V,LOOKUP(2,1/(X$4:X179=CONCATENATE(C180,"_ACB")),ROW(V$4:V179))),0)</f>
        <v>0</v>
      </c>
    </row>
    <row r="181" spans="1:29" x14ac:dyDescent="0.25">
      <c r="A181" s="20">
        <v>37894</v>
      </c>
      <c r="B181" t="s">
        <v>41</v>
      </c>
      <c r="C181" t="s">
        <v>62</v>
      </c>
      <c r="D181" s="3">
        <v>13.9</v>
      </c>
      <c r="E181">
        <v>13.05</v>
      </c>
      <c r="F181" s="3">
        <v>1.0649999999999999</v>
      </c>
      <c r="M181" s="21">
        <f t="shared" si="22"/>
        <v>13.9</v>
      </c>
      <c r="N181" s="8">
        <f t="shared" si="25"/>
        <v>-13.9</v>
      </c>
      <c r="O181" s="25">
        <f t="shared" si="26"/>
        <v>405.19000000000045</v>
      </c>
      <c r="P181" s="8">
        <f t="shared" si="23"/>
        <v>0</v>
      </c>
      <c r="Q181" s="4">
        <f>IF(AND(S181&gt;=[1]eRRSP_Rpt!$C$6,S181&lt;=[1]eRRSP_Rpt!$C$7),1,0)</f>
        <v>0</v>
      </c>
      <c r="R181" s="4"/>
      <c r="S181" s="4">
        <f t="shared" si="21"/>
        <v>2003</v>
      </c>
      <c r="T181" s="4"/>
      <c r="U181" s="4" t="str">
        <f t="shared" si="24"/>
        <v>ReinvDivTD RR Bond</v>
      </c>
      <c r="V181" s="23">
        <f>IFERROR(IF(AND(AB181&gt;0,B181&lt;&gt;"Sell"),(AA181-SUMIF(C$4:C180,C181,AC$4:AC181))/AB181,0),"")</f>
        <v>-12.821590236262583</v>
      </c>
      <c r="W181" s="24" t="str">
        <f t="shared" si="20"/>
        <v/>
      </c>
      <c r="X181" s="25" t="str">
        <f t="shared" si="19"/>
        <v>TD RR Bond_ACB</v>
      </c>
      <c r="Y181" s="10" t="str">
        <f>IF(S182&lt;&gt;eRRSP_Tx_Table[[#This Row],[Year]],SUMIFS($W$4:$W181,$S$4:$S181,eRRSP_Tx_Table[[#This Row],[Year]],$W$4:$W181,"&gt;0"),"")</f>
        <v/>
      </c>
      <c r="Z181" s="10" t="str">
        <f>IF(S182&lt;&gt;eRRSP_Tx_Table[[#This Row],[Year]],SUMIFS($W$4:$W181,$S$4:$S181,eRRSP_Tx_Table[[#This Row],[Year]],$W$4:$W181,"&lt;0"),"")</f>
        <v/>
      </c>
      <c r="AA181" s="3">
        <f>(SUMIF($U$4:$U181,CONCATENATE("Buy",$C181),$N$4:$N181)+SUMIF($U$4:$U181,CONCATENATE("ReinvDiv",$C181),$N$4:$N181))</f>
        <v>-2013.9</v>
      </c>
      <c r="AB181" s="3">
        <f>(SUMIF($U$4:$U181,CONCATENATE("Buy",$C181),$F$4:$F181)+SUMIF($U$4:$U181,CONCATENATE("ReinvDiv",$C181),$F$4:$F181)+SUMIF($U$4:$U181,CONCATENATE("StkSplit",$C181),$F$4:$F181)-SUMIF($U$4:$U181,CONCATENATE("Sell",$C181),$F$4:$F181))</f>
        <v>157.071</v>
      </c>
      <c r="AC181" s="3">
        <f>IF(B181="Sell",F181*INDEX(V:V,LOOKUP(2,1/(X$4:X180=CONCATENATE(C181,"_ACB")),ROW(V$4:V180))),0)</f>
        <v>0</v>
      </c>
    </row>
    <row r="182" spans="1:29" x14ac:dyDescent="0.25">
      <c r="A182" s="20">
        <v>37895</v>
      </c>
      <c r="B182" t="s">
        <v>42</v>
      </c>
      <c r="C182" t="s">
        <v>48</v>
      </c>
      <c r="D182" s="3">
        <v>3</v>
      </c>
      <c r="M182" s="21">
        <f t="shared" si="22"/>
        <v>3</v>
      </c>
      <c r="N182" s="8">
        <f t="shared" si="25"/>
        <v>3</v>
      </c>
      <c r="O182" s="25">
        <f t="shared" si="26"/>
        <v>408.19000000000045</v>
      </c>
      <c r="P182" s="8">
        <f t="shared" si="23"/>
        <v>0</v>
      </c>
      <c r="Q182" s="4">
        <f>IF(AND(S182&gt;=[1]eRRSP_Rpt!$C$6,S182&lt;=[1]eRRSP_Rpt!$C$7),1,0)</f>
        <v>0</v>
      </c>
      <c r="R182" s="4"/>
      <c r="S182" s="4">
        <f t="shared" si="21"/>
        <v>2003</v>
      </c>
      <c r="T182" s="4"/>
      <c r="U182" s="4" t="str">
        <f t="shared" si="24"/>
        <v>DivTelus</v>
      </c>
      <c r="V182" s="23">
        <f>IFERROR(IF(AND(AB182&gt;0,B182&lt;&gt;"Sell"),(AA182-SUMIF(C$4:C181,C182,AC$4:AC182))/AB182,0),"")</f>
        <v>-40.450000000000003</v>
      </c>
      <c r="W182" s="24" t="str">
        <f t="shared" si="20"/>
        <v/>
      </c>
      <c r="X182" s="25" t="str">
        <f t="shared" si="19"/>
        <v>Telus_ACB</v>
      </c>
      <c r="Y182" s="10" t="str">
        <f>IF(S183&lt;&gt;eRRSP_Tx_Table[[#This Row],[Year]],SUMIFS($W$4:$W182,$S$4:$S182,eRRSP_Tx_Table[[#This Row],[Year]],$W$4:$W182,"&gt;0"),"")</f>
        <v/>
      </c>
      <c r="Z182" s="10" t="str">
        <f>IF(S183&lt;&gt;eRRSP_Tx_Table[[#This Row],[Year]],SUMIFS($W$4:$W182,$S$4:$S182,eRRSP_Tx_Table[[#This Row],[Year]],$W$4:$W182,"&lt;0"),"")</f>
        <v/>
      </c>
      <c r="AA182" s="3">
        <f>(SUMIF($U$4:$U182,CONCATENATE("Buy",$C182),$N$4:$N182)+SUMIF($U$4:$U182,CONCATENATE("ReinvDiv",$C182),$N$4:$N182))</f>
        <v>-809</v>
      </c>
      <c r="AB182" s="3">
        <f>(SUMIF($U$4:$U182,CONCATENATE("Buy",$C182),$F$4:$F182)+SUMIF($U$4:$U182,CONCATENATE("ReinvDiv",$C182),$F$4:$F182)+SUMIF($U$4:$U182,CONCATENATE("StkSplit",$C182),$F$4:$F182)-SUMIF($U$4:$U182,CONCATENATE("Sell",$C182),$F$4:$F182))</f>
        <v>20</v>
      </c>
      <c r="AC182" s="3">
        <f>IF(B182="Sell",F182*INDEX(V:V,LOOKUP(2,1/(X$4:X181=CONCATENATE(C182,"_ACB")),ROW(V$4:V181))),0)</f>
        <v>0</v>
      </c>
    </row>
    <row r="183" spans="1:29" x14ac:dyDescent="0.25">
      <c r="A183" s="20">
        <v>37909</v>
      </c>
      <c r="B183" t="s">
        <v>42</v>
      </c>
      <c r="C183" t="s">
        <v>46</v>
      </c>
      <c r="D183" s="3">
        <v>6</v>
      </c>
      <c r="M183" s="21">
        <f t="shared" si="22"/>
        <v>6</v>
      </c>
      <c r="N183" s="8">
        <f t="shared" si="25"/>
        <v>6</v>
      </c>
      <c r="O183" s="25">
        <f t="shared" si="26"/>
        <v>414.19000000000045</v>
      </c>
      <c r="P183" s="8">
        <f t="shared" si="23"/>
        <v>0</v>
      </c>
      <c r="Q183" s="4">
        <f>IF(AND(S183&gt;=[1]eRRSP_Rpt!$C$6,S183&lt;=[1]eRRSP_Rpt!$C$7),1,0)</f>
        <v>0</v>
      </c>
      <c r="R183" s="4"/>
      <c r="S183" s="4">
        <f t="shared" si="21"/>
        <v>2003</v>
      </c>
      <c r="T183" s="4"/>
      <c r="U183" s="4" t="str">
        <f t="shared" si="24"/>
        <v>DivBCE</v>
      </c>
      <c r="V183" s="23">
        <f>IFERROR(IF(AND(AB183&gt;0,B183&lt;&gt;"Sell"),(AA183-SUMIF(C$4:C182,C183,AC$4:AC183))/AB183,0),"")</f>
        <v>-40.450000000000003</v>
      </c>
      <c r="W183" s="24" t="str">
        <f t="shared" si="20"/>
        <v/>
      </c>
      <c r="X183" s="25" t="str">
        <f t="shared" si="19"/>
        <v>BCE_ACB</v>
      </c>
      <c r="Y183" s="10" t="str">
        <f>IF(S184&lt;&gt;eRRSP_Tx_Table[[#This Row],[Year]],SUMIFS($W$4:$W183,$S$4:$S183,eRRSP_Tx_Table[[#This Row],[Year]],$W$4:$W183,"&gt;0"),"")</f>
        <v/>
      </c>
      <c r="Z183" s="10" t="str">
        <f>IF(S184&lt;&gt;eRRSP_Tx_Table[[#This Row],[Year]],SUMIFS($W$4:$W183,$S$4:$S183,eRRSP_Tx_Table[[#This Row],[Year]],$W$4:$W183,"&lt;0"),"")</f>
        <v/>
      </c>
      <c r="AA183" s="3">
        <f>(SUMIF($U$4:$U183,CONCATENATE("Buy",$C183),$N$4:$N183)+SUMIF($U$4:$U183,CONCATENATE("ReinvDiv",$C183),$N$4:$N183))</f>
        <v>-809</v>
      </c>
      <c r="AB183" s="3">
        <f>(SUMIF($U$4:$U183,CONCATENATE("Buy",$C183),$F$4:$F183)+SUMIF($U$4:$U183,CONCATENATE("ReinvDiv",$C183),$F$4:$F183)+SUMIF($U$4:$U183,CONCATENATE("StkSplit",$C183),$F$4:$F183)-SUMIF($U$4:$U183,CONCATENATE("Sell",$C183),$F$4:$F183))</f>
        <v>20</v>
      </c>
      <c r="AC183" s="3">
        <f>IF(B183="Sell",F183*INDEX(V:V,LOOKUP(2,1/(X$4:X182=CONCATENATE(C183,"_ACB")),ROW(V$4:V182))),0)</f>
        <v>0</v>
      </c>
    </row>
    <row r="184" spans="1:29" x14ac:dyDescent="0.25">
      <c r="A184" s="20">
        <v>37910</v>
      </c>
      <c r="B184" t="s">
        <v>43</v>
      </c>
      <c r="C184" t="s">
        <v>36</v>
      </c>
      <c r="D184" s="3">
        <v>0.16</v>
      </c>
      <c r="M184" s="21">
        <f t="shared" si="22"/>
        <v>0.16</v>
      </c>
      <c r="N184" s="8">
        <f t="shared" si="25"/>
        <v>0.16</v>
      </c>
      <c r="O184" s="25">
        <f t="shared" si="26"/>
        <v>414.35000000000048</v>
      </c>
      <c r="P184" s="8">
        <f t="shared" si="23"/>
        <v>0</v>
      </c>
      <c r="Q184" s="4">
        <f>IF(AND(S184&gt;=[1]eRRSP_Rpt!$C$6,S184&lt;=[1]eRRSP_Rpt!$C$7),1,0)</f>
        <v>0</v>
      </c>
      <c r="R184" s="4"/>
      <c r="S184" s="4">
        <f t="shared" si="21"/>
        <v>2003</v>
      </c>
      <c r="T184" s="4"/>
      <c r="U184" s="4" t="str">
        <f t="shared" si="24"/>
        <v>IntIncTDW</v>
      </c>
      <c r="V184" s="23">
        <f>IFERROR(IF(AND(AB184&gt;0,B184&lt;&gt;"Sell"),(AA184-SUMIF(C$4:C183,C184,AC$4:AC184))/AB184,0),"")</f>
        <v>0</v>
      </c>
      <c r="W184" s="24" t="str">
        <f t="shared" si="20"/>
        <v/>
      </c>
      <c r="X184" s="25" t="str">
        <f t="shared" si="19"/>
        <v/>
      </c>
      <c r="Y184" s="10" t="str">
        <f>IF(S185&lt;&gt;eRRSP_Tx_Table[[#This Row],[Year]],SUMIFS($W$4:$W184,$S$4:$S184,eRRSP_Tx_Table[[#This Row],[Year]],$W$4:$W184,"&gt;0"),"")</f>
        <v/>
      </c>
      <c r="Z184" s="10" t="str">
        <f>IF(S185&lt;&gt;eRRSP_Tx_Table[[#This Row],[Year]],SUMIFS($W$4:$W184,$S$4:$S184,eRRSP_Tx_Table[[#This Row],[Year]],$W$4:$W184,"&lt;0"),"")</f>
        <v/>
      </c>
      <c r="AA184" s="3">
        <f>(SUMIF($U$4:$U184,CONCATENATE("Buy",$C184),$N$4:$N184)+SUMIF($U$4:$U184,CONCATENATE("ReinvDiv",$C184),$N$4:$N184))</f>
        <v>0</v>
      </c>
      <c r="AB184" s="3">
        <f>(SUMIF($U$4:$U184,CONCATENATE("Buy",$C184),$F$4:$F184)+SUMIF($U$4:$U184,CONCATENATE("ReinvDiv",$C184),$F$4:$F184)+SUMIF($U$4:$U184,CONCATENATE("StkSplit",$C184),$F$4:$F184)-SUMIF($U$4:$U184,CONCATENATE("Sell",$C184),$F$4:$F184))</f>
        <v>0</v>
      </c>
      <c r="AC184" s="3">
        <f>IF(B184="Sell",F184*INDEX(V:V,LOOKUP(2,1/(X$4:X183=CONCATENATE(C184,"_ACB")),ROW(V$4:V183))),0)</f>
        <v>0</v>
      </c>
    </row>
    <row r="185" spans="1:29" x14ac:dyDescent="0.25">
      <c r="A185" s="20">
        <v>37925</v>
      </c>
      <c r="B185" t="s">
        <v>42</v>
      </c>
      <c r="C185" t="s">
        <v>47</v>
      </c>
      <c r="D185" s="3">
        <v>0.68</v>
      </c>
      <c r="M185" s="21">
        <f t="shared" si="22"/>
        <v>0.68</v>
      </c>
      <c r="N185" s="8">
        <f t="shared" si="25"/>
        <v>0.68</v>
      </c>
      <c r="O185" s="25">
        <f t="shared" si="26"/>
        <v>415.03000000000048</v>
      </c>
      <c r="P185" s="8">
        <f t="shared" si="23"/>
        <v>0</v>
      </c>
      <c r="Q185" s="4">
        <f>IF(AND(S185&gt;=[1]eRRSP_Rpt!$C$6,S185&lt;=[1]eRRSP_Rpt!$C$7),1,0)</f>
        <v>0</v>
      </c>
      <c r="R185" s="4"/>
      <c r="S185" s="4">
        <f t="shared" si="21"/>
        <v>2003</v>
      </c>
      <c r="T185" s="4"/>
      <c r="U185" s="4" t="str">
        <f t="shared" si="24"/>
        <v>DivBombardier</v>
      </c>
      <c r="V185" s="23">
        <f>IFERROR(IF(AND(AB185&gt;0,B185&lt;&gt;"Sell"),(AA185-SUMIF(C$4:C184,C185,AC$4:AC185))/AB185,0),"")</f>
        <v>-23.216666666666665</v>
      </c>
      <c r="W185" s="24" t="str">
        <f t="shared" si="20"/>
        <v/>
      </c>
      <c r="X185" s="25" t="str">
        <f t="shared" si="19"/>
        <v>Bombardier_ACB</v>
      </c>
      <c r="Y185" s="10" t="str">
        <f>IF(S186&lt;&gt;eRRSP_Tx_Table[[#This Row],[Year]],SUMIFS($W$4:$W185,$S$4:$S185,eRRSP_Tx_Table[[#This Row],[Year]],$W$4:$W185,"&gt;0"),"")</f>
        <v/>
      </c>
      <c r="Z185" s="10" t="str">
        <f>IF(S186&lt;&gt;eRRSP_Tx_Table[[#This Row],[Year]],SUMIFS($W$4:$W185,$S$4:$S185,eRRSP_Tx_Table[[#This Row],[Year]],$W$4:$W185,"&lt;0"),"")</f>
        <v/>
      </c>
      <c r="AA185" s="3">
        <f>(SUMIF($U$4:$U185,CONCATENATE("Buy",$C185),$N$4:$N185)+SUMIF($U$4:$U185,CONCATENATE("ReinvDiv",$C185),$N$4:$N185))</f>
        <v>-696.5</v>
      </c>
      <c r="AB185" s="3">
        <f>(SUMIF($U$4:$U185,CONCATENATE("Buy",$C185),$F$4:$F185)+SUMIF($U$4:$U185,CONCATENATE("ReinvDiv",$C185),$F$4:$F185)+SUMIF($U$4:$U185,CONCATENATE("StkSplit",$C185),$F$4:$F185)-SUMIF($U$4:$U185,CONCATENATE("Sell",$C185),$F$4:$F185))</f>
        <v>30</v>
      </c>
      <c r="AC185" s="3">
        <f>IF(B185="Sell",F185*INDEX(V:V,LOOKUP(2,1/(X$4:X184=CONCATENATE(C185,"_ACB")),ROW(V$4:V184))),0)</f>
        <v>0</v>
      </c>
    </row>
    <row r="186" spans="1:29" x14ac:dyDescent="0.25">
      <c r="A186" s="20">
        <v>37925</v>
      </c>
      <c r="B186" t="s">
        <v>42</v>
      </c>
      <c r="C186" t="s">
        <v>45</v>
      </c>
      <c r="D186" s="3">
        <v>6.4</v>
      </c>
      <c r="M186" s="21">
        <f t="shared" si="22"/>
        <v>6.4</v>
      </c>
      <c r="N186" s="8">
        <f t="shared" si="25"/>
        <v>6.4</v>
      </c>
      <c r="O186" s="25">
        <f t="shared" si="26"/>
        <v>421.43000000000046</v>
      </c>
      <c r="P186" s="8">
        <f t="shared" si="23"/>
        <v>0</v>
      </c>
      <c r="Q186" s="4">
        <f>IF(AND(S186&gt;=[1]eRRSP_Rpt!$C$6,S186&lt;=[1]eRRSP_Rpt!$C$7),1,0)</f>
        <v>0</v>
      </c>
      <c r="R186" s="4"/>
      <c r="S186" s="4">
        <f t="shared" si="21"/>
        <v>2003</v>
      </c>
      <c r="T186" s="4"/>
      <c r="U186" s="4" t="str">
        <f t="shared" si="24"/>
        <v>DivTD Bank</v>
      </c>
      <c r="V186" s="23">
        <f>IFERROR(IF(AND(AB186&gt;0,B186&lt;&gt;"Sell"),(AA186-SUMIF(C$4:C185,C186,AC$4:AC186))/AB186,0),"")</f>
        <v>-44.29</v>
      </c>
      <c r="W186" s="24" t="str">
        <f t="shared" si="20"/>
        <v/>
      </c>
      <c r="X186" s="25" t="str">
        <f t="shared" si="19"/>
        <v>TD Bank_ACB</v>
      </c>
      <c r="Y186" s="10" t="str">
        <f>IF(S187&lt;&gt;eRRSP_Tx_Table[[#This Row],[Year]],SUMIFS($W$4:$W186,$S$4:$S186,eRRSP_Tx_Table[[#This Row],[Year]],$W$4:$W186,"&gt;0"),"")</f>
        <v/>
      </c>
      <c r="Z186" s="10" t="str">
        <f>IF(S187&lt;&gt;eRRSP_Tx_Table[[#This Row],[Year]],SUMIFS($W$4:$W186,$S$4:$S186,eRRSP_Tx_Table[[#This Row],[Year]],$W$4:$W186,"&lt;0"),"")</f>
        <v/>
      </c>
      <c r="AA186" s="3">
        <f>(SUMIF($U$4:$U186,CONCATENATE("Buy",$C186),$N$4:$N186)+SUMIF($U$4:$U186,CONCATENATE("ReinvDiv",$C186),$N$4:$N186))</f>
        <v>-885.8</v>
      </c>
      <c r="AB186" s="3">
        <f>(SUMIF($U$4:$U186,CONCATENATE("Buy",$C186),$F$4:$F186)+SUMIF($U$4:$U186,CONCATENATE("ReinvDiv",$C186),$F$4:$F186)+SUMIF($U$4:$U186,CONCATENATE("StkSplit",$C186),$F$4:$F186)-SUMIF($U$4:$U186,CONCATENATE("Sell",$C186),$F$4:$F186))</f>
        <v>20</v>
      </c>
      <c r="AC186" s="3">
        <f>IF(B186="Sell",F186*INDEX(V:V,LOOKUP(2,1/(X$4:X185=CONCATENATE(C186,"_ACB")),ROW(V$4:V185))),0)</f>
        <v>0</v>
      </c>
    </row>
    <row r="187" spans="1:29" x14ac:dyDescent="0.25">
      <c r="A187" s="20">
        <v>37941</v>
      </c>
      <c r="B187" t="s">
        <v>43</v>
      </c>
      <c r="C187" t="s">
        <v>36</v>
      </c>
      <c r="D187" s="3">
        <v>0.17</v>
      </c>
      <c r="M187" s="21">
        <f t="shared" si="22"/>
        <v>0.17</v>
      </c>
      <c r="N187" s="8">
        <f t="shared" si="25"/>
        <v>0.17</v>
      </c>
      <c r="O187" s="25">
        <f t="shared" si="26"/>
        <v>421.60000000000048</v>
      </c>
      <c r="P187" s="8">
        <f t="shared" si="23"/>
        <v>0</v>
      </c>
      <c r="Q187" s="4">
        <f>IF(AND(S187&gt;=[1]eRRSP_Rpt!$C$6,S187&lt;=[1]eRRSP_Rpt!$C$7),1,0)</f>
        <v>0</v>
      </c>
      <c r="R187" s="4"/>
      <c r="S187" s="4">
        <f t="shared" si="21"/>
        <v>2003</v>
      </c>
      <c r="T187" s="4"/>
      <c r="U187" s="4" t="str">
        <f t="shared" si="24"/>
        <v>IntIncTDW</v>
      </c>
      <c r="V187" s="23">
        <f>IFERROR(IF(AND(AB187&gt;0,B187&lt;&gt;"Sell"),(AA187-SUMIF(C$4:C186,C187,AC$4:AC187))/AB187,0),"")</f>
        <v>0</v>
      </c>
      <c r="W187" s="24" t="str">
        <f t="shared" si="20"/>
        <v/>
      </c>
      <c r="X187" s="25" t="str">
        <f t="shared" si="19"/>
        <v/>
      </c>
      <c r="Y187" s="10" t="str">
        <f>IF(S188&lt;&gt;eRRSP_Tx_Table[[#This Row],[Year]],SUMIFS($W$4:$W187,$S$4:$S187,eRRSP_Tx_Table[[#This Row],[Year]],$W$4:$W187,"&gt;0"),"")</f>
        <v/>
      </c>
      <c r="Z187" s="10" t="str">
        <f>IF(S188&lt;&gt;eRRSP_Tx_Table[[#This Row],[Year]],SUMIFS($W$4:$W187,$S$4:$S187,eRRSP_Tx_Table[[#This Row],[Year]],$W$4:$W187,"&lt;0"),"")</f>
        <v/>
      </c>
      <c r="AA187" s="3">
        <f>(SUMIF($U$4:$U187,CONCATENATE("Buy",$C187),$N$4:$N187)+SUMIF($U$4:$U187,CONCATENATE("ReinvDiv",$C187),$N$4:$N187))</f>
        <v>0</v>
      </c>
      <c r="AB187" s="3">
        <f>(SUMIF($U$4:$U187,CONCATENATE("Buy",$C187),$F$4:$F187)+SUMIF($U$4:$U187,CONCATENATE("ReinvDiv",$C187),$F$4:$F187)+SUMIF($U$4:$U187,CONCATENATE("StkSplit",$C187),$F$4:$F187)-SUMIF($U$4:$U187,CONCATENATE("Sell",$C187),$F$4:$F187))</f>
        <v>0</v>
      </c>
      <c r="AC187" s="3">
        <f>IF(B187="Sell",F187*INDEX(V:V,LOOKUP(2,1/(X$4:X186=CONCATENATE(C187,"_ACB")),ROW(V$4:V186))),0)</f>
        <v>0</v>
      </c>
    </row>
    <row r="188" spans="1:29" x14ac:dyDescent="0.25">
      <c r="A188" s="20">
        <v>37956</v>
      </c>
      <c r="B188" t="s">
        <v>42</v>
      </c>
      <c r="C188" t="s">
        <v>33</v>
      </c>
      <c r="D188" s="3">
        <v>23.65</v>
      </c>
      <c r="M188" s="21">
        <f t="shared" si="22"/>
        <v>23.65</v>
      </c>
      <c r="N188" s="8">
        <f t="shared" si="25"/>
        <v>23.65</v>
      </c>
      <c r="O188" s="25">
        <f t="shared" si="26"/>
        <v>445.25000000000045</v>
      </c>
      <c r="P188" s="8">
        <f t="shared" si="23"/>
        <v>0</v>
      </c>
      <c r="Q188" s="4">
        <f>IF(AND(S188&gt;=[1]eRRSP_Rpt!$C$6,S188&lt;=[1]eRRSP_Rpt!$C$7),1,0)</f>
        <v>0</v>
      </c>
      <c r="R188" s="4"/>
      <c r="S188" s="4">
        <f t="shared" si="21"/>
        <v>2003</v>
      </c>
      <c r="T188" s="4"/>
      <c r="U188" s="4" t="str">
        <f t="shared" si="24"/>
        <v>DivEnbridge</v>
      </c>
      <c r="V188" s="23">
        <f>IFERROR(IF(AND(AB188&gt;0,B188&lt;&gt;"Sell"),(AA188-SUMIF(C$4:C187,C188,AC$4:AC188))/AB188,0),"")</f>
        <v>-25.718055555555559</v>
      </c>
      <c r="W188" s="24" t="str">
        <f t="shared" si="20"/>
        <v/>
      </c>
      <c r="X188" s="25" t="str">
        <f t="shared" si="19"/>
        <v>Enbridge_ACB</v>
      </c>
      <c r="Y188" s="10" t="str">
        <f>IF(S189&lt;&gt;eRRSP_Tx_Table[[#This Row],[Year]],SUMIFS($W$4:$W188,$S$4:$S188,eRRSP_Tx_Table[[#This Row],[Year]],$W$4:$W188,"&gt;0"),"")</f>
        <v/>
      </c>
      <c r="Z188" s="10" t="str">
        <f>IF(S189&lt;&gt;eRRSP_Tx_Table[[#This Row],[Year]],SUMIFS($W$4:$W188,$S$4:$S188,eRRSP_Tx_Table[[#This Row],[Year]],$W$4:$W188,"&lt;0"),"")</f>
        <v/>
      </c>
      <c r="AA188" s="3">
        <f>(SUMIF($U$4:$U188,CONCATENATE("Buy",$C188),$N$4:$N188)+SUMIF($U$4:$U188,CONCATENATE("ReinvDiv",$C188),$N$4:$N188))</f>
        <v>-1851.7</v>
      </c>
      <c r="AB188" s="3">
        <f>(SUMIF($U$4:$U188,CONCATENATE("Buy",$C188),$F$4:$F188)+SUMIF($U$4:$U188,CONCATENATE("ReinvDiv",$C188),$F$4:$F188)+SUMIF($U$4:$U188,CONCATENATE("StkSplit",$C188),$F$4:$F188)-SUMIF($U$4:$U188,CONCATENATE("Sell",$C188),$F$4:$F188))</f>
        <v>57</v>
      </c>
      <c r="AC188" s="3">
        <f>IF(B188="Sell",F188*INDEX(V:V,LOOKUP(2,1/(X$4:X187=CONCATENATE(C188,"_ACB")),ROW(V$4:V187))),0)</f>
        <v>0</v>
      </c>
    </row>
    <row r="189" spans="1:29" x14ac:dyDescent="0.25">
      <c r="A189" s="20">
        <v>37964</v>
      </c>
      <c r="B189" t="s">
        <v>30</v>
      </c>
      <c r="C189" t="s">
        <v>31</v>
      </c>
      <c r="D189" s="3">
        <v>10688</v>
      </c>
      <c r="M189" s="21">
        <f t="shared" si="22"/>
        <v>10688</v>
      </c>
      <c r="N189" s="8">
        <f t="shared" si="25"/>
        <v>10688</v>
      </c>
      <c r="O189" s="25">
        <f t="shared" si="26"/>
        <v>11133.25</v>
      </c>
      <c r="P189" s="8">
        <f t="shared" si="23"/>
        <v>10688</v>
      </c>
      <c r="Q189" s="4">
        <f>IF(AND(S189&gt;=[1]eRRSP_Rpt!$C$6,S189&lt;=[1]eRRSP_Rpt!$C$7),1,0)</f>
        <v>0</v>
      </c>
      <c r="R189" s="4"/>
      <c r="S189" s="4">
        <f t="shared" si="21"/>
        <v>2003</v>
      </c>
      <c r="T189" s="4"/>
      <c r="U189" s="4" t="str">
        <f t="shared" si="24"/>
        <v>CashContribution</v>
      </c>
      <c r="V189" s="23">
        <f>IFERROR(IF(AND(AB189&gt;0,B189&lt;&gt;"Sell"),(AA189-SUMIF(C$4:C188,C189,AC$4:AC189))/AB189,0),"")</f>
        <v>0</v>
      </c>
      <c r="W189" s="24" t="str">
        <f t="shared" si="20"/>
        <v/>
      </c>
      <c r="X189" s="25" t="str">
        <f t="shared" si="19"/>
        <v/>
      </c>
      <c r="Y189" s="10" t="str">
        <f>IF(S190&lt;&gt;eRRSP_Tx_Table[[#This Row],[Year]],SUMIFS($W$4:$W189,$S$4:$S189,eRRSP_Tx_Table[[#This Row],[Year]],$W$4:$W189,"&gt;0"),"")</f>
        <v/>
      </c>
      <c r="Z189" s="10" t="str">
        <f>IF(S190&lt;&gt;eRRSP_Tx_Table[[#This Row],[Year]],SUMIFS($W$4:$W189,$S$4:$S189,eRRSP_Tx_Table[[#This Row],[Year]],$W$4:$W189,"&lt;0"),"")</f>
        <v/>
      </c>
      <c r="AA189" s="3">
        <f>(SUMIF($U$4:$U189,CONCATENATE("Buy",$C189),$N$4:$N189)+SUMIF($U$4:$U189,CONCATENATE("ReinvDiv",$C189),$N$4:$N189))</f>
        <v>0</v>
      </c>
      <c r="AB189" s="3">
        <f>(SUMIF($U$4:$U189,CONCATENATE("Buy",$C189),$F$4:$F189)+SUMIF($U$4:$U189,CONCATENATE("ReinvDiv",$C189),$F$4:$F189)+SUMIF($U$4:$U189,CONCATENATE("StkSplit",$C189),$F$4:$F189)-SUMIF($U$4:$U189,CONCATENATE("Sell",$C189),$F$4:$F189))</f>
        <v>0</v>
      </c>
      <c r="AC189" s="3">
        <f>IF(B189="Sell",F189*INDEX(V:V,LOOKUP(2,1/(X$4:X188=CONCATENATE(C189,"_ACB")),ROW(V$4:V188))),0)</f>
        <v>0</v>
      </c>
    </row>
    <row r="190" spans="1:29" x14ac:dyDescent="0.25">
      <c r="A190" s="20">
        <v>37971</v>
      </c>
      <c r="B190" t="s">
        <v>43</v>
      </c>
      <c r="C190" t="s">
        <v>36</v>
      </c>
      <c r="D190" s="3">
        <v>1.2</v>
      </c>
      <c r="M190" s="21">
        <f t="shared" si="22"/>
        <v>1.2</v>
      </c>
      <c r="N190" s="8">
        <f t="shared" si="25"/>
        <v>1.2</v>
      </c>
      <c r="O190" s="25">
        <f t="shared" si="26"/>
        <v>11134.45</v>
      </c>
      <c r="P190" s="8">
        <f t="shared" si="23"/>
        <v>0</v>
      </c>
      <c r="Q190" s="4">
        <f>IF(AND(S190&gt;=[1]eRRSP_Rpt!$C$6,S190&lt;=[1]eRRSP_Rpt!$C$7),1,0)</f>
        <v>0</v>
      </c>
      <c r="R190" s="4"/>
      <c r="S190" s="4">
        <f t="shared" si="21"/>
        <v>2003</v>
      </c>
      <c r="T190" s="4"/>
      <c r="U190" s="4" t="str">
        <f t="shared" si="24"/>
        <v>IntIncTDW</v>
      </c>
      <c r="V190" s="23">
        <f>IFERROR(IF(AND(AB190&gt;0,B190&lt;&gt;"Sell"),(AA190-SUMIF(C$4:C189,C190,AC$4:AC190))/AB190,0),"")</f>
        <v>0</v>
      </c>
      <c r="W190" s="24" t="str">
        <f t="shared" si="20"/>
        <v/>
      </c>
      <c r="X190" s="25" t="str">
        <f t="shared" si="19"/>
        <v/>
      </c>
      <c r="Y190" s="10" t="str">
        <f>IF(S191&lt;&gt;eRRSP_Tx_Table[[#This Row],[Year]],SUMIFS($W$4:$W190,$S$4:$S190,eRRSP_Tx_Table[[#This Row],[Year]],$W$4:$W190,"&gt;0"),"")</f>
        <v/>
      </c>
      <c r="Z190" s="10" t="str">
        <f>IF(S191&lt;&gt;eRRSP_Tx_Table[[#This Row],[Year]],SUMIFS($W$4:$W190,$S$4:$S190,eRRSP_Tx_Table[[#This Row],[Year]],$W$4:$W190,"&lt;0"),"")</f>
        <v/>
      </c>
      <c r="AA190" s="3">
        <f>(SUMIF($U$4:$U190,CONCATENATE("Buy",$C190),$N$4:$N190)+SUMIF($U$4:$U190,CONCATENATE("ReinvDiv",$C190),$N$4:$N190))</f>
        <v>0</v>
      </c>
      <c r="AB190" s="3">
        <f>(SUMIF($U$4:$U190,CONCATENATE("Buy",$C190),$F$4:$F190)+SUMIF($U$4:$U190,CONCATENATE("ReinvDiv",$C190),$F$4:$F190)+SUMIF($U$4:$U190,CONCATENATE("StkSplit",$C190),$F$4:$F190)-SUMIF($U$4:$U190,CONCATENATE("Sell",$C190),$F$4:$F190))</f>
        <v>0</v>
      </c>
      <c r="AC190" s="3">
        <f>IF(B190="Sell",F190*INDEX(V:V,LOOKUP(2,1/(X$4:X189=CONCATENATE(C190,"_ACB")),ROW(V$4:V189))),0)</f>
        <v>0</v>
      </c>
    </row>
    <row r="191" spans="1:29" x14ac:dyDescent="0.25">
      <c r="A191" s="20">
        <v>37971</v>
      </c>
      <c r="B191" t="s">
        <v>32</v>
      </c>
      <c r="C191" t="s">
        <v>64</v>
      </c>
      <c r="D191" s="3">
        <v>1000</v>
      </c>
      <c r="E191">
        <v>23.57</v>
      </c>
      <c r="F191" s="3">
        <v>42.427</v>
      </c>
      <c r="M191" s="21">
        <f t="shared" si="22"/>
        <v>1000</v>
      </c>
      <c r="N191" s="8">
        <f t="shared" si="25"/>
        <v>-1000</v>
      </c>
      <c r="O191" s="25">
        <f t="shared" si="26"/>
        <v>10134.450000000001</v>
      </c>
      <c r="P191" s="8">
        <f t="shared" si="23"/>
        <v>0</v>
      </c>
      <c r="Q191" s="4">
        <f>IF(AND(S191&gt;=[1]eRRSP_Rpt!$C$6,S191&lt;=[1]eRRSP_Rpt!$C$7),1,0)</f>
        <v>0</v>
      </c>
      <c r="R191" s="4"/>
      <c r="S191" s="4">
        <f t="shared" si="21"/>
        <v>2003</v>
      </c>
      <c r="T191" s="4"/>
      <c r="U191" s="4" t="str">
        <f t="shared" si="24"/>
        <v>BuyE&amp;P Growth Opp</v>
      </c>
      <c r="V191" s="23">
        <f>IFERROR(IF(AND(AB191&gt;0,B191&lt;&gt;"Sell"),(AA191-SUMIF(C$4:C190,C191,AC$4:AC191))/AB191,0),"")</f>
        <v>-21.920382040944141</v>
      </c>
      <c r="W191" s="24" t="str">
        <f t="shared" si="20"/>
        <v/>
      </c>
      <c r="X191" s="25" t="str">
        <f t="shared" si="19"/>
        <v>E&amp;P Growth Opp_ACB</v>
      </c>
      <c r="Y191" s="10" t="str">
        <f>IF(S192&lt;&gt;eRRSP_Tx_Table[[#This Row],[Year]],SUMIFS($W$4:$W191,$S$4:$S191,eRRSP_Tx_Table[[#This Row],[Year]],$W$4:$W191,"&gt;0"),"")</f>
        <v/>
      </c>
      <c r="Z191" s="10" t="str">
        <f>IF(S192&lt;&gt;eRRSP_Tx_Table[[#This Row],[Year]],SUMIFS($W$4:$W191,$S$4:$S191,eRRSP_Tx_Table[[#This Row],[Year]],$W$4:$W191,"&lt;0"),"")</f>
        <v/>
      </c>
      <c r="AA191" s="3">
        <f>(SUMIF($U$4:$U191,CONCATENATE("Buy",$C191),$N$4:$N191)+SUMIF($U$4:$U191,CONCATENATE("ReinvDiv",$C191),$N$4:$N191))</f>
        <v>-2800</v>
      </c>
      <c r="AB191" s="3">
        <f>(SUMIF($U$4:$U191,CONCATENATE("Buy",$C191),$F$4:$F191)+SUMIF($U$4:$U191,CONCATENATE("ReinvDiv",$C191),$F$4:$F191)+SUMIF($U$4:$U191,CONCATENATE("StkSplit",$C191),$F$4:$F191)-SUMIF($U$4:$U191,CONCATENATE("Sell",$C191),$F$4:$F191))</f>
        <v>127.73500000000001</v>
      </c>
      <c r="AC191" s="3">
        <f>IF(B191="Sell",F191*INDEX(V:V,LOOKUP(2,1/(X$4:X190=CONCATENATE(C191,"_ACB")),ROW(V$4:V190))),0)</f>
        <v>0</v>
      </c>
    </row>
    <row r="192" spans="1:29" x14ac:dyDescent="0.25">
      <c r="A192" s="20">
        <v>37971</v>
      </c>
      <c r="B192" t="s">
        <v>42</v>
      </c>
      <c r="C192" t="s">
        <v>52</v>
      </c>
      <c r="D192" s="3">
        <v>16.88</v>
      </c>
      <c r="M192" s="21">
        <f t="shared" si="22"/>
        <v>16.88</v>
      </c>
      <c r="N192" s="8">
        <f t="shared" si="25"/>
        <v>16.88</v>
      </c>
      <c r="O192" s="25">
        <f t="shared" si="26"/>
        <v>10151.33</v>
      </c>
      <c r="P192" s="8">
        <f t="shared" si="23"/>
        <v>0</v>
      </c>
      <c r="Q192" s="4">
        <f>IF(AND(S192&gt;=[1]eRRSP_Rpt!$C$6,S192&lt;=[1]eRRSP_Rpt!$C$7),1,0)</f>
        <v>0</v>
      </c>
      <c r="R192" s="4"/>
      <c r="S192" s="4">
        <f t="shared" si="21"/>
        <v>2003</v>
      </c>
      <c r="T192" s="4"/>
      <c r="U192" s="4" t="str">
        <f t="shared" si="24"/>
        <v>DivBMO Dividend</v>
      </c>
      <c r="V192" s="23">
        <f>IFERROR(IF(AND(AB192&gt;0,B192&lt;&gt;"Sell"),(AA192-SUMIF(C$4:C191,C192,AC$4:AC192))/AB192,0),"")</f>
        <v>-24.933925098489006</v>
      </c>
      <c r="W192" s="24" t="str">
        <f t="shared" si="20"/>
        <v/>
      </c>
      <c r="X192" s="25" t="str">
        <f t="shared" si="19"/>
        <v>BMO Dividend_ACB</v>
      </c>
      <c r="Y192" s="10" t="str">
        <f>IF(S193&lt;&gt;eRRSP_Tx_Table[[#This Row],[Year]],SUMIFS($W$4:$W192,$S$4:$S192,eRRSP_Tx_Table[[#This Row],[Year]],$W$4:$W192,"&gt;0"),"")</f>
        <v/>
      </c>
      <c r="Z192" s="10" t="str">
        <f>IF(S193&lt;&gt;eRRSP_Tx_Table[[#This Row],[Year]],SUMIFS($W$4:$W192,$S$4:$S192,eRRSP_Tx_Table[[#This Row],[Year]],$W$4:$W192,"&lt;0"),"")</f>
        <v/>
      </c>
      <c r="AA192" s="3">
        <f>(SUMIF($U$4:$U192,CONCATENATE("Buy",$C192),$N$4:$N192)+SUMIF($U$4:$U192,CONCATENATE("ReinvDiv",$C192),$N$4:$N192))</f>
        <v>-3000</v>
      </c>
      <c r="AB192" s="3">
        <f>(SUMIF($U$4:$U192,CONCATENATE("Buy",$C192),$F$4:$F192)+SUMIF($U$4:$U192,CONCATENATE("ReinvDiv",$C192),$F$4:$F192)+SUMIF($U$4:$U192,CONCATENATE("StkSplit",$C192),$F$4:$F192)-SUMIF($U$4:$U192,CONCATENATE("Sell",$C192),$F$4:$F192))</f>
        <v>120.318</v>
      </c>
      <c r="AC192" s="3">
        <f>IF(B192="Sell",F192*INDEX(V:V,LOOKUP(2,1/(X$4:X191=CONCATENATE(C192,"_ACB")),ROW(V$4:V191))),0)</f>
        <v>0</v>
      </c>
    </row>
    <row r="193" spans="1:29" x14ac:dyDescent="0.25">
      <c r="A193" s="20">
        <v>37971</v>
      </c>
      <c r="B193" t="s">
        <v>32</v>
      </c>
      <c r="C193" t="s">
        <v>52</v>
      </c>
      <c r="D193" s="3">
        <v>1000</v>
      </c>
      <c r="E193">
        <v>31.059759</v>
      </c>
      <c r="F193" s="3">
        <v>32.195999999999998</v>
      </c>
      <c r="M193" s="21">
        <f t="shared" si="22"/>
        <v>1000</v>
      </c>
      <c r="N193" s="8">
        <f t="shared" si="25"/>
        <v>-1000</v>
      </c>
      <c r="O193" s="25">
        <f t="shared" si="26"/>
        <v>9151.33</v>
      </c>
      <c r="P193" s="8">
        <f t="shared" si="23"/>
        <v>0</v>
      </c>
      <c r="Q193" s="4">
        <f>IF(AND(S193&gt;=[1]eRRSP_Rpt!$C$6,S193&lt;=[1]eRRSP_Rpt!$C$7),1,0)</f>
        <v>0</v>
      </c>
      <c r="R193" s="4"/>
      <c r="S193" s="4">
        <f t="shared" si="21"/>
        <v>2003</v>
      </c>
      <c r="T193" s="4"/>
      <c r="U193" s="4" t="str">
        <f t="shared" si="24"/>
        <v>BuyBMO Dividend</v>
      </c>
      <c r="V193" s="23">
        <f>IFERROR(IF(AND(AB193&gt;0,B193&lt;&gt;"Sell"),(AA193-SUMIF(C$4:C192,C193,AC$4:AC193))/AB193,0),"")</f>
        <v>-26.227100462908322</v>
      </c>
      <c r="W193" s="24" t="str">
        <f t="shared" si="20"/>
        <v/>
      </c>
      <c r="X193" s="25" t="str">
        <f t="shared" si="19"/>
        <v>BMO Dividend_ACB</v>
      </c>
      <c r="Y193" s="10" t="str">
        <f>IF(S194&lt;&gt;eRRSP_Tx_Table[[#This Row],[Year]],SUMIFS($W$4:$W193,$S$4:$S193,eRRSP_Tx_Table[[#This Row],[Year]],$W$4:$W193,"&gt;0"),"")</f>
        <v/>
      </c>
      <c r="Z193" s="10" t="str">
        <f>IF(S194&lt;&gt;eRRSP_Tx_Table[[#This Row],[Year]],SUMIFS($W$4:$W193,$S$4:$S193,eRRSP_Tx_Table[[#This Row],[Year]],$W$4:$W193,"&lt;0"),"")</f>
        <v/>
      </c>
      <c r="AA193" s="3">
        <f>(SUMIF($U$4:$U193,CONCATENATE("Buy",$C193),$N$4:$N193)+SUMIF($U$4:$U193,CONCATENATE("ReinvDiv",$C193),$N$4:$N193))</f>
        <v>-4000</v>
      </c>
      <c r="AB193" s="3">
        <f>(SUMIF($U$4:$U193,CONCATENATE("Buy",$C193),$F$4:$F193)+SUMIF($U$4:$U193,CONCATENATE("ReinvDiv",$C193),$F$4:$F193)+SUMIF($U$4:$U193,CONCATENATE("StkSplit",$C193),$F$4:$F193)-SUMIF($U$4:$U193,CONCATENATE("Sell",$C193),$F$4:$F193))</f>
        <v>152.51400000000001</v>
      </c>
      <c r="AC193" s="3">
        <f>IF(B193="Sell",F193*INDEX(V:V,LOOKUP(2,1/(X$4:X192=CONCATENATE(C193,"_ACB")),ROW(V$4:V192))),0)</f>
        <v>0</v>
      </c>
    </row>
    <row r="194" spans="1:29" x14ac:dyDescent="0.25">
      <c r="A194" s="20">
        <v>37971</v>
      </c>
      <c r="B194" t="s">
        <v>32</v>
      </c>
      <c r="C194" t="s">
        <v>59</v>
      </c>
      <c r="D194" s="3">
        <v>1000</v>
      </c>
      <c r="E194">
        <v>19.028409</v>
      </c>
      <c r="F194" s="3">
        <v>52.552999999999997</v>
      </c>
      <c r="M194" s="21">
        <f t="shared" si="22"/>
        <v>1000</v>
      </c>
      <c r="N194" s="8">
        <f t="shared" si="25"/>
        <v>-1000</v>
      </c>
      <c r="O194" s="25">
        <f t="shared" si="26"/>
        <v>8151.33</v>
      </c>
      <c r="P194" s="8">
        <f t="shared" si="23"/>
        <v>0</v>
      </c>
      <c r="Q194" s="4">
        <f>IF(AND(S194&gt;=[1]eRRSP_Rpt!$C$6,S194&lt;=[1]eRRSP_Rpt!$C$7),1,0)</f>
        <v>0</v>
      </c>
      <c r="R194" s="4"/>
      <c r="S194" s="4">
        <f t="shared" si="21"/>
        <v>2003</v>
      </c>
      <c r="T194" s="4"/>
      <c r="U194" s="4" t="str">
        <f t="shared" si="24"/>
        <v>BuySaxon SmallCap</v>
      </c>
      <c r="V194" s="23">
        <f>IFERROR(IF(AND(AB194&gt;0,B194&lt;&gt;"Sell"),(AA194-SUMIF(C$4:C193,C194,AC$4:AC194))/AB194,0),"")</f>
        <v>-17.313462407840468</v>
      </c>
      <c r="W194" s="24" t="str">
        <f t="shared" si="20"/>
        <v/>
      </c>
      <c r="X194" s="25" t="str">
        <f t="shared" si="19"/>
        <v>Saxon SmallCap_ACB</v>
      </c>
      <c r="Y194" s="10" t="str">
        <f>IF(S195&lt;&gt;eRRSP_Tx_Table[[#This Row],[Year]],SUMIFS($W$4:$W194,$S$4:$S194,eRRSP_Tx_Table[[#This Row],[Year]],$W$4:$W194,"&gt;0"),"")</f>
        <v/>
      </c>
      <c r="Z194" s="10" t="str">
        <f>IF(S195&lt;&gt;eRRSP_Tx_Table[[#This Row],[Year]],SUMIFS($W$4:$W194,$S$4:$S194,eRRSP_Tx_Table[[#This Row],[Year]],$W$4:$W194,"&lt;0"),"")</f>
        <v/>
      </c>
      <c r="AA194" s="3">
        <f>(SUMIF($U$4:$U194,CONCATENATE("Buy",$C194),$N$4:$N194)+SUMIF($U$4:$U194,CONCATENATE("ReinvDiv",$C194),$N$4:$N194))</f>
        <v>-6204.21</v>
      </c>
      <c r="AB194" s="3">
        <f>(SUMIF($U$4:$U194,CONCATENATE("Buy",$C194),$F$4:$F194)+SUMIF($U$4:$U194,CONCATENATE("ReinvDiv",$C194),$F$4:$F194)+SUMIF($U$4:$U194,CONCATENATE("StkSplit",$C194),$F$4:$F194)-SUMIF($U$4:$U194,CONCATENATE("Sell",$C194),$F$4:$F194))</f>
        <v>358.346</v>
      </c>
      <c r="AC194" s="3">
        <f>IF(B194="Sell",F194*INDEX(V:V,LOOKUP(2,1/(X$4:X193=CONCATENATE(C194,"_ACB")),ROW(V$4:V193))),0)</f>
        <v>0</v>
      </c>
    </row>
    <row r="195" spans="1:29" x14ac:dyDescent="0.25">
      <c r="A195" s="20">
        <v>37973</v>
      </c>
      <c r="B195" t="s">
        <v>35</v>
      </c>
      <c r="C195" t="s">
        <v>65</v>
      </c>
      <c r="D195" s="3">
        <v>50</v>
      </c>
      <c r="M195" s="21">
        <f t="shared" si="22"/>
        <v>50</v>
      </c>
      <c r="N195" s="8">
        <f t="shared" si="25"/>
        <v>50</v>
      </c>
      <c r="O195" s="25">
        <f t="shared" si="26"/>
        <v>8201.33</v>
      </c>
      <c r="P195" s="8">
        <f t="shared" si="23"/>
        <v>0</v>
      </c>
      <c r="Q195" s="4">
        <f>IF(AND(S195&gt;=[1]eRRSP_Rpt!$C$6,S195&lt;=[1]eRRSP_Rpt!$C$7),1,0)</f>
        <v>0</v>
      </c>
      <c r="R195" s="4"/>
      <c r="S195" s="4">
        <f t="shared" si="21"/>
        <v>2003</v>
      </c>
      <c r="T195" s="4"/>
      <c r="U195" s="4" t="str">
        <f t="shared" si="24"/>
        <v>FeesAIM CDN First Class</v>
      </c>
      <c r="V195" s="23">
        <f>IFERROR(IF(AND(AB195&gt;0,B195&lt;&gt;"Sell"),(AA195-SUMIF(C$4:C194,C195,AC$4:AC195))/AB195,0),"")</f>
        <v>0</v>
      </c>
      <c r="W195" s="24" t="str">
        <f t="shared" si="20"/>
        <v/>
      </c>
      <c r="X195" s="25" t="str">
        <f t="shared" si="19"/>
        <v/>
      </c>
      <c r="Y195" s="10" t="str">
        <f>IF(S196&lt;&gt;eRRSP_Tx_Table[[#This Row],[Year]],SUMIFS($W$4:$W195,$S$4:$S195,eRRSP_Tx_Table[[#This Row],[Year]],$W$4:$W195,"&gt;0"),"")</f>
        <v/>
      </c>
      <c r="Z195" s="10" t="str">
        <f>IF(S196&lt;&gt;eRRSP_Tx_Table[[#This Row],[Year]],SUMIFS($W$4:$W195,$S$4:$S195,eRRSP_Tx_Table[[#This Row],[Year]],$W$4:$W195,"&lt;0"),"")</f>
        <v/>
      </c>
      <c r="AA195" s="3">
        <f>(SUMIF($U$4:$U195,CONCATENATE("Buy",$C195),$N$4:$N195)+SUMIF($U$4:$U195,CONCATENATE("ReinvDiv",$C195),$N$4:$N195))</f>
        <v>0</v>
      </c>
      <c r="AB195" s="3">
        <f>(SUMIF($U$4:$U195,CONCATENATE("Buy",$C195),$F$4:$F195)+SUMIF($U$4:$U195,CONCATENATE("ReinvDiv",$C195),$F$4:$F195)+SUMIF($U$4:$U195,CONCATENATE("StkSplit",$C195),$F$4:$F195)-SUMIF($U$4:$U195,CONCATENATE("Sell",$C195),$F$4:$F195))</f>
        <v>0</v>
      </c>
      <c r="AC195" s="3">
        <f>IF(B195="Sell",F195*INDEX(V:V,LOOKUP(2,1/(X$4:X194=CONCATENATE(C195,"_ACB")),ROW(V$4:V194))),0)</f>
        <v>0</v>
      </c>
    </row>
    <row r="196" spans="1:29" x14ac:dyDescent="0.25">
      <c r="A196" s="20">
        <v>37973</v>
      </c>
      <c r="B196" t="s">
        <v>42</v>
      </c>
      <c r="C196" t="s">
        <v>53</v>
      </c>
      <c r="D196" s="3">
        <v>19.8</v>
      </c>
      <c r="M196" s="21">
        <f t="shared" si="22"/>
        <v>19.8</v>
      </c>
      <c r="N196" s="8">
        <f t="shared" si="25"/>
        <v>19.8</v>
      </c>
      <c r="O196" s="25">
        <f t="shared" si="26"/>
        <v>8221.1299999999992</v>
      </c>
      <c r="P196" s="8">
        <f t="shared" si="23"/>
        <v>0</v>
      </c>
      <c r="Q196" s="4">
        <f>IF(AND(S196&gt;=[1]eRRSP_Rpt!$C$6,S196&lt;=[1]eRRSP_Rpt!$C$7),1,0)</f>
        <v>0</v>
      </c>
      <c r="R196" s="4"/>
      <c r="S196" s="4">
        <f t="shared" si="21"/>
        <v>2003</v>
      </c>
      <c r="T196" s="4"/>
      <c r="U196" s="4" t="str">
        <f t="shared" si="24"/>
        <v>DivTD CDN Bond</v>
      </c>
      <c r="V196" s="23">
        <f>IFERROR(IF(AND(AB196&gt;0,B196&lt;&gt;"Sell"),(AA196-SUMIF(C$4:C195,C196,AC$4:AC196))/AB196,0),"")</f>
        <v>-12.100018755029071</v>
      </c>
      <c r="W196" s="24" t="str">
        <f t="shared" si="20"/>
        <v/>
      </c>
      <c r="X196" s="25" t="str">
        <f t="shared" ref="X196:X259" si="27">IF(V196,CONCATENATE(C196,"_ACB"),"")</f>
        <v>TD CDN Bond_ACB</v>
      </c>
      <c r="Y196" s="10" t="str">
        <f>IF(S197&lt;&gt;eRRSP_Tx_Table[[#This Row],[Year]],SUMIFS($W$4:$W196,$S$4:$S196,eRRSP_Tx_Table[[#This Row],[Year]],$W$4:$W196,"&gt;0"),"")</f>
        <v/>
      </c>
      <c r="Z196" s="10" t="str">
        <f>IF(S197&lt;&gt;eRRSP_Tx_Table[[#This Row],[Year]],SUMIFS($W$4:$W196,$S$4:$S196,eRRSP_Tx_Table[[#This Row],[Year]],$W$4:$W196,"&lt;0"),"")</f>
        <v/>
      </c>
      <c r="AA196" s="3">
        <f>(SUMIF($U$4:$U196,CONCATENATE("Buy",$C196),$N$4:$N196)+SUMIF($U$4:$U196,CONCATENATE("ReinvDiv",$C196),$N$4:$N196))</f>
        <v>-2000</v>
      </c>
      <c r="AB196" s="3">
        <f>(SUMIF($U$4:$U196,CONCATENATE("Buy",$C196),$F$4:$F196)+SUMIF($U$4:$U196,CONCATENATE("ReinvDiv",$C196),$F$4:$F196)+SUMIF($U$4:$U196,CONCATENATE("StkSplit",$C196),$F$4:$F196)-SUMIF($U$4:$U196,CONCATENATE("Sell",$C196),$F$4:$F196))</f>
        <v>165.28899999999999</v>
      </c>
      <c r="AC196" s="3">
        <f>IF(B196="Sell",F196*INDEX(V:V,LOOKUP(2,1/(X$4:X195=CONCATENATE(C196,"_ACB")),ROW(V$4:V195))),0)</f>
        <v>0</v>
      </c>
    </row>
    <row r="197" spans="1:29" x14ac:dyDescent="0.25">
      <c r="A197" s="20">
        <v>37973</v>
      </c>
      <c r="B197" t="s">
        <v>32</v>
      </c>
      <c r="C197" t="s">
        <v>65</v>
      </c>
      <c r="D197" s="3">
        <v>2000</v>
      </c>
      <c r="E197">
        <v>8.3659999999999997</v>
      </c>
      <c r="F197" s="3">
        <v>239.06299999999999</v>
      </c>
      <c r="M197" s="21">
        <f t="shared" si="22"/>
        <v>2000</v>
      </c>
      <c r="N197" s="8">
        <f t="shared" si="25"/>
        <v>-2000</v>
      </c>
      <c r="O197" s="25">
        <f t="shared" si="26"/>
        <v>6221.1299999999992</v>
      </c>
      <c r="P197" s="8">
        <f t="shared" si="23"/>
        <v>0</v>
      </c>
      <c r="Q197" s="4">
        <f>IF(AND(S197&gt;=[1]eRRSP_Rpt!$C$6,S197&lt;=[1]eRRSP_Rpt!$C$7),1,0)</f>
        <v>0</v>
      </c>
      <c r="R197" s="4"/>
      <c r="S197" s="4">
        <f t="shared" si="21"/>
        <v>2003</v>
      </c>
      <c r="T197" s="4"/>
      <c r="U197" s="4" t="str">
        <f t="shared" si="24"/>
        <v>BuyAIM CDN First Class</v>
      </c>
      <c r="V197" s="23">
        <f>IFERROR(IF(AND(AB197&gt;0,B197&lt;&gt;"Sell"),(AA197-SUMIF(C$4:C196,C197,AC$4:AC197))/AB197,0),"")</f>
        <v>-8.3659955743883412</v>
      </c>
      <c r="W197" s="24" t="str">
        <f t="shared" ref="W197:W260" si="28">IF(B197="Sell",N197+AC197,"")</f>
        <v/>
      </c>
      <c r="X197" s="25" t="str">
        <f t="shared" si="27"/>
        <v>AIM CDN First Class_ACB</v>
      </c>
      <c r="Y197" s="10" t="str">
        <f>IF(S198&lt;&gt;eRRSP_Tx_Table[[#This Row],[Year]],SUMIFS($W$4:$W197,$S$4:$S197,eRRSP_Tx_Table[[#This Row],[Year]],$W$4:$W197,"&gt;0"),"")</f>
        <v/>
      </c>
      <c r="Z197" s="10" t="str">
        <f>IF(S198&lt;&gt;eRRSP_Tx_Table[[#This Row],[Year]],SUMIFS($W$4:$W197,$S$4:$S197,eRRSP_Tx_Table[[#This Row],[Year]],$W$4:$W197,"&lt;0"),"")</f>
        <v/>
      </c>
      <c r="AA197" s="3">
        <f>(SUMIF($U$4:$U197,CONCATENATE("Buy",$C197),$N$4:$N197)+SUMIF($U$4:$U197,CONCATENATE("ReinvDiv",$C197),$N$4:$N197))</f>
        <v>-2000</v>
      </c>
      <c r="AB197" s="3">
        <f>(SUMIF($U$4:$U197,CONCATENATE("Buy",$C197),$F$4:$F197)+SUMIF($U$4:$U197,CONCATENATE("ReinvDiv",$C197),$F$4:$F197)+SUMIF($U$4:$U197,CONCATENATE("StkSplit",$C197),$F$4:$F197)-SUMIF($U$4:$U197,CONCATENATE("Sell",$C197),$F$4:$F197))</f>
        <v>239.06299999999999</v>
      </c>
      <c r="AC197" s="3">
        <f>IF(B197="Sell",F197*INDEX(V:V,LOOKUP(2,1/(X$4:X196=CONCATENATE(C197,"_ACB")),ROW(V$4:V196))),0)</f>
        <v>0</v>
      </c>
    </row>
    <row r="198" spans="1:29" x14ac:dyDescent="0.25">
      <c r="A198" s="20">
        <v>37973</v>
      </c>
      <c r="B198" t="s">
        <v>41</v>
      </c>
      <c r="C198" t="s">
        <v>62</v>
      </c>
      <c r="D198" s="3">
        <v>12.41</v>
      </c>
      <c r="E198">
        <v>13.49</v>
      </c>
      <c r="F198" s="3">
        <v>0.92</v>
      </c>
      <c r="M198" s="21">
        <f t="shared" si="22"/>
        <v>12.41</v>
      </c>
      <c r="N198" s="8">
        <f t="shared" si="25"/>
        <v>-12.41</v>
      </c>
      <c r="O198" s="25">
        <f t="shared" si="26"/>
        <v>6221.1299999999992</v>
      </c>
      <c r="P198" s="8">
        <f t="shared" si="23"/>
        <v>0</v>
      </c>
      <c r="Q198" s="4">
        <f>IF(AND(S198&gt;=[1]eRRSP_Rpt!$C$6,S198&lt;=[1]eRRSP_Rpt!$C$7),1,0)</f>
        <v>0</v>
      </c>
      <c r="R198" s="4"/>
      <c r="S198" s="4">
        <f t="shared" si="21"/>
        <v>2003</v>
      </c>
      <c r="T198" s="4"/>
      <c r="U198" s="4" t="str">
        <f t="shared" si="24"/>
        <v>ReinvDivTD RR Bond</v>
      </c>
      <c r="V198" s="23">
        <f>IFERROR(IF(AND(AB198&gt;0,B198&lt;&gt;"Sell"),(AA198-SUMIF(C$4:C197,C198,AC$4:AC198))/AB198,0),"")</f>
        <v>-12.825477400611426</v>
      </c>
      <c r="W198" s="24" t="str">
        <f t="shared" si="28"/>
        <v/>
      </c>
      <c r="X198" s="25" t="str">
        <f t="shared" si="27"/>
        <v>TD RR Bond_ACB</v>
      </c>
      <c r="Y198" s="10" t="str">
        <f>IF(S199&lt;&gt;eRRSP_Tx_Table[[#This Row],[Year]],SUMIFS($W$4:$W198,$S$4:$S198,eRRSP_Tx_Table[[#This Row],[Year]],$W$4:$W198,"&gt;0"),"")</f>
        <v/>
      </c>
      <c r="Z198" s="10" t="str">
        <f>IF(S199&lt;&gt;eRRSP_Tx_Table[[#This Row],[Year]],SUMIFS($W$4:$W198,$S$4:$S198,eRRSP_Tx_Table[[#This Row],[Year]],$W$4:$W198,"&lt;0"),"")</f>
        <v/>
      </c>
      <c r="AA198" s="3">
        <f>(SUMIF($U$4:$U198,CONCATENATE("Buy",$C198),$N$4:$N198)+SUMIF($U$4:$U198,CONCATENATE("ReinvDiv",$C198),$N$4:$N198))</f>
        <v>-2026.31</v>
      </c>
      <c r="AB198" s="3">
        <f>(SUMIF($U$4:$U198,CONCATENATE("Buy",$C198),$F$4:$F198)+SUMIF($U$4:$U198,CONCATENATE("ReinvDiv",$C198),$F$4:$F198)+SUMIF($U$4:$U198,CONCATENATE("StkSplit",$C198),$F$4:$F198)-SUMIF($U$4:$U198,CONCATENATE("Sell",$C198),$F$4:$F198))</f>
        <v>157.99100000000001</v>
      </c>
      <c r="AC198" s="3">
        <f>IF(B198="Sell",F198*INDEX(V:V,LOOKUP(2,1/(X$4:X197=CONCATENATE(C198,"_ACB")),ROW(V$4:V197))),0)</f>
        <v>0</v>
      </c>
    </row>
    <row r="199" spans="1:29" x14ac:dyDescent="0.25">
      <c r="A199" s="20">
        <v>37973</v>
      </c>
      <c r="B199" t="s">
        <v>41</v>
      </c>
      <c r="C199" t="s">
        <v>58</v>
      </c>
      <c r="D199" s="3">
        <v>10.81</v>
      </c>
      <c r="E199">
        <v>9.09</v>
      </c>
      <c r="F199" s="3">
        <v>1.1890000000000001</v>
      </c>
      <c r="M199" s="21">
        <f t="shared" si="22"/>
        <v>10.81</v>
      </c>
      <c r="N199" s="8">
        <f t="shared" si="25"/>
        <v>-10.81</v>
      </c>
      <c r="O199" s="25">
        <f t="shared" si="26"/>
        <v>6221.1299999999992</v>
      </c>
      <c r="P199" s="8">
        <f t="shared" si="23"/>
        <v>0</v>
      </c>
      <c r="Q199" s="4">
        <f>IF(AND(S199&gt;=[1]eRRSP_Rpt!$C$6,S199&lt;=[1]eRRSP_Rpt!$C$7),1,0)</f>
        <v>0</v>
      </c>
      <c r="R199" s="4"/>
      <c r="S199" s="4">
        <f t="shared" si="21"/>
        <v>2003</v>
      </c>
      <c r="T199" s="4"/>
      <c r="U199" s="4" t="str">
        <f t="shared" si="24"/>
        <v>ReinvDivTD DJIA Index</v>
      </c>
      <c r="V199" s="23">
        <f>IFERROR(IF(AND(AB199&gt;0,B199&lt;&gt;"Sell"),(AA199-SUMIF(C$4:C198,C199,AC$4:AC199))/AB199,0),"")</f>
        <v>-11.266913838451057</v>
      </c>
      <c r="W199" s="24" t="str">
        <f t="shared" si="28"/>
        <v/>
      </c>
      <c r="X199" s="25" t="str">
        <f t="shared" si="27"/>
        <v>TD DJIA Index_ACB</v>
      </c>
      <c r="Y199" s="10" t="str">
        <f>IF(S200&lt;&gt;eRRSP_Tx_Table[[#This Row],[Year]],SUMIFS($W$4:$W199,$S$4:$S199,eRRSP_Tx_Table[[#This Row],[Year]],$W$4:$W199,"&gt;0"),"")</f>
        <v/>
      </c>
      <c r="Z199" s="10" t="str">
        <f>IF(S200&lt;&gt;eRRSP_Tx_Table[[#This Row],[Year]],SUMIFS($W$4:$W199,$S$4:$S199,eRRSP_Tx_Table[[#This Row],[Year]],$W$4:$W199,"&lt;0"),"")</f>
        <v/>
      </c>
      <c r="AA199" s="3">
        <f>(SUMIF($U$4:$U199,CONCATENATE("Buy",$C199),$N$4:$N199)+SUMIF($U$4:$U199,CONCATENATE("ReinvDiv",$C199),$N$4:$N199))</f>
        <v>-1066.6500000000001</v>
      </c>
      <c r="AB199" s="3">
        <f>(SUMIF($U$4:$U199,CONCATENATE("Buy",$C199),$F$4:$F199)+SUMIF($U$4:$U199,CONCATENATE("ReinvDiv",$C199),$F$4:$F199)+SUMIF($U$4:$U199,CONCATENATE("StkSplit",$C199),$F$4:$F199)-SUMIF($U$4:$U199,CONCATENATE("Sell",$C199),$F$4:$F199))</f>
        <v>94.671000000000006</v>
      </c>
      <c r="AC199" s="3">
        <f>IF(B199="Sell",F199*INDEX(V:V,LOOKUP(2,1/(X$4:X198=CONCATENATE(C199,"_ACB")),ROW(V$4:V198))),0)</f>
        <v>0</v>
      </c>
    </row>
    <row r="200" spans="1:29" x14ac:dyDescent="0.25">
      <c r="A200" s="20">
        <v>37973</v>
      </c>
      <c r="B200" t="s">
        <v>41</v>
      </c>
      <c r="C200" t="s">
        <v>59</v>
      </c>
      <c r="D200" s="3">
        <v>263.69</v>
      </c>
      <c r="E200">
        <v>18.452763999999998</v>
      </c>
      <c r="F200" s="3">
        <v>14.29</v>
      </c>
      <c r="M200" s="21">
        <f t="shared" si="22"/>
        <v>263.69</v>
      </c>
      <c r="N200" s="8">
        <f t="shared" si="25"/>
        <v>-263.69</v>
      </c>
      <c r="O200" s="25">
        <f t="shared" si="26"/>
        <v>6221.1299999999992</v>
      </c>
      <c r="P200" s="8">
        <f t="shared" si="23"/>
        <v>0</v>
      </c>
      <c r="Q200" s="4">
        <f>IF(AND(S200&gt;=[1]eRRSP_Rpt!$C$6,S200&lt;=[1]eRRSP_Rpt!$C$7),1,0)</f>
        <v>0</v>
      </c>
      <c r="R200" s="4"/>
      <c r="S200" s="4">
        <f t="shared" si="21"/>
        <v>2003</v>
      </c>
      <c r="T200" s="4"/>
      <c r="U200" s="4" t="str">
        <f t="shared" si="24"/>
        <v>ReinvDivSaxon SmallCap</v>
      </c>
      <c r="V200" s="23">
        <f>IFERROR(IF(AND(AB200&gt;0,B200&lt;&gt;"Sell"),(AA200-SUMIF(C$4:C199,C200,AC$4:AC200))/AB200,0),"")</f>
        <v>-17.357152824740499</v>
      </c>
      <c r="W200" s="24" t="str">
        <f t="shared" si="28"/>
        <v/>
      </c>
      <c r="X200" s="25" t="str">
        <f t="shared" si="27"/>
        <v>Saxon SmallCap_ACB</v>
      </c>
      <c r="Y200" s="10" t="str">
        <f>IF(S201&lt;&gt;eRRSP_Tx_Table[[#This Row],[Year]],SUMIFS($W$4:$W200,$S$4:$S200,eRRSP_Tx_Table[[#This Row],[Year]],$W$4:$W200,"&gt;0"),"")</f>
        <v/>
      </c>
      <c r="Z200" s="10" t="str">
        <f>IF(S201&lt;&gt;eRRSP_Tx_Table[[#This Row],[Year]],SUMIFS($W$4:$W200,$S$4:$S200,eRRSP_Tx_Table[[#This Row],[Year]],$W$4:$W200,"&lt;0"),"")</f>
        <v/>
      </c>
      <c r="AA200" s="3">
        <f>(SUMIF($U$4:$U200,CONCATENATE("Buy",$C200),$N$4:$N200)+SUMIF($U$4:$U200,CONCATENATE("ReinvDiv",$C200),$N$4:$N200))</f>
        <v>-6467.9</v>
      </c>
      <c r="AB200" s="3">
        <f>(SUMIF($U$4:$U200,CONCATENATE("Buy",$C200),$F$4:$F200)+SUMIF($U$4:$U200,CONCATENATE("ReinvDiv",$C200),$F$4:$F200)+SUMIF($U$4:$U200,CONCATENATE("StkSplit",$C200),$F$4:$F200)-SUMIF($U$4:$U200,CONCATENATE("Sell",$C200),$F$4:$F200))</f>
        <v>372.63599999999997</v>
      </c>
      <c r="AC200" s="3">
        <f>IF(B200="Sell",F200*INDEX(V:V,LOOKUP(2,1/(X$4:X199=CONCATENATE(C200,"_ACB")),ROW(V$4:V199))),0)</f>
        <v>0</v>
      </c>
    </row>
    <row r="201" spans="1:29" x14ac:dyDescent="0.25">
      <c r="A201" s="20">
        <v>37974</v>
      </c>
      <c r="B201" t="s">
        <v>41</v>
      </c>
      <c r="C201" t="s">
        <v>50</v>
      </c>
      <c r="D201" s="3">
        <v>30.61</v>
      </c>
      <c r="E201">
        <v>5.58</v>
      </c>
      <c r="F201" s="3">
        <v>5.4859999999999998</v>
      </c>
      <c r="M201" s="21">
        <f t="shared" si="22"/>
        <v>30.61</v>
      </c>
      <c r="N201" s="8">
        <f t="shared" si="25"/>
        <v>-30.61</v>
      </c>
      <c r="O201" s="25">
        <f t="shared" si="26"/>
        <v>6221.1299999999992</v>
      </c>
      <c r="P201" s="8">
        <f t="shared" si="23"/>
        <v>0</v>
      </c>
      <c r="Q201" s="4">
        <f>IF(AND(S201&gt;=[1]eRRSP_Rpt!$C$6,S201&lt;=[1]eRRSP_Rpt!$C$7),1,0)</f>
        <v>0</v>
      </c>
      <c r="R201" s="4"/>
      <c r="S201" s="4">
        <f t="shared" ref="S201:S266" si="29">YEAR(A201)</f>
        <v>2003</v>
      </c>
      <c r="T201" s="4"/>
      <c r="U201" s="4" t="str">
        <f t="shared" si="24"/>
        <v>ReinvDivTalvest Global Health Care RSP</v>
      </c>
      <c r="V201" s="23">
        <f>IFERROR(IF(AND(AB201&gt;0,B201&lt;&gt;"Sell"),(AA201-SUMIF(C$4:C200,C201,AC$4:AC201))/AB201,0),"")</f>
        <v>-5.7146547738830114</v>
      </c>
      <c r="W201" s="24" t="str">
        <f t="shared" si="28"/>
        <v/>
      </c>
      <c r="X201" s="25" t="str">
        <f t="shared" si="27"/>
        <v>Talvest Global Health Care RSP_ACB</v>
      </c>
      <c r="Y201" s="10" t="str">
        <f>IF(S202&lt;&gt;eRRSP_Tx_Table[[#This Row],[Year]],SUMIFS($W$4:$W201,$S$4:$S201,eRRSP_Tx_Table[[#This Row],[Year]],$W$4:$W201,"&gt;0"),"")</f>
        <v/>
      </c>
      <c r="Z201" s="10" t="str">
        <f>IF(S202&lt;&gt;eRRSP_Tx_Table[[#This Row],[Year]],SUMIFS($W$4:$W201,$S$4:$S201,eRRSP_Tx_Table[[#This Row],[Year]],$W$4:$W201,"&lt;0"),"")</f>
        <v/>
      </c>
      <c r="AA201" s="3">
        <f>(SUMIF($U$4:$U201,CONCATENATE("Buy",$C201),$N$4:$N201)+SUMIF($U$4:$U201,CONCATENATE("ReinvDiv",$C201),$N$4:$N201))</f>
        <v>-1681.16</v>
      </c>
      <c r="AB201" s="3">
        <f>(SUMIF($U$4:$U201,CONCATENATE("Buy",$C201),$F$4:$F201)+SUMIF($U$4:$U201,CONCATENATE("ReinvDiv",$C201),$F$4:$F201)+SUMIF($U$4:$U201,CONCATENATE("StkSplit",$C201),$F$4:$F201)-SUMIF($U$4:$U201,CONCATENATE("Sell",$C201),$F$4:$F201))</f>
        <v>294.18400000000003</v>
      </c>
      <c r="AC201" s="3">
        <f>IF(B201="Sell",F201*INDEX(V:V,LOOKUP(2,1/(X$4:X200=CONCATENATE(C201,"_ACB")),ROW(V$4:V200))),0)</f>
        <v>0</v>
      </c>
    </row>
    <row r="202" spans="1:29" x14ac:dyDescent="0.25">
      <c r="A202" s="20">
        <v>37974</v>
      </c>
      <c r="B202" t="s">
        <v>42</v>
      </c>
      <c r="C202" t="s">
        <v>51</v>
      </c>
      <c r="D202" s="3">
        <v>149.94</v>
      </c>
      <c r="M202" s="21">
        <f t="shared" si="22"/>
        <v>149.94</v>
      </c>
      <c r="N202" s="8">
        <f t="shared" si="25"/>
        <v>149.94</v>
      </c>
      <c r="O202" s="25">
        <f t="shared" si="26"/>
        <v>6371.0699999999988</v>
      </c>
      <c r="P202" s="8">
        <f t="shared" si="23"/>
        <v>0</v>
      </c>
      <c r="Q202" s="4">
        <f>IF(AND(S202&gt;=[1]eRRSP_Rpt!$C$6,S202&lt;=[1]eRRSP_Rpt!$C$7),1,0)</f>
        <v>0</v>
      </c>
      <c r="R202" s="4"/>
      <c r="S202" s="4">
        <f t="shared" si="29"/>
        <v>2003</v>
      </c>
      <c r="T202" s="4"/>
      <c r="U202" s="4" t="str">
        <f t="shared" si="24"/>
        <v>DivCIBC Energy Fund</v>
      </c>
      <c r="V202" s="23">
        <f>IFERROR(IF(AND(AB202&gt;0,B202&lt;&gt;"Sell"),(AA202-SUMIF(C$4:C201,C202,AC$4:AC202))/AB202,0),"")</f>
        <v>-14.8687092969083</v>
      </c>
      <c r="W202" s="24" t="str">
        <f t="shared" si="28"/>
        <v/>
      </c>
      <c r="X202" s="25" t="str">
        <f t="shared" si="27"/>
        <v>CIBC Energy Fund_ACB</v>
      </c>
      <c r="Y202" s="10" t="str">
        <f>IF(S203&lt;&gt;eRRSP_Tx_Table[[#This Row],[Year]],SUMIFS($W$4:$W202,$S$4:$S202,eRRSP_Tx_Table[[#This Row],[Year]],$W$4:$W202,"&gt;0"),"")</f>
        <v/>
      </c>
      <c r="Z202" s="10" t="str">
        <f>IF(S203&lt;&gt;eRRSP_Tx_Table[[#This Row],[Year]],SUMIFS($W$4:$W202,$S$4:$S202,eRRSP_Tx_Table[[#This Row],[Year]],$W$4:$W202,"&lt;0"),"")</f>
        <v/>
      </c>
      <c r="AA202" s="3">
        <f>(SUMIF($U$4:$U202,CONCATENATE("Buy",$C202),$N$4:$N202)+SUMIF($U$4:$U202,CONCATENATE("ReinvDiv",$C202),$N$4:$N202))</f>
        <v>-1500</v>
      </c>
      <c r="AB202" s="3">
        <f>(SUMIF($U$4:$U202,CONCATENATE("Buy",$C202),$F$4:$F202)+SUMIF($U$4:$U202,CONCATENATE("ReinvDiv",$C202),$F$4:$F202)+SUMIF($U$4:$U202,CONCATENATE("StkSplit",$C202),$F$4:$F202)-SUMIF($U$4:$U202,CONCATENATE("Sell",$C202),$F$4:$F202))</f>
        <v>100.883</v>
      </c>
      <c r="AC202" s="3">
        <f>IF(B202="Sell",F202*INDEX(V:V,LOOKUP(2,1/(X$4:X201=CONCATENATE(C202,"_ACB")),ROW(V$4:V201))),0)</f>
        <v>0</v>
      </c>
    </row>
    <row r="203" spans="1:29" x14ac:dyDescent="0.25">
      <c r="A203" s="20">
        <v>37974</v>
      </c>
      <c r="B203" t="s">
        <v>41</v>
      </c>
      <c r="C203" t="s">
        <v>65</v>
      </c>
      <c r="D203" s="3">
        <v>10.71</v>
      </c>
      <c r="E203">
        <v>8.5299999999999994</v>
      </c>
      <c r="F203" s="3">
        <v>1.2549999999999999</v>
      </c>
      <c r="M203" s="21">
        <f t="shared" si="22"/>
        <v>10.71</v>
      </c>
      <c r="N203" s="8">
        <f t="shared" si="25"/>
        <v>-10.71</v>
      </c>
      <c r="O203" s="25">
        <f t="shared" si="26"/>
        <v>6371.0699999999988</v>
      </c>
      <c r="P203" s="8">
        <f t="shared" si="23"/>
        <v>0</v>
      </c>
      <c r="Q203" s="4">
        <f>IF(AND(S203&gt;=[1]eRRSP_Rpt!$C$6,S203&lt;=[1]eRRSP_Rpt!$C$7),1,0)</f>
        <v>0</v>
      </c>
      <c r="R203" s="4"/>
      <c r="S203" s="4">
        <f t="shared" si="29"/>
        <v>2003</v>
      </c>
      <c r="T203" s="4"/>
      <c r="U203" s="4" t="str">
        <f t="shared" si="24"/>
        <v>ReinvDivAIM CDN First Class</v>
      </c>
      <c r="V203" s="23">
        <f>IFERROR(IF(AND(AB203&gt;0,B203&lt;&gt;"Sell"),(AA203-SUMIF(C$4:C202,C203,AC$4:AC203))/AB203,0),"")</f>
        <v>-8.3668722276317222</v>
      </c>
      <c r="W203" s="24" t="str">
        <f t="shared" si="28"/>
        <v/>
      </c>
      <c r="X203" s="25" t="str">
        <f t="shared" si="27"/>
        <v>AIM CDN First Class_ACB</v>
      </c>
      <c r="Y203" s="10" t="str">
        <f>IF(S204&lt;&gt;eRRSP_Tx_Table[[#This Row],[Year]],SUMIFS($W$4:$W203,$S$4:$S203,eRRSP_Tx_Table[[#This Row],[Year]],$W$4:$W203,"&gt;0"),"")</f>
        <v/>
      </c>
      <c r="Z203" s="10" t="str">
        <f>IF(S204&lt;&gt;eRRSP_Tx_Table[[#This Row],[Year]],SUMIFS($W$4:$W203,$S$4:$S203,eRRSP_Tx_Table[[#This Row],[Year]],$W$4:$W203,"&lt;0"),"")</f>
        <v/>
      </c>
      <c r="AA203" s="3">
        <f>(SUMIF($U$4:$U203,CONCATENATE("Buy",$C203),$N$4:$N203)+SUMIF($U$4:$U203,CONCATENATE("ReinvDiv",$C203),$N$4:$N203))</f>
        <v>-2010.71</v>
      </c>
      <c r="AB203" s="3">
        <f>(SUMIF($U$4:$U203,CONCATENATE("Buy",$C203),$F$4:$F203)+SUMIF($U$4:$U203,CONCATENATE("ReinvDiv",$C203),$F$4:$F203)+SUMIF($U$4:$U203,CONCATENATE("StkSplit",$C203),$F$4:$F203)-SUMIF($U$4:$U203,CONCATENATE("Sell",$C203),$F$4:$F203))</f>
        <v>240.31799999999998</v>
      </c>
      <c r="AC203" s="3">
        <f>IF(B203="Sell",F203*INDEX(V:V,LOOKUP(2,1/(X$4:X202=CONCATENATE(C203,"_ACB")),ROW(V$4:V202))),0)</f>
        <v>0</v>
      </c>
    </row>
    <row r="204" spans="1:29" x14ac:dyDescent="0.25">
      <c r="A204" s="20">
        <v>37974</v>
      </c>
      <c r="B204" t="s">
        <v>41</v>
      </c>
      <c r="C204" t="s">
        <v>39</v>
      </c>
      <c r="D204" s="3">
        <v>34.479999999999997</v>
      </c>
      <c r="E204">
        <v>9.9423300000000001</v>
      </c>
      <c r="F204" s="3">
        <v>3.468</v>
      </c>
      <c r="M204" s="21">
        <f t="shared" si="22"/>
        <v>34.479999999999997</v>
      </c>
      <c r="N204" s="8">
        <f t="shared" si="25"/>
        <v>-34.479999999999997</v>
      </c>
      <c r="O204" s="25">
        <f t="shared" si="26"/>
        <v>6371.0699999999988</v>
      </c>
      <c r="P204" s="8">
        <f t="shared" si="23"/>
        <v>0</v>
      </c>
      <c r="Q204" s="4">
        <f>IF(AND(S204&gt;=[1]eRRSP_Rpt!$C$6,S204&lt;=[1]eRRSP_Rpt!$C$7),1,0)</f>
        <v>0</v>
      </c>
      <c r="R204" s="4"/>
      <c r="S204" s="4">
        <f t="shared" si="29"/>
        <v>2003</v>
      </c>
      <c r="T204" s="4"/>
      <c r="U204" s="4" t="str">
        <f t="shared" si="24"/>
        <v>ReinvDivTrimark Income Growth</v>
      </c>
      <c r="V204" s="23">
        <f>IFERROR(IF(AND(AB204&gt;0,B204&lt;&gt;"Sell"),(AA204-SUMIF(C$4:C203,C204,AC$4:AC204))/AB204,0),"")</f>
        <v>-7.8296037043886662</v>
      </c>
      <c r="W204" s="24" t="str">
        <f t="shared" si="28"/>
        <v/>
      </c>
      <c r="X204" s="25" t="str">
        <f t="shared" si="27"/>
        <v>Trimark Income Growth_ACB</v>
      </c>
      <c r="Y204" s="10" t="str">
        <f>IF(S205&lt;&gt;eRRSP_Tx_Table[[#This Row],[Year]],SUMIFS($W$4:$W204,$S$4:$S204,eRRSP_Tx_Table[[#This Row],[Year]],$W$4:$W204,"&gt;0"),"")</f>
        <v/>
      </c>
      <c r="Z204" s="10" t="str">
        <f>IF(S205&lt;&gt;eRRSP_Tx_Table[[#This Row],[Year]],SUMIFS($W$4:$W204,$S$4:$S204,eRRSP_Tx_Table[[#This Row],[Year]],$W$4:$W204,"&lt;0"),"")</f>
        <v/>
      </c>
      <c r="AA204" s="3">
        <f>(SUMIF($U$4:$U204,CONCATENATE("Buy",$C204),$N$4:$N204)+SUMIF($U$4:$U204,CONCATENATE("ReinvDiv",$C204),$N$4:$N204))</f>
        <v>-2243.7999999999997</v>
      </c>
      <c r="AB204" s="3">
        <f>(SUMIF($U$4:$U204,CONCATENATE("Buy",$C204),$F$4:$F204)+SUMIF($U$4:$U204,CONCATENATE("ReinvDiv",$C204),$F$4:$F204)+SUMIF($U$4:$U204,CONCATENATE("StkSplit",$C204),$F$4:$F204)-SUMIF($U$4:$U204,CONCATENATE("Sell",$C204),$F$4:$F204))</f>
        <v>286.57900000000001</v>
      </c>
      <c r="AC204" s="3">
        <f>IF(B204="Sell",F204*INDEX(V:V,LOOKUP(2,1/(X$4:X203=CONCATENATE(C204,"_ACB")),ROW(V$4:V203))),0)</f>
        <v>0</v>
      </c>
    </row>
    <row r="205" spans="1:29" x14ac:dyDescent="0.25">
      <c r="A205" s="20">
        <v>37979</v>
      </c>
      <c r="B205" t="s">
        <v>32</v>
      </c>
      <c r="C205" t="s">
        <v>66</v>
      </c>
      <c r="D205" s="3">
        <v>3000</v>
      </c>
      <c r="E205">
        <v>10.935097000000001</v>
      </c>
      <c r="F205" s="3">
        <v>274.346</v>
      </c>
      <c r="M205" s="21">
        <f t="shared" ref="M205:M272" si="30">ROUND(IF(OR(B205="Buy",B205="Sell"),E205*F205,D205),2)</f>
        <v>3000</v>
      </c>
      <c r="N205" s="8">
        <f t="shared" si="25"/>
        <v>-3000</v>
      </c>
      <c r="O205" s="25">
        <f t="shared" si="26"/>
        <v>3371.0699999999988</v>
      </c>
      <c r="P205" s="8">
        <f t="shared" ref="P205:P272" si="31">IF(OR($B205="Cash"),$N205,0)</f>
        <v>0</v>
      </c>
      <c r="Q205" s="4">
        <f>IF(AND(S205&gt;=[1]eRRSP_Rpt!$C$6,S205&lt;=[1]eRRSP_Rpt!$C$7),1,0)</f>
        <v>0</v>
      </c>
      <c r="R205" s="4"/>
      <c r="S205" s="4">
        <f t="shared" si="29"/>
        <v>2003</v>
      </c>
      <c r="T205" s="4"/>
      <c r="U205" s="4" t="str">
        <f t="shared" ref="U205:U272" si="32">CONCATENATE(B205,C205)</f>
        <v>BuyBrandes Int Equity</v>
      </c>
      <c r="V205" s="23">
        <f>IFERROR(IF(AND(AB205&gt;0,B205&lt;&gt;"Sell"),(AA205-SUMIF(C$4:C204,C205,AC$4:AC205))/AB205,0),"")</f>
        <v>-10.935096556902597</v>
      </c>
      <c r="W205" s="24" t="str">
        <f t="shared" si="28"/>
        <v/>
      </c>
      <c r="X205" s="25" t="str">
        <f t="shared" si="27"/>
        <v>Brandes Int Equity_ACB</v>
      </c>
      <c r="Y205" s="10" t="str">
        <f>IF(S206&lt;&gt;eRRSP_Tx_Table[[#This Row],[Year]],SUMIFS($W$4:$W205,$S$4:$S205,eRRSP_Tx_Table[[#This Row],[Year]],$W$4:$W205,"&gt;0"),"")</f>
        <v/>
      </c>
      <c r="Z205" s="10" t="str">
        <f>IF(S206&lt;&gt;eRRSP_Tx_Table[[#This Row],[Year]],SUMIFS($W$4:$W205,$S$4:$S205,eRRSP_Tx_Table[[#This Row],[Year]],$W$4:$W205,"&lt;0"),"")</f>
        <v/>
      </c>
      <c r="AA205" s="3">
        <f>(SUMIF($U$4:$U205,CONCATENATE("Buy",$C205),$N$4:$N205)+SUMIF($U$4:$U205,CONCATENATE("ReinvDiv",$C205),$N$4:$N205))</f>
        <v>-3000</v>
      </c>
      <c r="AB205" s="3">
        <f>(SUMIF($U$4:$U205,CONCATENATE("Buy",$C205),$F$4:$F205)+SUMIF($U$4:$U205,CONCATENATE("ReinvDiv",$C205),$F$4:$F205)+SUMIF($U$4:$U205,CONCATENATE("StkSplit",$C205),$F$4:$F205)-SUMIF($U$4:$U205,CONCATENATE("Sell",$C205),$F$4:$F205))</f>
        <v>274.346</v>
      </c>
      <c r="AC205" s="3">
        <f>IF(B205="Sell",F205*INDEX(V:V,LOOKUP(2,1/(X$4:X204=CONCATENATE(C205,"_ACB")),ROW(V$4:V204))),0)</f>
        <v>0</v>
      </c>
    </row>
    <row r="206" spans="1:29" ht="13.5" customHeight="1" x14ac:dyDescent="0.25">
      <c r="A206" s="32">
        <f>A144+364</f>
        <v>37986</v>
      </c>
      <c r="B206" s="33"/>
      <c r="C206" s="33"/>
      <c r="D206" s="34"/>
      <c r="E206" s="33"/>
      <c r="F206" s="34"/>
      <c r="G206" s="33"/>
      <c r="H206" s="33"/>
      <c r="I206" s="33"/>
      <c r="J206" s="33"/>
      <c r="K206" s="33"/>
      <c r="L206" s="33"/>
      <c r="M206" s="35"/>
      <c r="N206" s="8"/>
      <c r="O206" s="36"/>
      <c r="P206" s="37">
        <v>-55824.94</v>
      </c>
      <c r="Q206" s="4">
        <f>IF(AND(S206&gt;=[1]eRRSP_Rpt!$C$6,S206&lt;=[1]eRRSP_Rpt!$C$7),1,0)</f>
        <v>0</v>
      </c>
      <c r="R206" s="4" t="s">
        <v>34</v>
      </c>
      <c r="S206" s="4">
        <f>YEAR(A206)</f>
        <v>2003</v>
      </c>
      <c r="T206" s="22"/>
      <c r="U206" s="4"/>
      <c r="V206" s="23">
        <f>IFERROR(IF(AND(AB206&gt;0,B206&lt;&gt;"Sell"),(AA206-SUMIF(C$4:C205,C206,AC$4:AC206))/AB206,0),"")</f>
        <v>0</v>
      </c>
      <c r="W206" s="24" t="str">
        <f t="shared" si="28"/>
        <v/>
      </c>
      <c r="X206" s="25" t="str">
        <f t="shared" si="27"/>
        <v/>
      </c>
      <c r="Y206" s="10">
        <f>IF(S207&lt;&gt;eRRSP_Tx_Table[[#This Row],[Year]],SUMIFS($W$4:$W206,$S$4:$S206,eRRSP_Tx_Table[[#This Row],[Year]],$W$4:$W206,"&gt;0"),"")</f>
        <v>0</v>
      </c>
      <c r="Z206" s="10">
        <f>IF(S207&lt;&gt;eRRSP_Tx_Table[[#This Row],[Year]],SUMIFS($W$4:$W206,$S$4:$S206,eRRSP_Tx_Table[[#This Row],[Year]],$W$4:$W206,"&lt;0"),"")</f>
        <v>0</v>
      </c>
      <c r="AA206" s="3">
        <f>(SUMIF($U$4:$U206,CONCATENATE("Buy",$C206),$N$4:$N206)+SUMIF($U$4:$U206,CONCATENATE("ReinvDiv",$C206),$N$4:$N206))</f>
        <v>0</v>
      </c>
      <c r="AB206" s="3">
        <f>(SUMIF($U$4:$U206,CONCATENATE("Buy",$C206),$F$4:$F206)+SUMIF($U$4:$U206,CONCATENATE("ReinvDiv",$C206),$F$4:$F206)+SUMIF($U$4:$U206,CONCATENATE("StkSplit",$C206),$F$4:$F206)-SUMIF($U$4:$U206,CONCATENATE("Sell",$C206),$F$4:$F206))</f>
        <v>0</v>
      </c>
      <c r="AC206" s="3">
        <f>IF(B206="Sell",F206*INDEX(V:V,LOOKUP(2,1/(X$4:X205=CONCATENATE(C206,"_ACB")),ROW(V$4:V205))),0)</f>
        <v>0</v>
      </c>
    </row>
    <row r="207" spans="1:29" ht="13.5" customHeight="1" x14ac:dyDescent="0.25">
      <c r="A207" s="32">
        <f>A206+1</f>
        <v>37987</v>
      </c>
      <c r="B207" s="33"/>
      <c r="C207" s="33"/>
      <c r="D207" s="34"/>
      <c r="E207" s="33"/>
      <c r="F207" s="34"/>
      <c r="G207" s="33"/>
      <c r="H207" s="33"/>
      <c r="I207" s="33"/>
      <c r="J207" s="33"/>
      <c r="K207" s="33"/>
      <c r="L207" s="33"/>
      <c r="M207" s="35"/>
      <c r="N207" s="8"/>
      <c r="O207" s="36"/>
      <c r="P207" s="37">
        <f>-P206</f>
        <v>55824.94</v>
      </c>
      <c r="Q207" s="4">
        <f>IF(AND(S207&gt;=[1]eRRSP_Rpt!$C$6,S207&lt;=[1]eRRSP_Rpt!$C$7),1,0)</f>
        <v>0</v>
      </c>
      <c r="R207" s="4" t="s">
        <v>34</v>
      </c>
      <c r="S207" s="4">
        <f>YEAR(A207)</f>
        <v>2004</v>
      </c>
      <c r="T207" s="22"/>
      <c r="U207" s="4"/>
      <c r="V207" s="23">
        <f>IFERROR(IF(AND(AB207&gt;0,B207&lt;&gt;"Sell"),(AA207-SUMIF(C$4:C206,C207,AC$4:AC207))/AB207,0),"")</f>
        <v>0</v>
      </c>
      <c r="W207" s="24" t="str">
        <f t="shared" si="28"/>
        <v/>
      </c>
      <c r="X207" s="25" t="str">
        <f t="shared" si="27"/>
        <v/>
      </c>
      <c r="Y207" s="10" t="str">
        <f>IF(S208&lt;&gt;eRRSP_Tx_Table[[#This Row],[Year]],SUMIFS($W$4:$W207,$S$4:$S207,eRRSP_Tx_Table[[#This Row],[Year]],$W$4:$W207,"&gt;0"),"")</f>
        <v/>
      </c>
      <c r="Z207" s="10" t="str">
        <f>IF(S208&lt;&gt;eRRSP_Tx_Table[[#This Row],[Year]],SUMIFS($W$4:$W207,$S$4:$S207,eRRSP_Tx_Table[[#This Row],[Year]],$W$4:$W207,"&lt;0"),"")</f>
        <v/>
      </c>
      <c r="AA207" s="3">
        <f>(SUMIF($U$4:$U207,CONCATENATE("Buy",$C207),$N$4:$N207)+SUMIF($U$4:$U207,CONCATENATE("ReinvDiv",$C207),$N$4:$N207))</f>
        <v>0</v>
      </c>
      <c r="AB207" s="3">
        <f>(SUMIF($U$4:$U207,CONCATENATE("Buy",$C207),$F$4:$F207)+SUMIF($U$4:$U207,CONCATENATE("ReinvDiv",$C207),$F$4:$F207)+SUMIF($U$4:$U207,CONCATENATE("StkSplit",$C207),$F$4:$F207)-SUMIF($U$4:$U207,CONCATENATE("Sell",$C207),$F$4:$F207))</f>
        <v>0</v>
      </c>
      <c r="AC207" s="3">
        <f>IF(B207="Sell",F207*INDEX(V:V,LOOKUP(2,1/(X$4:X206=CONCATENATE(C207,"_ACB")),ROW(V$4:V206))),0)</f>
        <v>0</v>
      </c>
    </row>
    <row r="208" spans="1:29" x14ac:dyDescent="0.25">
      <c r="A208" s="20">
        <v>37987</v>
      </c>
      <c r="B208" t="s">
        <v>42</v>
      </c>
      <c r="C208" t="s">
        <v>48</v>
      </c>
      <c r="D208" s="3">
        <v>3</v>
      </c>
      <c r="M208" s="21">
        <f t="shared" si="30"/>
        <v>3</v>
      </c>
      <c r="N208" s="8">
        <f t="shared" ref="N208:N263" si="33">IF(OR(B208="Buy",B208="ReinvDiv"),-M208-G208,M208-G208)</f>
        <v>3</v>
      </c>
      <c r="O208" s="25">
        <f>O205+IF(OR(B208="Cash",B208="Buy",B208="Sell",B208="Div",B208="Rebate",B208="Fees",B208="IntInc",B208="Tax",B208="Distr"),N208,0)</f>
        <v>3374.0699999999988</v>
      </c>
      <c r="P208" s="8">
        <f t="shared" si="31"/>
        <v>0</v>
      </c>
      <c r="Q208" s="4">
        <f>IF(AND(S208&gt;=[1]eRRSP_Rpt!$C$6,S208&lt;=[1]eRRSP_Rpt!$C$7),1,0)</f>
        <v>0</v>
      </c>
      <c r="R208" s="4"/>
      <c r="S208" s="4">
        <f t="shared" si="29"/>
        <v>2004</v>
      </c>
      <c r="T208" s="4"/>
      <c r="U208" s="4" t="str">
        <f t="shared" si="32"/>
        <v>DivTelus</v>
      </c>
      <c r="V208" s="23">
        <f>IFERROR(IF(AND(AB208&gt;0,B208&lt;&gt;"Sell"),(AA208-SUMIF(C$4:C207,C208,AC$4:AC208))/AB208,0),"")</f>
        <v>-40.450000000000003</v>
      </c>
      <c r="W208" s="24" t="str">
        <f t="shared" si="28"/>
        <v/>
      </c>
      <c r="X208" s="25" t="str">
        <f t="shared" si="27"/>
        <v>Telus_ACB</v>
      </c>
      <c r="Y208" s="10" t="str">
        <f>IF(S209&lt;&gt;eRRSP_Tx_Table[[#This Row],[Year]],SUMIFS($W$4:$W208,$S$4:$S208,eRRSP_Tx_Table[[#This Row],[Year]],$W$4:$W208,"&gt;0"),"")</f>
        <v/>
      </c>
      <c r="Z208" s="10" t="str">
        <f>IF(S209&lt;&gt;eRRSP_Tx_Table[[#This Row],[Year]],SUMIFS($W$4:$W208,$S$4:$S208,eRRSP_Tx_Table[[#This Row],[Year]],$W$4:$W208,"&lt;0"),"")</f>
        <v/>
      </c>
      <c r="AA208" s="3">
        <f>(SUMIF($U$4:$U208,CONCATENATE("Buy",$C208),$N$4:$N208)+SUMIF($U$4:$U208,CONCATENATE("ReinvDiv",$C208),$N$4:$N208))</f>
        <v>-809</v>
      </c>
      <c r="AB208" s="3">
        <f>(SUMIF($U$4:$U208,CONCATENATE("Buy",$C208),$F$4:$F208)+SUMIF($U$4:$U208,CONCATENATE("ReinvDiv",$C208),$F$4:$F208)+SUMIF($U$4:$U208,CONCATENATE("StkSplit",$C208),$F$4:$F208)-SUMIF($U$4:$U208,CONCATENATE("Sell",$C208),$F$4:$F208))</f>
        <v>20</v>
      </c>
      <c r="AC208" s="3">
        <f>IF(B208="Sell",F208*INDEX(V:V,LOOKUP(2,1/(X$4:X207=CONCATENATE(C208,"_ACB")),ROW(V$4:V207))),0)</f>
        <v>0</v>
      </c>
    </row>
    <row r="209" spans="1:29" x14ac:dyDescent="0.25">
      <c r="A209" s="20">
        <v>38001</v>
      </c>
      <c r="B209" t="s">
        <v>42</v>
      </c>
      <c r="C209" t="s">
        <v>46</v>
      </c>
      <c r="D209" s="3">
        <v>6</v>
      </c>
      <c r="M209" s="21">
        <f t="shared" si="30"/>
        <v>6</v>
      </c>
      <c r="N209" s="8">
        <f t="shared" si="33"/>
        <v>6</v>
      </c>
      <c r="O209" s="25">
        <f t="shared" ref="O209:O263" si="34">O208+IF(OR(B209="Cash",B209="Buy",B209="Sell",B209="Div",B209="Rebate",B209="Fees",B209="IntInc",B209="Tax",B209="Distr"),N209,0)</f>
        <v>3380.0699999999988</v>
      </c>
      <c r="P209" s="8">
        <f t="shared" si="31"/>
        <v>0</v>
      </c>
      <c r="Q209" s="4">
        <f>IF(AND(S209&gt;=[1]eRRSP_Rpt!$C$6,S209&lt;=[1]eRRSP_Rpt!$C$7),1,0)</f>
        <v>0</v>
      </c>
      <c r="R209" s="4"/>
      <c r="S209" s="4">
        <f t="shared" si="29"/>
        <v>2004</v>
      </c>
      <c r="T209" s="4"/>
      <c r="U209" s="4" t="str">
        <f t="shared" si="32"/>
        <v>DivBCE</v>
      </c>
      <c r="V209" s="23">
        <f>IFERROR(IF(AND(AB209&gt;0,B209&lt;&gt;"Sell"),(AA209-SUMIF(C$4:C208,C209,AC$4:AC209))/AB209,0),"")</f>
        <v>-40.450000000000003</v>
      </c>
      <c r="W209" s="24" t="str">
        <f t="shared" si="28"/>
        <v/>
      </c>
      <c r="X209" s="25" t="str">
        <f t="shared" si="27"/>
        <v>BCE_ACB</v>
      </c>
      <c r="Y209" s="10" t="str">
        <f>IF(S210&lt;&gt;eRRSP_Tx_Table[[#This Row],[Year]],SUMIFS($W$4:$W209,$S$4:$S209,eRRSP_Tx_Table[[#This Row],[Year]],$W$4:$W209,"&gt;0"),"")</f>
        <v/>
      </c>
      <c r="Z209" s="10" t="str">
        <f>IF(S210&lt;&gt;eRRSP_Tx_Table[[#This Row],[Year]],SUMIFS($W$4:$W209,$S$4:$S209,eRRSP_Tx_Table[[#This Row],[Year]],$W$4:$W209,"&lt;0"),"")</f>
        <v/>
      </c>
      <c r="AA209" s="3">
        <f>(SUMIF($U$4:$U209,CONCATENATE("Buy",$C209),$N$4:$N209)+SUMIF($U$4:$U209,CONCATENATE("ReinvDiv",$C209),$N$4:$N209))</f>
        <v>-809</v>
      </c>
      <c r="AB209" s="3">
        <f>(SUMIF($U$4:$U209,CONCATENATE("Buy",$C209),$F$4:$F209)+SUMIF($U$4:$U209,CONCATENATE("ReinvDiv",$C209),$F$4:$F209)+SUMIF($U$4:$U209,CONCATENATE("StkSplit",$C209),$F$4:$F209)-SUMIF($U$4:$U209,CONCATENATE("Sell",$C209),$F$4:$F209))</f>
        <v>20</v>
      </c>
      <c r="AC209" s="3">
        <f>IF(B209="Sell",F209*INDEX(V:V,LOOKUP(2,1/(X$4:X208=CONCATENATE(C209,"_ACB")),ROW(V$4:V208))),0)</f>
        <v>0</v>
      </c>
    </row>
    <row r="210" spans="1:29" x14ac:dyDescent="0.25">
      <c r="A210" s="20">
        <v>38002</v>
      </c>
      <c r="B210" t="s">
        <v>43</v>
      </c>
      <c r="C210" t="s">
        <v>36</v>
      </c>
      <c r="D210" s="3">
        <v>1.8</v>
      </c>
      <c r="M210" s="21">
        <f t="shared" si="30"/>
        <v>1.8</v>
      </c>
      <c r="N210" s="8">
        <f t="shared" si="33"/>
        <v>1.8</v>
      </c>
      <c r="O210" s="25">
        <f t="shared" si="34"/>
        <v>3381.869999999999</v>
      </c>
      <c r="P210" s="8">
        <f t="shared" si="31"/>
        <v>0</v>
      </c>
      <c r="Q210" s="4">
        <f>IF(AND(S210&gt;=[1]eRRSP_Rpt!$C$6,S210&lt;=[1]eRRSP_Rpt!$C$7),1,0)</f>
        <v>0</v>
      </c>
      <c r="R210" s="4"/>
      <c r="S210" s="4">
        <f t="shared" si="29"/>
        <v>2004</v>
      </c>
      <c r="T210" s="4"/>
      <c r="U210" s="4" t="str">
        <f t="shared" si="32"/>
        <v>IntIncTDW</v>
      </c>
      <c r="V210" s="23">
        <f>IFERROR(IF(AND(AB210&gt;0,B210&lt;&gt;"Sell"),(AA210-SUMIF(C$4:C209,C210,AC$4:AC210))/AB210,0),"")</f>
        <v>0</v>
      </c>
      <c r="W210" s="24" t="str">
        <f t="shared" si="28"/>
        <v/>
      </c>
      <c r="X210" s="25" t="str">
        <f t="shared" si="27"/>
        <v/>
      </c>
      <c r="Y210" s="10" t="str">
        <f>IF(S211&lt;&gt;eRRSP_Tx_Table[[#This Row],[Year]],SUMIFS($W$4:$W210,$S$4:$S210,eRRSP_Tx_Table[[#This Row],[Year]],$W$4:$W210,"&gt;0"),"")</f>
        <v/>
      </c>
      <c r="Z210" s="10" t="str">
        <f>IF(S211&lt;&gt;eRRSP_Tx_Table[[#This Row],[Year]],SUMIFS($W$4:$W210,$S$4:$S210,eRRSP_Tx_Table[[#This Row],[Year]],$W$4:$W210,"&lt;0"),"")</f>
        <v/>
      </c>
      <c r="AA210" s="3">
        <f>(SUMIF($U$4:$U210,CONCATENATE("Buy",$C210),$N$4:$N210)+SUMIF($U$4:$U210,CONCATENATE("ReinvDiv",$C210),$N$4:$N210))</f>
        <v>0</v>
      </c>
      <c r="AB210" s="3">
        <f>(SUMIF($U$4:$U210,CONCATENATE("Buy",$C210),$F$4:$F210)+SUMIF($U$4:$U210,CONCATENATE("ReinvDiv",$C210),$F$4:$F210)+SUMIF($U$4:$U210,CONCATENATE("StkSplit",$C210),$F$4:$F210)-SUMIF($U$4:$U210,CONCATENATE("Sell",$C210),$F$4:$F210))</f>
        <v>0</v>
      </c>
      <c r="AC210" s="3">
        <f>IF(B210="Sell",F210*INDEX(V:V,LOOKUP(2,1/(X$4:X209=CONCATENATE(C210,"_ACB")),ROW(V$4:V209))),0)</f>
        <v>0</v>
      </c>
    </row>
    <row r="211" spans="1:29" x14ac:dyDescent="0.25">
      <c r="A211" s="20">
        <v>38017</v>
      </c>
      <c r="B211" t="s">
        <v>42</v>
      </c>
      <c r="C211" t="s">
        <v>47</v>
      </c>
      <c r="D211" s="3">
        <v>0.68</v>
      </c>
      <c r="M211" s="21">
        <f t="shared" si="30"/>
        <v>0.68</v>
      </c>
      <c r="N211" s="8">
        <f t="shared" si="33"/>
        <v>0.68</v>
      </c>
      <c r="O211" s="25">
        <f t="shared" si="34"/>
        <v>3382.5499999999988</v>
      </c>
      <c r="P211" s="8">
        <f t="shared" si="31"/>
        <v>0</v>
      </c>
      <c r="Q211" s="4">
        <f>IF(AND(S211&gt;=[1]eRRSP_Rpt!$C$6,S211&lt;=[1]eRRSP_Rpt!$C$7),1,0)</f>
        <v>0</v>
      </c>
      <c r="R211" s="4"/>
      <c r="S211" s="4">
        <f t="shared" si="29"/>
        <v>2004</v>
      </c>
      <c r="T211" s="4"/>
      <c r="U211" s="4" t="str">
        <f t="shared" si="32"/>
        <v>DivBombardier</v>
      </c>
      <c r="V211" s="23">
        <f>IFERROR(IF(AND(AB211&gt;0,B211&lt;&gt;"Sell"),(AA211-SUMIF(C$4:C210,C211,AC$4:AC211))/AB211,0),"")</f>
        <v>-23.216666666666665</v>
      </c>
      <c r="W211" s="24" t="str">
        <f t="shared" si="28"/>
        <v/>
      </c>
      <c r="X211" s="25" t="str">
        <f t="shared" si="27"/>
        <v>Bombardier_ACB</v>
      </c>
      <c r="Y211" s="10" t="str">
        <f>IF(S212&lt;&gt;eRRSP_Tx_Table[[#This Row],[Year]],SUMIFS($W$4:$W211,$S$4:$S211,eRRSP_Tx_Table[[#This Row],[Year]],$W$4:$W211,"&gt;0"),"")</f>
        <v/>
      </c>
      <c r="Z211" s="10" t="str">
        <f>IF(S212&lt;&gt;eRRSP_Tx_Table[[#This Row],[Year]],SUMIFS($W$4:$W211,$S$4:$S211,eRRSP_Tx_Table[[#This Row],[Year]],$W$4:$W211,"&lt;0"),"")</f>
        <v/>
      </c>
      <c r="AA211" s="3">
        <f>(SUMIF($U$4:$U211,CONCATENATE("Buy",$C211),$N$4:$N211)+SUMIF($U$4:$U211,CONCATENATE("ReinvDiv",$C211),$N$4:$N211))</f>
        <v>-696.5</v>
      </c>
      <c r="AB211" s="3">
        <f>(SUMIF($U$4:$U211,CONCATENATE("Buy",$C211),$F$4:$F211)+SUMIF($U$4:$U211,CONCATENATE("ReinvDiv",$C211),$F$4:$F211)+SUMIF($U$4:$U211,CONCATENATE("StkSplit",$C211),$F$4:$F211)-SUMIF($U$4:$U211,CONCATENATE("Sell",$C211),$F$4:$F211))</f>
        <v>30</v>
      </c>
      <c r="AC211" s="3">
        <f>IF(B211="Sell",F211*INDEX(V:V,LOOKUP(2,1/(X$4:X210=CONCATENATE(C211,"_ACB")),ROW(V$4:V210))),0)</f>
        <v>0</v>
      </c>
    </row>
    <row r="212" spans="1:29" x14ac:dyDescent="0.25">
      <c r="A212" s="20">
        <v>38017</v>
      </c>
      <c r="B212" t="s">
        <v>42</v>
      </c>
      <c r="C212" t="s">
        <v>45</v>
      </c>
      <c r="D212" s="3">
        <v>6.4</v>
      </c>
      <c r="M212" s="21">
        <f t="shared" si="30"/>
        <v>6.4</v>
      </c>
      <c r="N212" s="8">
        <f t="shared" si="33"/>
        <v>6.4</v>
      </c>
      <c r="O212" s="25">
        <f t="shared" si="34"/>
        <v>3388.9499999999989</v>
      </c>
      <c r="P212" s="8">
        <f t="shared" si="31"/>
        <v>0</v>
      </c>
      <c r="Q212" s="4">
        <f>IF(AND(S212&gt;=[1]eRRSP_Rpt!$C$6,S212&lt;=[1]eRRSP_Rpt!$C$7),1,0)</f>
        <v>0</v>
      </c>
      <c r="R212" s="4"/>
      <c r="S212" s="4">
        <f t="shared" si="29"/>
        <v>2004</v>
      </c>
      <c r="T212" s="4"/>
      <c r="U212" s="4" t="str">
        <f t="shared" si="32"/>
        <v>DivTD Bank</v>
      </c>
      <c r="V212" s="23">
        <f>IFERROR(IF(AND(AB212&gt;0,B212&lt;&gt;"Sell"),(AA212-SUMIF(C$4:C211,C212,AC$4:AC212))/AB212,0),"")</f>
        <v>-44.29</v>
      </c>
      <c r="W212" s="24" t="str">
        <f t="shared" si="28"/>
        <v/>
      </c>
      <c r="X212" s="25" t="str">
        <f t="shared" si="27"/>
        <v>TD Bank_ACB</v>
      </c>
      <c r="Y212" s="10" t="str">
        <f>IF(S213&lt;&gt;eRRSP_Tx_Table[[#This Row],[Year]],SUMIFS($W$4:$W212,$S$4:$S212,eRRSP_Tx_Table[[#This Row],[Year]],$W$4:$W212,"&gt;0"),"")</f>
        <v/>
      </c>
      <c r="Z212" s="10" t="str">
        <f>IF(S213&lt;&gt;eRRSP_Tx_Table[[#This Row],[Year]],SUMIFS($W$4:$W212,$S$4:$S212,eRRSP_Tx_Table[[#This Row],[Year]],$W$4:$W212,"&lt;0"),"")</f>
        <v/>
      </c>
      <c r="AA212" s="3">
        <f>(SUMIF($U$4:$U212,CONCATENATE("Buy",$C212),$N$4:$N212)+SUMIF($U$4:$U212,CONCATENATE("ReinvDiv",$C212),$N$4:$N212))</f>
        <v>-885.8</v>
      </c>
      <c r="AB212" s="3">
        <f>(SUMIF($U$4:$U212,CONCATENATE("Buy",$C212),$F$4:$F212)+SUMIF($U$4:$U212,CONCATENATE("ReinvDiv",$C212),$F$4:$F212)+SUMIF($U$4:$U212,CONCATENATE("StkSplit",$C212),$F$4:$F212)-SUMIF($U$4:$U212,CONCATENATE("Sell",$C212),$F$4:$F212))</f>
        <v>20</v>
      </c>
      <c r="AC212" s="3">
        <f>IF(B212="Sell",F212*INDEX(V:V,LOOKUP(2,1/(X$4:X211=CONCATENATE(C212,"_ACB")),ROW(V$4:V211))),0)</f>
        <v>0</v>
      </c>
    </row>
    <row r="213" spans="1:29" x14ac:dyDescent="0.25">
      <c r="A213" s="20">
        <v>38033</v>
      </c>
      <c r="B213" t="s">
        <v>43</v>
      </c>
      <c r="C213" t="s">
        <v>36</v>
      </c>
      <c r="D213" s="3">
        <v>0.83</v>
      </c>
      <c r="M213" s="21">
        <f t="shared" si="30"/>
        <v>0.83</v>
      </c>
      <c r="N213" s="8">
        <f t="shared" si="33"/>
        <v>0.83</v>
      </c>
      <c r="O213" s="25">
        <f t="shared" si="34"/>
        <v>3389.7799999999988</v>
      </c>
      <c r="P213" s="8">
        <f t="shared" si="31"/>
        <v>0</v>
      </c>
      <c r="Q213" s="4">
        <f>IF(AND(S213&gt;=[1]eRRSP_Rpt!$C$6,S213&lt;=[1]eRRSP_Rpt!$C$7),1,0)</f>
        <v>0</v>
      </c>
      <c r="R213" s="4"/>
      <c r="S213" s="4">
        <f t="shared" si="29"/>
        <v>2004</v>
      </c>
      <c r="T213" s="4"/>
      <c r="U213" s="4" t="str">
        <f t="shared" si="32"/>
        <v>IntIncTDW</v>
      </c>
      <c r="V213" s="23">
        <f>IFERROR(IF(AND(AB213&gt;0,B213&lt;&gt;"Sell"),(AA213-SUMIF(C$4:C212,C213,AC$4:AC213))/AB213,0),"")</f>
        <v>0</v>
      </c>
      <c r="W213" s="24" t="str">
        <f t="shared" si="28"/>
        <v/>
      </c>
      <c r="X213" s="25" t="str">
        <f t="shared" si="27"/>
        <v/>
      </c>
      <c r="Y213" s="10" t="str">
        <f>IF(S214&lt;&gt;eRRSP_Tx_Table[[#This Row],[Year]],SUMIFS($W$4:$W213,$S$4:$S213,eRRSP_Tx_Table[[#This Row],[Year]],$W$4:$W213,"&gt;0"),"")</f>
        <v/>
      </c>
      <c r="Z213" s="10" t="str">
        <f>IF(S214&lt;&gt;eRRSP_Tx_Table[[#This Row],[Year]],SUMIFS($W$4:$W213,$S$4:$S213,eRRSP_Tx_Table[[#This Row],[Year]],$W$4:$W213,"&lt;0"),"")</f>
        <v/>
      </c>
      <c r="AA213" s="3">
        <f>(SUMIF($U$4:$U213,CONCATENATE("Buy",$C213),$N$4:$N213)+SUMIF($U$4:$U213,CONCATENATE("ReinvDiv",$C213),$N$4:$N213))</f>
        <v>0</v>
      </c>
      <c r="AB213" s="3">
        <f>(SUMIF($U$4:$U213,CONCATENATE("Buy",$C213),$F$4:$F213)+SUMIF($U$4:$U213,CONCATENATE("ReinvDiv",$C213),$F$4:$F213)+SUMIF($U$4:$U213,CONCATENATE("StkSplit",$C213),$F$4:$F213)-SUMIF($U$4:$U213,CONCATENATE("Sell",$C213),$F$4:$F213))</f>
        <v>0</v>
      </c>
      <c r="AC213" s="3">
        <f>IF(B213="Sell",F213*INDEX(V:V,LOOKUP(2,1/(X$4:X212=CONCATENATE(C213,"_ACB")),ROW(V$4:V212))),0)</f>
        <v>0</v>
      </c>
    </row>
    <row r="214" spans="1:29" x14ac:dyDescent="0.25">
      <c r="A214" s="20">
        <v>38047</v>
      </c>
      <c r="B214" t="s">
        <v>42</v>
      </c>
      <c r="C214" t="s">
        <v>33</v>
      </c>
      <c r="D214" s="3">
        <v>26.07</v>
      </c>
      <c r="M214" s="21">
        <f t="shared" si="30"/>
        <v>26.07</v>
      </c>
      <c r="N214" s="8">
        <f t="shared" si="33"/>
        <v>26.07</v>
      </c>
      <c r="O214" s="25">
        <f t="shared" si="34"/>
        <v>3415.849999999999</v>
      </c>
      <c r="P214" s="8">
        <f t="shared" si="31"/>
        <v>0</v>
      </c>
      <c r="Q214" s="4">
        <f>IF(AND(S214&gt;=[1]eRRSP_Rpt!$C$6,S214&lt;=[1]eRRSP_Rpt!$C$7),1,0)</f>
        <v>0</v>
      </c>
      <c r="R214" s="4"/>
      <c r="S214" s="4">
        <f t="shared" si="29"/>
        <v>2004</v>
      </c>
      <c r="T214" s="4"/>
      <c r="U214" s="4" t="str">
        <f t="shared" si="32"/>
        <v>DivEnbridge</v>
      </c>
      <c r="V214" s="23">
        <f>IFERROR(IF(AND(AB214&gt;0,B214&lt;&gt;"Sell"),(AA214-SUMIF(C$4:C213,C214,AC$4:AC214))/AB214,0),"")</f>
        <v>-25.718055555555559</v>
      </c>
      <c r="W214" s="24" t="str">
        <f t="shared" si="28"/>
        <v/>
      </c>
      <c r="X214" s="25" t="str">
        <f t="shared" si="27"/>
        <v>Enbridge_ACB</v>
      </c>
      <c r="Y214" s="10" t="str">
        <f>IF(S215&lt;&gt;eRRSP_Tx_Table[[#This Row],[Year]],SUMIFS($W$4:$W214,$S$4:$S214,eRRSP_Tx_Table[[#This Row],[Year]],$W$4:$W214,"&gt;0"),"")</f>
        <v/>
      </c>
      <c r="Z214" s="10" t="str">
        <f>IF(S215&lt;&gt;eRRSP_Tx_Table[[#This Row],[Year]],SUMIFS($W$4:$W214,$S$4:$S214,eRRSP_Tx_Table[[#This Row],[Year]],$W$4:$W214,"&lt;0"),"")</f>
        <v/>
      </c>
      <c r="AA214" s="3">
        <f>(SUMIF($U$4:$U214,CONCATENATE("Buy",$C214),$N$4:$N214)+SUMIF($U$4:$U214,CONCATENATE("ReinvDiv",$C214),$N$4:$N214))</f>
        <v>-1851.7</v>
      </c>
      <c r="AB214" s="3">
        <f>(SUMIF($U$4:$U214,CONCATENATE("Buy",$C214),$F$4:$F214)+SUMIF($U$4:$U214,CONCATENATE("ReinvDiv",$C214),$F$4:$F214)+SUMIF($U$4:$U214,CONCATENATE("StkSplit",$C214),$F$4:$F214)-SUMIF($U$4:$U214,CONCATENATE("Sell",$C214),$F$4:$F214))</f>
        <v>57</v>
      </c>
      <c r="AC214" s="3">
        <f>IF(B214="Sell",F214*INDEX(V:V,LOOKUP(2,1/(X$4:X213=CONCATENATE(C214,"_ACB")),ROW(V$4:V213))),0)</f>
        <v>0</v>
      </c>
    </row>
    <row r="215" spans="1:29" x14ac:dyDescent="0.25">
      <c r="A215" s="20">
        <v>38061</v>
      </c>
      <c r="B215" t="s">
        <v>41</v>
      </c>
      <c r="C215" t="s">
        <v>39</v>
      </c>
      <c r="D215" s="3">
        <v>11.15</v>
      </c>
      <c r="E215">
        <v>10.42</v>
      </c>
      <c r="F215" s="3">
        <v>1.07</v>
      </c>
      <c r="M215" s="21">
        <f t="shared" si="30"/>
        <v>11.15</v>
      </c>
      <c r="N215" s="8">
        <f t="shared" si="33"/>
        <v>-11.15</v>
      </c>
      <c r="O215" s="25">
        <f t="shared" si="34"/>
        <v>3415.849999999999</v>
      </c>
      <c r="P215" s="8">
        <f t="shared" si="31"/>
        <v>0</v>
      </c>
      <c r="Q215" s="4">
        <f>IF(AND(S215&gt;=[1]eRRSP_Rpt!$C$6,S215&lt;=[1]eRRSP_Rpt!$C$7),1,0)</f>
        <v>0</v>
      </c>
      <c r="R215" s="4"/>
      <c r="S215" s="4">
        <f t="shared" si="29"/>
        <v>2004</v>
      </c>
      <c r="T215" s="4"/>
      <c r="U215" s="4" t="str">
        <f t="shared" si="32"/>
        <v>ReinvDivTrimark Income Growth</v>
      </c>
      <c r="V215" s="23">
        <f>IFERROR(IF(AND(AB215&gt;0,B215&lt;&gt;"Sell"),(AA215-SUMIF(C$4:C214,C215,AC$4:AC215))/AB215,0),"")</f>
        <v>-7.8392415756703473</v>
      </c>
      <c r="W215" s="24" t="str">
        <f t="shared" si="28"/>
        <v/>
      </c>
      <c r="X215" s="25" t="str">
        <f t="shared" si="27"/>
        <v>Trimark Income Growth_ACB</v>
      </c>
      <c r="Y215" s="10" t="str">
        <f>IF(S216&lt;&gt;eRRSP_Tx_Table[[#This Row],[Year]],SUMIFS($W$4:$W215,$S$4:$S215,eRRSP_Tx_Table[[#This Row],[Year]],$W$4:$W215,"&gt;0"),"")</f>
        <v/>
      </c>
      <c r="Z215" s="10" t="str">
        <f>IF(S216&lt;&gt;eRRSP_Tx_Table[[#This Row],[Year]],SUMIFS($W$4:$W215,$S$4:$S215,eRRSP_Tx_Table[[#This Row],[Year]],$W$4:$W215,"&lt;0"),"")</f>
        <v/>
      </c>
      <c r="AA215" s="3">
        <f>(SUMIF($U$4:$U215,CONCATENATE("Buy",$C215),$N$4:$N215)+SUMIF($U$4:$U215,CONCATENATE("ReinvDiv",$C215),$N$4:$N215))</f>
        <v>-2254.9499999999998</v>
      </c>
      <c r="AB215" s="3">
        <f>(SUMIF($U$4:$U215,CONCATENATE("Buy",$C215),$F$4:$F215)+SUMIF($U$4:$U215,CONCATENATE("ReinvDiv",$C215),$F$4:$F215)+SUMIF($U$4:$U215,CONCATENATE("StkSplit",$C215),$F$4:$F215)-SUMIF($U$4:$U215,CONCATENATE("Sell",$C215),$F$4:$F215))</f>
        <v>287.649</v>
      </c>
      <c r="AC215" s="3">
        <f>IF(B215="Sell",F215*INDEX(V:V,LOOKUP(2,1/(X$4:X214=CONCATENATE(C215,"_ACB")),ROW(V$4:V214))),0)</f>
        <v>0</v>
      </c>
    </row>
    <row r="216" spans="1:29" x14ac:dyDescent="0.25">
      <c r="A216" s="20">
        <v>38062</v>
      </c>
      <c r="B216" t="s">
        <v>43</v>
      </c>
      <c r="C216" t="s">
        <v>36</v>
      </c>
      <c r="D216" s="3">
        <v>0.37</v>
      </c>
      <c r="M216" s="21">
        <f t="shared" si="30"/>
        <v>0.37</v>
      </c>
      <c r="N216" s="8">
        <f t="shared" si="33"/>
        <v>0.37</v>
      </c>
      <c r="O216" s="25">
        <f t="shared" si="34"/>
        <v>3416.2199999999989</v>
      </c>
      <c r="P216" s="8">
        <f t="shared" si="31"/>
        <v>0</v>
      </c>
      <c r="Q216" s="4">
        <f>IF(AND(S216&gt;=[1]eRRSP_Rpt!$C$6,S216&lt;=[1]eRRSP_Rpt!$C$7),1,0)</f>
        <v>0</v>
      </c>
      <c r="R216" s="4"/>
      <c r="S216" s="4">
        <f t="shared" si="29"/>
        <v>2004</v>
      </c>
      <c r="T216" s="4"/>
      <c r="U216" s="4" t="str">
        <f t="shared" si="32"/>
        <v>IntIncTDW</v>
      </c>
      <c r="V216" s="23">
        <f>IFERROR(IF(AND(AB216&gt;0,B216&lt;&gt;"Sell"),(AA216-SUMIF(C$4:C215,C216,AC$4:AC216))/AB216,0),"")</f>
        <v>0</v>
      </c>
      <c r="W216" s="24" t="str">
        <f t="shared" si="28"/>
        <v/>
      </c>
      <c r="X216" s="25" t="str">
        <f t="shared" si="27"/>
        <v/>
      </c>
      <c r="Y216" s="10" t="str">
        <f>IF(S217&lt;&gt;eRRSP_Tx_Table[[#This Row],[Year]],SUMIFS($W$4:$W216,$S$4:$S216,eRRSP_Tx_Table[[#This Row],[Year]],$W$4:$W216,"&gt;0"),"")</f>
        <v/>
      </c>
      <c r="Z216" s="10" t="str">
        <f>IF(S217&lt;&gt;eRRSP_Tx_Table[[#This Row],[Year]],SUMIFS($W$4:$W216,$S$4:$S216,eRRSP_Tx_Table[[#This Row],[Year]],$W$4:$W216,"&lt;0"),"")</f>
        <v/>
      </c>
      <c r="AA216" s="3">
        <f>(SUMIF($U$4:$U216,CONCATENATE("Buy",$C216),$N$4:$N216)+SUMIF($U$4:$U216,CONCATENATE("ReinvDiv",$C216),$N$4:$N216))</f>
        <v>0</v>
      </c>
      <c r="AB216" s="3">
        <f>(SUMIF($U$4:$U216,CONCATENATE("Buy",$C216),$F$4:$F216)+SUMIF($U$4:$U216,CONCATENATE("ReinvDiv",$C216),$F$4:$F216)+SUMIF($U$4:$U216,CONCATENATE("StkSplit",$C216),$F$4:$F216)-SUMIF($U$4:$U216,CONCATENATE("Sell",$C216),$F$4:$F216))</f>
        <v>0</v>
      </c>
      <c r="AC216" s="3">
        <f>IF(B216="Sell",F216*INDEX(V:V,LOOKUP(2,1/(X$4:X215=CONCATENATE(C216,"_ACB")),ROW(V$4:V215))),0)</f>
        <v>0</v>
      </c>
    </row>
    <row r="217" spans="1:29" x14ac:dyDescent="0.25">
      <c r="A217" s="20">
        <v>38076</v>
      </c>
      <c r="B217" t="s">
        <v>42</v>
      </c>
      <c r="C217" t="s">
        <v>53</v>
      </c>
      <c r="D217" s="3">
        <v>28.91</v>
      </c>
      <c r="M217" s="21">
        <f t="shared" si="30"/>
        <v>28.91</v>
      </c>
      <c r="N217" s="8">
        <f t="shared" si="33"/>
        <v>28.91</v>
      </c>
      <c r="O217" s="25">
        <f t="shared" si="34"/>
        <v>3445.1299999999987</v>
      </c>
      <c r="P217" s="8">
        <f t="shared" si="31"/>
        <v>0</v>
      </c>
      <c r="Q217" s="4">
        <f>IF(AND(S217&gt;=[1]eRRSP_Rpt!$C$6,S217&lt;=[1]eRRSP_Rpt!$C$7),1,0)</f>
        <v>0</v>
      </c>
      <c r="R217" s="4"/>
      <c r="S217" s="4">
        <f t="shared" si="29"/>
        <v>2004</v>
      </c>
      <c r="T217" s="4"/>
      <c r="U217" s="4" t="str">
        <f t="shared" si="32"/>
        <v>DivTD CDN Bond</v>
      </c>
      <c r="V217" s="23">
        <f>IFERROR(IF(AND(AB217&gt;0,B217&lt;&gt;"Sell"),(AA217-SUMIF(C$4:C216,C217,AC$4:AC217))/AB217,0),"")</f>
        <v>-12.100018755029071</v>
      </c>
      <c r="W217" s="24" t="str">
        <f t="shared" si="28"/>
        <v/>
      </c>
      <c r="X217" s="25" t="str">
        <f t="shared" si="27"/>
        <v>TD CDN Bond_ACB</v>
      </c>
      <c r="Y217" s="10" t="str">
        <f>IF(S218&lt;&gt;eRRSP_Tx_Table[[#This Row],[Year]],SUMIFS($W$4:$W217,$S$4:$S217,eRRSP_Tx_Table[[#This Row],[Year]],$W$4:$W217,"&gt;0"),"")</f>
        <v/>
      </c>
      <c r="Z217" s="10" t="str">
        <f>IF(S218&lt;&gt;eRRSP_Tx_Table[[#This Row],[Year]],SUMIFS($W$4:$W217,$S$4:$S217,eRRSP_Tx_Table[[#This Row],[Year]],$W$4:$W217,"&lt;0"),"")</f>
        <v/>
      </c>
      <c r="AA217" s="3">
        <f>(SUMIF($U$4:$U217,CONCATENATE("Buy",$C217),$N$4:$N217)+SUMIF($U$4:$U217,CONCATENATE("ReinvDiv",$C217),$N$4:$N217))</f>
        <v>-2000</v>
      </c>
      <c r="AB217" s="3">
        <f>(SUMIF($U$4:$U217,CONCATENATE("Buy",$C217),$F$4:$F217)+SUMIF($U$4:$U217,CONCATENATE("ReinvDiv",$C217),$F$4:$F217)+SUMIF($U$4:$U217,CONCATENATE("StkSplit",$C217),$F$4:$F217)-SUMIF($U$4:$U217,CONCATENATE("Sell",$C217),$F$4:$F217))</f>
        <v>165.28899999999999</v>
      </c>
      <c r="AC217" s="3">
        <f>IF(B217="Sell",F217*INDEX(V:V,LOOKUP(2,1/(X$4:X216=CONCATENATE(C217,"_ACB")),ROW(V$4:V216))),0)</f>
        <v>0</v>
      </c>
    </row>
    <row r="218" spans="1:29" x14ac:dyDescent="0.25">
      <c r="A218" s="20">
        <v>38076</v>
      </c>
      <c r="B218" t="s">
        <v>41</v>
      </c>
      <c r="C218" t="s">
        <v>62</v>
      </c>
      <c r="D218" s="3">
        <v>13.64</v>
      </c>
      <c r="E218">
        <v>14.28</v>
      </c>
      <c r="F218" s="3">
        <v>0.95499999999999996</v>
      </c>
      <c r="M218" s="21">
        <f t="shared" si="30"/>
        <v>13.64</v>
      </c>
      <c r="N218" s="8">
        <f t="shared" si="33"/>
        <v>-13.64</v>
      </c>
      <c r="O218" s="25">
        <f t="shared" si="34"/>
        <v>3445.1299999999987</v>
      </c>
      <c r="P218" s="8">
        <f t="shared" si="31"/>
        <v>0</v>
      </c>
      <c r="Q218" s="4">
        <f>IF(AND(S218&gt;=[1]eRRSP_Rpt!$C$6,S218&lt;=[1]eRRSP_Rpt!$C$7),1,0)</f>
        <v>0</v>
      </c>
      <c r="R218" s="4"/>
      <c r="S218" s="4">
        <f t="shared" si="29"/>
        <v>2004</v>
      </c>
      <c r="T218" s="4"/>
      <c r="U218" s="4" t="str">
        <f t="shared" si="32"/>
        <v>ReinvDivTD RR Bond</v>
      </c>
      <c r="V218" s="23">
        <f>IFERROR(IF(AND(AB218&gt;0,B218&lt;&gt;"Sell"),(AA218-SUMIF(C$4:C217,C218,AC$4:AC218))/AB218,0),"")</f>
        <v>-12.834233009953067</v>
      </c>
      <c r="W218" s="24" t="str">
        <f t="shared" si="28"/>
        <v/>
      </c>
      <c r="X218" s="25" t="str">
        <f t="shared" si="27"/>
        <v>TD RR Bond_ACB</v>
      </c>
      <c r="Y218" s="10" t="str">
        <f>IF(S219&lt;&gt;eRRSP_Tx_Table[[#This Row],[Year]],SUMIFS($W$4:$W218,$S$4:$S218,eRRSP_Tx_Table[[#This Row],[Year]],$W$4:$W218,"&gt;0"),"")</f>
        <v/>
      </c>
      <c r="Z218" s="10" t="str">
        <f>IF(S219&lt;&gt;eRRSP_Tx_Table[[#This Row],[Year]],SUMIFS($W$4:$W218,$S$4:$S218,eRRSP_Tx_Table[[#This Row],[Year]],$W$4:$W218,"&lt;0"),"")</f>
        <v/>
      </c>
      <c r="AA218" s="3">
        <f>(SUMIF($U$4:$U218,CONCATENATE("Buy",$C218),$N$4:$N218)+SUMIF($U$4:$U218,CONCATENATE("ReinvDiv",$C218),$N$4:$N218))</f>
        <v>-2039.95</v>
      </c>
      <c r="AB218" s="3">
        <f>(SUMIF($U$4:$U218,CONCATENATE("Buy",$C218),$F$4:$F218)+SUMIF($U$4:$U218,CONCATENATE("ReinvDiv",$C218),$F$4:$F218)+SUMIF($U$4:$U218,CONCATENATE("StkSplit",$C218),$F$4:$F218)-SUMIF($U$4:$U218,CONCATENATE("Sell",$C218),$F$4:$F218))</f>
        <v>158.946</v>
      </c>
      <c r="AC218" s="3">
        <f>IF(B218="Sell",F218*INDEX(V:V,LOOKUP(2,1/(X$4:X217=CONCATENATE(C218,"_ACB")),ROW(V$4:V217))),0)</f>
        <v>0</v>
      </c>
    </row>
    <row r="219" spans="1:29" x14ac:dyDescent="0.25">
      <c r="A219" s="20">
        <v>38078</v>
      </c>
      <c r="B219" t="s">
        <v>42</v>
      </c>
      <c r="C219" t="s">
        <v>48</v>
      </c>
      <c r="D219" s="3">
        <v>3</v>
      </c>
      <c r="M219" s="21">
        <f t="shared" si="30"/>
        <v>3</v>
      </c>
      <c r="N219" s="8">
        <f t="shared" si="33"/>
        <v>3</v>
      </c>
      <c r="O219" s="25">
        <f t="shared" si="34"/>
        <v>3448.1299999999987</v>
      </c>
      <c r="P219" s="8">
        <f t="shared" si="31"/>
        <v>0</v>
      </c>
      <c r="Q219" s="4">
        <f>IF(AND(S219&gt;=[1]eRRSP_Rpt!$C$6,S219&lt;=[1]eRRSP_Rpt!$C$7),1,0)</f>
        <v>0</v>
      </c>
      <c r="R219" s="4"/>
      <c r="S219" s="4">
        <f t="shared" si="29"/>
        <v>2004</v>
      </c>
      <c r="T219" s="4"/>
      <c r="U219" s="4" t="str">
        <f t="shared" si="32"/>
        <v>DivTelus</v>
      </c>
      <c r="V219" s="23">
        <f>IFERROR(IF(AND(AB219&gt;0,B219&lt;&gt;"Sell"),(AA219-SUMIF(C$4:C218,C219,AC$4:AC219))/AB219,0),"")</f>
        <v>-40.450000000000003</v>
      </c>
      <c r="W219" s="24" t="str">
        <f t="shared" si="28"/>
        <v/>
      </c>
      <c r="X219" s="25" t="str">
        <f t="shared" si="27"/>
        <v>Telus_ACB</v>
      </c>
      <c r="Y219" s="10" t="str">
        <f>IF(S220&lt;&gt;eRRSP_Tx_Table[[#This Row],[Year]],SUMIFS($W$4:$W219,$S$4:$S219,eRRSP_Tx_Table[[#This Row],[Year]],$W$4:$W219,"&gt;0"),"")</f>
        <v/>
      </c>
      <c r="Z219" s="10" t="str">
        <f>IF(S220&lt;&gt;eRRSP_Tx_Table[[#This Row],[Year]],SUMIFS($W$4:$W219,$S$4:$S219,eRRSP_Tx_Table[[#This Row],[Year]],$W$4:$W219,"&lt;0"),"")</f>
        <v/>
      </c>
      <c r="AA219" s="3">
        <f>(SUMIF($U$4:$U219,CONCATENATE("Buy",$C219),$N$4:$N219)+SUMIF($U$4:$U219,CONCATENATE("ReinvDiv",$C219),$N$4:$N219))</f>
        <v>-809</v>
      </c>
      <c r="AB219" s="3">
        <f>(SUMIF($U$4:$U219,CONCATENATE("Buy",$C219),$F$4:$F219)+SUMIF($U$4:$U219,CONCATENATE("ReinvDiv",$C219),$F$4:$F219)+SUMIF($U$4:$U219,CONCATENATE("StkSplit",$C219),$F$4:$F219)-SUMIF($U$4:$U219,CONCATENATE("Sell",$C219),$F$4:$F219))</f>
        <v>20</v>
      </c>
      <c r="AC219" s="3">
        <f>IF(B219="Sell",F219*INDEX(V:V,LOOKUP(2,1/(X$4:X218=CONCATENATE(C219,"_ACB")),ROW(V$4:V218))),0)</f>
        <v>0</v>
      </c>
    </row>
    <row r="220" spans="1:29" x14ac:dyDescent="0.25">
      <c r="A220" s="20">
        <v>38092</v>
      </c>
      <c r="B220" t="s">
        <v>42</v>
      </c>
      <c r="C220" t="s">
        <v>46</v>
      </c>
      <c r="D220" s="3">
        <v>6</v>
      </c>
      <c r="M220" s="21">
        <f t="shared" si="30"/>
        <v>6</v>
      </c>
      <c r="N220" s="8">
        <f t="shared" si="33"/>
        <v>6</v>
      </c>
      <c r="O220" s="25">
        <f t="shared" si="34"/>
        <v>3454.1299999999987</v>
      </c>
      <c r="P220" s="8">
        <f t="shared" si="31"/>
        <v>0</v>
      </c>
      <c r="Q220" s="4">
        <f>IF(AND(S220&gt;=[1]eRRSP_Rpt!$C$6,S220&lt;=[1]eRRSP_Rpt!$C$7),1,0)</f>
        <v>0</v>
      </c>
      <c r="R220" s="4"/>
      <c r="S220" s="4">
        <f t="shared" si="29"/>
        <v>2004</v>
      </c>
      <c r="T220" s="4"/>
      <c r="U220" s="4" t="str">
        <f t="shared" si="32"/>
        <v>DivBCE</v>
      </c>
      <c r="V220" s="23">
        <f>IFERROR(IF(AND(AB220&gt;0,B220&lt;&gt;"Sell"),(AA220-SUMIF(C$4:C219,C220,AC$4:AC220))/AB220,0),"")</f>
        <v>-40.450000000000003</v>
      </c>
      <c r="W220" s="24" t="str">
        <f t="shared" si="28"/>
        <v/>
      </c>
      <c r="X220" s="25" t="str">
        <f t="shared" si="27"/>
        <v>BCE_ACB</v>
      </c>
      <c r="Y220" s="10" t="str">
        <f>IF(S221&lt;&gt;eRRSP_Tx_Table[[#This Row],[Year]],SUMIFS($W$4:$W220,$S$4:$S220,eRRSP_Tx_Table[[#This Row],[Year]],$W$4:$W220,"&gt;0"),"")</f>
        <v/>
      </c>
      <c r="Z220" s="10" t="str">
        <f>IF(S221&lt;&gt;eRRSP_Tx_Table[[#This Row],[Year]],SUMIFS($W$4:$W220,$S$4:$S220,eRRSP_Tx_Table[[#This Row],[Year]],$W$4:$W220,"&lt;0"),"")</f>
        <v/>
      </c>
      <c r="AA220" s="3">
        <f>(SUMIF($U$4:$U220,CONCATENATE("Buy",$C220),$N$4:$N220)+SUMIF($U$4:$U220,CONCATENATE("ReinvDiv",$C220),$N$4:$N220))</f>
        <v>-809</v>
      </c>
      <c r="AB220" s="3">
        <f>(SUMIF($U$4:$U220,CONCATENATE("Buy",$C220),$F$4:$F220)+SUMIF($U$4:$U220,CONCATENATE("ReinvDiv",$C220),$F$4:$F220)+SUMIF($U$4:$U220,CONCATENATE("StkSplit",$C220),$F$4:$F220)-SUMIF($U$4:$U220,CONCATENATE("Sell",$C220),$F$4:$F220))</f>
        <v>20</v>
      </c>
      <c r="AC220" s="3">
        <f>IF(B220="Sell",F220*INDEX(V:V,LOOKUP(2,1/(X$4:X219=CONCATENATE(C220,"_ACB")),ROW(V$4:V219))),0)</f>
        <v>0</v>
      </c>
    </row>
    <row r="221" spans="1:29" x14ac:dyDescent="0.25">
      <c r="A221" s="20">
        <v>38107</v>
      </c>
      <c r="B221" t="s">
        <v>42</v>
      </c>
      <c r="C221" t="s">
        <v>45</v>
      </c>
      <c r="D221" s="3">
        <v>6.8</v>
      </c>
      <c r="M221" s="21">
        <f t="shared" si="30"/>
        <v>6.8</v>
      </c>
      <c r="N221" s="8">
        <f t="shared" si="33"/>
        <v>6.8</v>
      </c>
      <c r="O221" s="25">
        <f t="shared" si="34"/>
        <v>3460.9299999999989</v>
      </c>
      <c r="P221" s="8">
        <f t="shared" si="31"/>
        <v>0</v>
      </c>
      <c r="Q221" s="4">
        <f>IF(AND(S221&gt;=[1]eRRSP_Rpt!$C$6,S221&lt;=[1]eRRSP_Rpt!$C$7),1,0)</f>
        <v>0</v>
      </c>
      <c r="R221" s="4"/>
      <c r="S221" s="4">
        <f t="shared" si="29"/>
        <v>2004</v>
      </c>
      <c r="T221" s="4"/>
      <c r="U221" s="4" t="str">
        <f t="shared" si="32"/>
        <v>DivTD Bank</v>
      </c>
      <c r="V221" s="23">
        <f>IFERROR(IF(AND(AB221&gt;0,B221&lt;&gt;"Sell"),(AA221-SUMIF(C$4:C220,C221,AC$4:AC221))/AB221,0),"")</f>
        <v>-44.29</v>
      </c>
      <c r="W221" s="24" t="str">
        <f t="shared" si="28"/>
        <v/>
      </c>
      <c r="X221" s="25" t="str">
        <f t="shared" si="27"/>
        <v>TD Bank_ACB</v>
      </c>
      <c r="Y221" s="10" t="str">
        <f>IF(S222&lt;&gt;eRRSP_Tx_Table[[#This Row],[Year]],SUMIFS($W$4:$W221,$S$4:$S221,eRRSP_Tx_Table[[#This Row],[Year]],$W$4:$W221,"&gt;0"),"")</f>
        <v/>
      </c>
      <c r="Z221" s="10" t="str">
        <f>IF(S222&lt;&gt;eRRSP_Tx_Table[[#This Row],[Year]],SUMIFS($W$4:$W221,$S$4:$S221,eRRSP_Tx_Table[[#This Row],[Year]],$W$4:$W221,"&lt;0"),"")</f>
        <v/>
      </c>
      <c r="AA221" s="3">
        <f>(SUMIF($U$4:$U221,CONCATENATE("Buy",$C221),$N$4:$N221)+SUMIF($U$4:$U221,CONCATENATE("ReinvDiv",$C221),$N$4:$N221))</f>
        <v>-885.8</v>
      </c>
      <c r="AB221" s="3">
        <f>(SUMIF($U$4:$U221,CONCATENATE("Buy",$C221),$F$4:$F221)+SUMIF($U$4:$U221,CONCATENATE("ReinvDiv",$C221),$F$4:$F221)+SUMIF($U$4:$U221,CONCATENATE("StkSplit",$C221),$F$4:$F221)-SUMIF($U$4:$U221,CONCATENATE("Sell",$C221),$F$4:$F221))</f>
        <v>20</v>
      </c>
      <c r="AC221" s="3">
        <f>IF(B221="Sell",F221*INDEX(V:V,LOOKUP(2,1/(X$4:X220=CONCATENATE(C221,"_ACB")),ROW(V$4:V220))),0)</f>
        <v>0</v>
      </c>
    </row>
    <row r="222" spans="1:29" x14ac:dyDescent="0.25">
      <c r="A222" s="20">
        <v>38138</v>
      </c>
      <c r="B222" t="s">
        <v>42</v>
      </c>
      <c r="C222" t="s">
        <v>47</v>
      </c>
      <c r="D222" s="3">
        <v>0.68</v>
      </c>
      <c r="M222" s="21">
        <f t="shared" si="30"/>
        <v>0.68</v>
      </c>
      <c r="N222" s="8">
        <f t="shared" si="33"/>
        <v>0.68</v>
      </c>
      <c r="O222" s="25">
        <f t="shared" si="34"/>
        <v>3461.6099999999988</v>
      </c>
      <c r="P222" s="8">
        <f t="shared" si="31"/>
        <v>0</v>
      </c>
      <c r="Q222" s="4">
        <f>IF(AND(S222&gt;=[1]eRRSP_Rpt!$C$6,S222&lt;=[1]eRRSP_Rpt!$C$7),1,0)</f>
        <v>0</v>
      </c>
      <c r="R222" s="4"/>
      <c r="S222" s="4">
        <f t="shared" si="29"/>
        <v>2004</v>
      </c>
      <c r="T222" s="4"/>
      <c r="U222" s="4" t="str">
        <f t="shared" si="32"/>
        <v>DivBombardier</v>
      </c>
      <c r="V222" s="23">
        <f>IFERROR(IF(AND(AB222&gt;0,B222&lt;&gt;"Sell"),(AA222-SUMIF(C$4:C221,C222,AC$4:AC222))/AB222,0),"")</f>
        <v>-23.216666666666665</v>
      </c>
      <c r="W222" s="24" t="str">
        <f t="shared" si="28"/>
        <v/>
      </c>
      <c r="X222" s="25" t="str">
        <f t="shared" si="27"/>
        <v>Bombardier_ACB</v>
      </c>
      <c r="Y222" s="10" t="str">
        <f>IF(S223&lt;&gt;eRRSP_Tx_Table[[#This Row],[Year]],SUMIFS($W$4:$W222,$S$4:$S222,eRRSP_Tx_Table[[#This Row],[Year]],$W$4:$W222,"&gt;0"),"")</f>
        <v/>
      </c>
      <c r="Z222" s="10" t="str">
        <f>IF(S223&lt;&gt;eRRSP_Tx_Table[[#This Row],[Year]],SUMIFS($W$4:$W222,$S$4:$S222,eRRSP_Tx_Table[[#This Row],[Year]],$W$4:$W222,"&lt;0"),"")</f>
        <v/>
      </c>
      <c r="AA222" s="3">
        <f>(SUMIF($U$4:$U222,CONCATENATE("Buy",$C222),$N$4:$N222)+SUMIF($U$4:$U222,CONCATENATE("ReinvDiv",$C222),$N$4:$N222))</f>
        <v>-696.5</v>
      </c>
      <c r="AB222" s="3">
        <f>(SUMIF($U$4:$U222,CONCATENATE("Buy",$C222),$F$4:$F222)+SUMIF($U$4:$U222,CONCATENATE("ReinvDiv",$C222),$F$4:$F222)+SUMIF($U$4:$U222,CONCATENATE("StkSplit",$C222),$F$4:$F222)-SUMIF($U$4:$U222,CONCATENATE("Sell",$C222),$F$4:$F222))</f>
        <v>30</v>
      </c>
      <c r="AC222" s="3">
        <f>IF(B222="Sell",F222*INDEX(V:V,LOOKUP(2,1/(X$4:X221=CONCATENATE(C222,"_ACB")),ROW(V$4:V221))),0)</f>
        <v>0</v>
      </c>
    </row>
    <row r="223" spans="1:29" x14ac:dyDescent="0.25">
      <c r="A223" s="20">
        <v>38139</v>
      </c>
      <c r="B223" t="s">
        <v>42</v>
      </c>
      <c r="C223" t="s">
        <v>33</v>
      </c>
      <c r="D223" s="3">
        <v>26.07</v>
      </c>
      <c r="M223" s="21">
        <f t="shared" si="30"/>
        <v>26.07</v>
      </c>
      <c r="N223" s="8">
        <f t="shared" si="33"/>
        <v>26.07</v>
      </c>
      <c r="O223" s="25">
        <f t="shared" si="34"/>
        <v>3487.6799999999989</v>
      </c>
      <c r="P223" s="8">
        <f t="shared" si="31"/>
        <v>0</v>
      </c>
      <c r="Q223" s="4">
        <f>IF(AND(S223&gt;=[1]eRRSP_Rpt!$C$6,S223&lt;=[1]eRRSP_Rpt!$C$7),1,0)</f>
        <v>0</v>
      </c>
      <c r="R223" s="4"/>
      <c r="S223" s="4">
        <f t="shared" si="29"/>
        <v>2004</v>
      </c>
      <c r="T223" s="4"/>
      <c r="U223" s="4" t="str">
        <f t="shared" si="32"/>
        <v>DivEnbridge</v>
      </c>
      <c r="V223" s="23">
        <f>IFERROR(IF(AND(AB223&gt;0,B223&lt;&gt;"Sell"),(AA223-SUMIF(C$4:C222,C223,AC$4:AC223))/AB223,0),"")</f>
        <v>-25.718055555555559</v>
      </c>
      <c r="W223" s="24" t="str">
        <f t="shared" si="28"/>
        <v/>
      </c>
      <c r="X223" s="25" t="str">
        <f t="shared" si="27"/>
        <v>Enbridge_ACB</v>
      </c>
      <c r="Y223" s="10" t="str">
        <f>IF(S224&lt;&gt;eRRSP_Tx_Table[[#This Row],[Year]],SUMIFS($W$4:$W223,$S$4:$S223,eRRSP_Tx_Table[[#This Row],[Year]],$W$4:$W223,"&gt;0"),"")</f>
        <v/>
      </c>
      <c r="Z223" s="10" t="str">
        <f>IF(S224&lt;&gt;eRRSP_Tx_Table[[#This Row],[Year]],SUMIFS($W$4:$W223,$S$4:$S223,eRRSP_Tx_Table[[#This Row],[Year]],$W$4:$W223,"&lt;0"),"")</f>
        <v/>
      </c>
      <c r="AA223" s="3">
        <f>(SUMIF($U$4:$U223,CONCATENATE("Buy",$C223),$N$4:$N223)+SUMIF($U$4:$U223,CONCATENATE("ReinvDiv",$C223),$N$4:$N223))</f>
        <v>-1851.7</v>
      </c>
      <c r="AB223" s="3">
        <f>(SUMIF($U$4:$U223,CONCATENATE("Buy",$C223),$F$4:$F223)+SUMIF($U$4:$U223,CONCATENATE("ReinvDiv",$C223),$F$4:$F223)+SUMIF($U$4:$U223,CONCATENATE("StkSplit",$C223),$F$4:$F223)-SUMIF($U$4:$U223,CONCATENATE("Sell",$C223),$F$4:$F223))</f>
        <v>57</v>
      </c>
      <c r="AC223" s="3">
        <f>IF(B223="Sell",F223*INDEX(V:V,LOOKUP(2,1/(X$4:X222=CONCATENATE(C223,"_ACB")),ROW(V$4:V222))),0)</f>
        <v>0</v>
      </c>
    </row>
    <row r="224" spans="1:29" x14ac:dyDescent="0.25">
      <c r="A224" s="20">
        <v>38153</v>
      </c>
      <c r="B224" t="s">
        <v>41</v>
      </c>
      <c r="C224" t="s">
        <v>39</v>
      </c>
      <c r="D224" s="3">
        <v>15.59</v>
      </c>
      <c r="E224">
        <v>10.45</v>
      </c>
      <c r="F224" s="3">
        <v>1.492</v>
      </c>
      <c r="M224" s="21">
        <f t="shared" si="30"/>
        <v>15.59</v>
      </c>
      <c r="N224" s="8">
        <f t="shared" si="33"/>
        <v>-15.59</v>
      </c>
      <c r="O224" s="25">
        <f t="shared" si="34"/>
        <v>3487.6799999999989</v>
      </c>
      <c r="P224" s="8">
        <f t="shared" si="31"/>
        <v>0</v>
      </c>
      <c r="Q224" s="4">
        <f>IF(AND(S224&gt;=[1]eRRSP_Rpt!$C$6,S224&lt;=[1]eRRSP_Rpt!$C$7),1,0)</f>
        <v>0</v>
      </c>
      <c r="R224" s="4"/>
      <c r="S224" s="4">
        <f t="shared" si="29"/>
        <v>2004</v>
      </c>
      <c r="T224" s="4"/>
      <c r="U224" s="4" t="str">
        <f t="shared" si="32"/>
        <v>ReinvDivTrimark Income Growth</v>
      </c>
      <c r="V224" s="23">
        <f>IFERROR(IF(AND(AB224&gt;0,B224&lt;&gt;"Sell"),(AA224-SUMIF(C$4:C223,C224,AC$4:AC224))/AB224,0),"")</f>
        <v>-7.8527085401240235</v>
      </c>
      <c r="W224" s="24" t="str">
        <f t="shared" si="28"/>
        <v/>
      </c>
      <c r="X224" s="25" t="str">
        <f t="shared" si="27"/>
        <v>Trimark Income Growth_ACB</v>
      </c>
      <c r="Y224" s="10" t="str">
        <f>IF(S225&lt;&gt;eRRSP_Tx_Table[[#This Row],[Year]],SUMIFS($W$4:$W224,$S$4:$S224,eRRSP_Tx_Table[[#This Row],[Year]],$W$4:$W224,"&gt;0"),"")</f>
        <v/>
      </c>
      <c r="Z224" s="10" t="str">
        <f>IF(S225&lt;&gt;eRRSP_Tx_Table[[#This Row],[Year]],SUMIFS($W$4:$W224,$S$4:$S224,eRRSP_Tx_Table[[#This Row],[Year]],$W$4:$W224,"&lt;0"),"")</f>
        <v/>
      </c>
      <c r="AA224" s="3">
        <f>(SUMIF($U$4:$U224,CONCATENATE("Buy",$C224),$N$4:$N224)+SUMIF($U$4:$U224,CONCATENATE("ReinvDiv",$C224),$N$4:$N224))</f>
        <v>-2270.54</v>
      </c>
      <c r="AB224" s="3">
        <f>(SUMIF($U$4:$U224,CONCATENATE("Buy",$C224),$F$4:$F224)+SUMIF($U$4:$U224,CONCATENATE("ReinvDiv",$C224),$F$4:$F224)+SUMIF($U$4:$U224,CONCATENATE("StkSplit",$C224),$F$4:$F224)-SUMIF($U$4:$U224,CONCATENATE("Sell",$C224),$F$4:$F224))</f>
        <v>289.14099999999996</v>
      </c>
      <c r="AC224" s="3">
        <f>IF(B224="Sell",F224*INDEX(V:V,LOOKUP(2,1/(X$4:X223=CONCATENATE(C224,"_ACB")),ROW(V$4:V223))),0)</f>
        <v>0</v>
      </c>
    </row>
    <row r="225" spans="1:29" x14ac:dyDescent="0.25">
      <c r="A225" s="20">
        <v>38167</v>
      </c>
      <c r="B225" t="s">
        <v>42</v>
      </c>
      <c r="C225" t="s">
        <v>53</v>
      </c>
      <c r="D225" s="3">
        <v>24.98</v>
      </c>
      <c r="M225" s="21">
        <f t="shared" si="30"/>
        <v>24.98</v>
      </c>
      <c r="N225" s="8">
        <f t="shared" si="33"/>
        <v>24.98</v>
      </c>
      <c r="O225" s="25">
        <f t="shared" si="34"/>
        <v>3512.6599999999989</v>
      </c>
      <c r="P225" s="8">
        <f t="shared" si="31"/>
        <v>0</v>
      </c>
      <c r="Q225" s="4">
        <f>IF(AND(S225&gt;=[1]eRRSP_Rpt!$C$6,S225&lt;=[1]eRRSP_Rpt!$C$7),1,0)</f>
        <v>0</v>
      </c>
      <c r="R225" s="4"/>
      <c r="S225" s="4">
        <f t="shared" si="29"/>
        <v>2004</v>
      </c>
      <c r="T225" s="4"/>
      <c r="U225" s="4" t="str">
        <f t="shared" si="32"/>
        <v>DivTD CDN Bond</v>
      </c>
      <c r="V225" s="23">
        <f>IFERROR(IF(AND(AB225&gt;0,B225&lt;&gt;"Sell"),(AA225-SUMIF(C$4:C224,C225,AC$4:AC225))/AB225,0),"")</f>
        <v>-12.100018755029071</v>
      </c>
      <c r="W225" s="24" t="str">
        <f t="shared" si="28"/>
        <v/>
      </c>
      <c r="X225" s="25" t="str">
        <f t="shared" si="27"/>
        <v>TD CDN Bond_ACB</v>
      </c>
      <c r="Y225" s="10" t="str">
        <f>IF(S226&lt;&gt;eRRSP_Tx_Table[[#This Row],[Year]],SUMIFS($W$4:$W225,$S$4:$S225,eRRSP_Tx_Table[[#This Row],[Year]],$W$4:$W225,"&gt;0"),"")</f>
        <v/>
      </c>
      <c r="Z225" s="10" t="str">
        <f>IF(S226&lt;&gt;eRRSP_Tx_Table[[#This Row],[Year]],SUMIFS($W$4:$W225,$S$4:$S225,eRRSP_Tx_Table[[#This Row],[Year]],$W$4:$W225,"&lt;0"),"")</f>
        <v/>
      </c>
      <c r="AA225" s="3">
        <f>(SUMIF($U$4:$U225,CONCATENATE("Buy",$C225),$N$4:$N225)+SUMIF($U$4:$U225,CONCATENATE("ReinvDiv",$C225),$N$4:$N225))</f>
        <v>-2000</v>
      </c>
      <c r="AB225" s="3">
        <f>(SUMIF($U$4:$U225,CONCATENATE("Buy",$C225),$F$4:$F225)+SUMIF($U$4:$U225,CONCATENATE("ReinvDiv",$C225),$F$4:$F225)+SUMIF($U$4:$U225,CONCATENATE("StkSplit",$C225),$F$4:$F225)-SUMIF($U$4:$U225,CONCATENATE("Sell",$C225),$F$4:$F225))</f>
        <v>165.28899999999999</v>
      </c>
      <c r="AC225" s="3">
        <f>IF(B225="Sell",F225*INDEX(V:V,LOOKUP(2,1/(X$4:X224=CONCATENATE(C225,"_ACB")),ROW(V$4:V224))),0)</f>
        <v>0</v>
      </c>
    </row>
    <row r="226" spans="1:29" x14ac:dyDescent="0.25">
      <c r="A226" s="20">
        <v>38168</v>
      </c>
      <c r="B226" t="s">
        <v>41</v>
      </c>
      <c r="C226" t="s">
        <v>62</v>
      </c>
      <c r="D226" s="3">
        <v>21.28</v>
      </c>
      <c r="E226">
        <v>14.27</v>
      </c>
      <c r="F226" s="3">
        <v>1.4910000000000001</v>
      </c>
      <c r="M226" s="21">
        <f t="shared" si="30"/>
        <v>21.28</v>
      </c>
      <c r="N226" s="8">
        <f t="shared" si="33"/>
        <v>-21.28</v>
      </c>
      <c r="O226" s="25">
        <f t="shared" si="34"/>
        <v>3512.6599999999989</v>
      </c>
      <c r="P226" s="8">
        <f t="shared" si="31"/>
        <v>0</v>
      </c>
      <c r="Q226" s="4">
        <f>IF(AND(S226&gt;=[1]eRRSP_Rpt!$C$6,S226&lt;=[1]eRRSP_Rpt!$C$7),1,0)</f>
        <v>0</v>
      </c>
      <c r="R226" s="4"/>
      <c r="S226" s="4">
        <f t="shared" si="29"/>
        <v>2004</v>
      </c>
      <c r="T226" s="4"/>
      <c r="U226" s="4" t="str">
        <f t="shared" si="32"/>
        <v>ReinvDivTD RR Bond</v>
      </c>
      <c r="V226" s="23">
        <f>IFERROR(IF(AND(AB226&gt;0,B226&lt;&gt;"Sell"),(AA226-SUMIF(C$4:C225,C226,AC$4:AC226))/AB226,0),"")</f>
        <v>-12.847597499329954</v>
      </c>
      <c r="W226" s="24" t="str">
        <f t="shared" si="28"/>
        <v/>
      </c>
      <c r="X226" s="25" t="str">
        <f t="shared" si="27"/>
        <v>TD RR Bond_ACB</v>
      </c>
      <c r="Y226" s="10" t="str">
        <f>IF(S227&lt;&gt;eRRSP_Tx_Table[[#This Row],[Year]],SUMIFS($W$4:$W226,$S$4:$S226,eRRSP_Tx_Table[[#This Row],[Year]],$W$4:$W226,"&gt;0"),"")</f>
        <v/>
      </c>
      <c r="Z226" s="10" t="str">
        <f>IF(S227&lt;&gt;eRRSP_Tx_Table[[#This Row],[Year]],SUMIFS($W$4:$W226,$S$4:$S226,eRRSP_Tx_Table[[#This Row],[Year]],$W$4:$W226,"&lt;0"),"")</f>
        <v/>
      </c>
      <c r="AA226" s="3">
        <f>(SUMIF($U$4:$U226,CONCATENATE("Buy",$C226),$N$4:$N226)+SUMIF($U$4:$U226,CONCATENATE("ReinvDiv",$C226),$N$4:$N226))</f>
        <v>-2061.23</v>
      </c>
      <c r="AB226" s="3">
        <f>(SUMIF($U$4:$U226,CONCATENATE("Buy",$C226),$F$4:$F226)+SUMIF($U$4:$U226,CONCATENATE("ReinvDiv",$C226),$F$4:$F226)+SUMIF($U$4:$U226,CONCATENATE("StkSplit",$C226),$F$4:$F226)-SUMIF($U$4:$U226,CONCATENATE("Sell",$C226),$F$4:$F226))</f>
        <v>160.43700000000001</v>
      </c>
      <c r="AC226" s="3">
        <f>IF(B226="Sell",F226*INDEX(V:V,LOOKUP(2,1/(X$4:X225=CONCATENATE(C226,"_ACB")),ROW(V$4:V225))),0)</f>
        <v>0</v>
      </c>
    </row>
    <row r="227" spans="1:29" x14ac:dyDescent="0.25">
      <c r="A227" s="20">
        <v>38169</v>
      </c>
      <c r="B227" t="s">
        <v>42</v>
      </c>
      <c r="C227" t="s">
        <v>48</v>
      </c>
      <c r="D227" s="3">
        <v>3</v>
      </c>
      <c r="M227" s="21">
        <f t="shared" si="30"/>
        <v>3</v>
      </c>
      <c r="N227" s="8">
        <f t="shared" si="33"/>
        <v>3</v>
      </c>
      <c r="O227" s="25">
        <f t="shared" si="34"/>
        <v>3515.6599999999989</v>
      </c>
      <c r="P227" s="8">
        <f t="shared" si="31"/>
        <v>0</v>
      </c>
      <c r="Q227" s="4">
        <f>IF(AND(S227&gt;=[1]eRRSP_Rpt!$C$6,S227&lt;=[1]eRRSP_Rpt!$C$7),1,0)</f>
        <v>0</v>
      </c>
      <c r="R227" s="4"/>
      <c r="S227" s="4">
        <f t="shared" si="29"/>
        <v>2004</v>
      </c>
      <c r="T227" s="4"/>
      <c r="U227" s="4" t="str">
        <f t="shared" si="32"/>
        <v>DivTelus</v>
      </c>
      <c r="V227" s="23">
        <f>IFERROR(IF(AND(AB227&gt;0,B227&lt;&gt;"Sell"),(AA227-SUMIF(C$4:C226,C227,AC$4:AC227))/AB227,0),"")</f>
        <v>-40.450000000000003</v>
      </c>
      <c r="W227" s="24" t="str">
        <f t="shared" si="28"/>
        <v/>
      </c>
      <c r="X227" s="25" t="str">
        <f t="shared" si="27"/>
        <v>Telus_ACB</v>
      </c>
      <c r="Y227" s="10" t="str">
        <f>IF(S228&lt;&gt;eRRSP_Tx_Table[[#This Row],[Year]],SUMIFS($W$4:$W227,$S$4:$S227,eRRSP_Tx_Table[[#This Row],[Year]],$W$4:$W227,"&gt;0"),"")</f>
        <v/>
      </c>
      <c r="Z227" s="10" t="str">
        <f>IF(S228&lt;&gt;eRRSP_Tx_Table[[#This Row],[Year]],SUMIFS($W$4:$W227,$S$4:$S227,eRRSP_Tx_Table[[#This Row],[Year]],$W$4:$W227,"&lt;0"),"")</f>
        <v/>
      </c>
      <c r="AA227" s="3">
        <f>(SUMIF($U$4:$U227,CONCATENATE("Buy",$C227),$N$4:$N227)+SUMIF($U$4:$U227,CONCATENATE("ReinvDiv",$C227),$N$4:$N227))</f>
        <v>-809</v>
      </c>
      <c r="AB227" s="3">
        <f>(SUMIF($U$4:$U227,CONCATENATE("Buy",$C227),$F$4:$F227)+SUMIF($U$4:$U227,CONCATENATE("ReinvDiv",$C227),$F$4:$F227)+SUMIF($U$4:$U227,CONCATENATE("StkSplit",$C227),$F$4:$F227)-SUMIF($U$4:$U227,CONCATENATE("Sell",$C227),$F$4:$F227))</f>
        <v>20</v>
      </c>
      <c r="AC227" s="3">
        <f>IF(B227="Sell",F227*INDEX(V:V,LOOKUP(2,1/(X$4:X226=CONCATENATE(C227,"_ACB")),ROW(V$4:V226))),0)</f>
        <v>0</v>
      </c>
    </row>
    <row r="228" spans="1:29" x14ac:dyDescent="0.25">
      <c r="A228" s="20">
        <v>38183</v>
      </c>
      <c r="B228" t="s">
        <v>42</v>
      </c>
      <c r="C228" t="s">
        <v>46</v>
      </c>
      <c r="D228" s="3">
        <v>6</v>
      </c>
      <c r="M228" s="21">
        <f t="shared" si="30"/>
        <v>6</v>
      </c>
      <c r="N228" s="8">
        <f t="shared" si="33"/>
        <v>6</v>
      </c>
      <c r="O228" s="25">
        <f t="shared" si="34"/>
        <v>3521.6599999999989</v>
      </c>
      <c r="P228" s="8">
        <f t="shared" si="31"/>
        <v>0</v>
      </c>
      <c r="Q228" s="4">
        <f>IF(AND(S228&gt;=[1]eRRSP_Rpt!$C$6,S228&lt;=[1]eRRSP_Rpt!$C$7),1,0)</f>
        <v>0</v>
      </c>
      <c r="R228" s="4"/>
      <c r="S228" s="4">
        <f t="shared" si="29"/>
        <v>2004</v>
      </c>
      <c r="T228" s="4"/>
      <c r="U228" s="4" t="str">
        <f t="shared" si="32"/>
        <v>DivBCE</v>
      </c>
      <c r="V228" s="23">
        <f>IFERROR(IF(AND(AB228&gt;0,B228&lt;&gt;"Sell"),(AA228-SUMIF(C$4:C227,C228,AC$4:AC228))/AB228,0),"")</f>
        <v>-40.450000000000003</v>
      </c>
      <c r="W228" s="24" t="str">
        <f t="shared" si="28"/>
        <v/>
      </c>
      <c r="X228" s="25" t="str">
        <f t="shared" si="27"/>
        <v>BCE_ACB</v>
      </c>
      <c r="Y228" s="10" t="str">
        <f>IF(S229&lt;&gt;eRRSP_Tx_Table[[#This Row],[Year]],SUMIFS($W$4:$W228,$S$4:$S228,eRRSP_Tx_Table[[#This Row],[Year]],$W$4:$W228,"&gt;0"),"")</f>
        <v/>
      </c>
      <c r="Z228" s="10" t="str">
        <f>IF(S229&lt;&gt;eRRSP_Tx_Table[[#This Row],[Year]],SUMIFS($W$4:$W228,$S$4:$S228,eRRSP_Tx_Table[[#This Row],[Year]],$W$4:$W228,"&lt;0"),"")</f>
        <v/>
      </c>
      <c r="AA228" s="3">
        <f>(SUMIF($U$4:$U228,CONCATENATE("Buy",$C228),$N$4:$N228)+SUMIF($U$4:$U228,CONCATENATE("ReinvDiv",$C228),$N$4:$N228))</f>
        <v>-809</v>
      </c>
      <c r="AB228" s="3">
        <f>(SUMIF($U$4:$U228,CONCATENATE("Buy",$C228),$F$4:$F228)+SUMIF($U$4:$U228,CONCATENATE("ReinvDiv",$C228),$F$4:$F228)+SUMIF($U$4:$U228,CONCATENATE("StkSplit",$C228),$F$4:$F228)-SUMIF($U$4:$U228,CONCATENATE("Sell",$C228),$F$4:$F228))</f>
        <v>20</v>
      </c>
      <c r="AC228" s="3">
        <f>IF(B228="Sell",F228*INDEX(V:V,LOOKUP(2,1/(X$4:X227=CONCATENATE(C228,"_ACB")),ROW(V$4:V227))),0)</f>
        <v>0</v>
      </c>
    </row>
    <row r="229" spans="1:29" x14ac:dyDescent="0.25">
      <c r="A229" s="20">
        <v>38199</v>
      </c>
      <c r="B229" t="s">
        <v>42</v>
      </c>
      <c r="C229" t="s">
        <v>47</v>
      </c>
      <c r="D229" s="3">
        <v>0.68</v>
      </c>
      <c r="M229" s="21">
        <f t="shared" si="30"/>
        <v>0.68</v>
      </c>
      <c r="N229" s="8">
        <f t="shared" si="33"/>
        <v>0.68</v>
      </c>
      <c r="O229" s="25">
        <f t="shared" si="34"/>
        <v>3522.3399999999988</v>
      </c>
      <c r="P229" s="8">
        <f t="shared" si="31"/>
        <v>0</v>
      </c>
      <c r="Q229" s="4">
        <f>IF(AND(S229&gt;=[1]eRRSP_Rpt!$C$6,S229&lt;=[1]eRRSP_Rpt!$C$7),1,0)</f>
        <v>0</v>
      </c>
      <c r="R229" s="4"/>
      <c r="S229" s="4">
        <f t="shared" si="29"/>
        <v>2004</v>
      </c>
      <c r="T229" s="4"/>
      <c r="U229" s="4" t="str">
        <f t="shared" si="32"/>
        <v>DivBombardier</v>
      </c>
      <c r="V229" s="23">
        <f>IFERROR(IF(AND(AB229&gt;0,B229&lt;&gt;"Sell"),(AA229-SUMIF(C$4:C228,C229,AC$4:AC229))/AB229,0),"")</f>
        <v>-23.216666666666665</v>
      </c>
      <c r="W229" s="24" t="str">
        <f t="shared" si="28"/>
        <v/>
      </c>
      <c r="X229" s="25" t="str">
        <f t="shared" si="27"/>
        <v>Bombardier_ACB</v>
      </c>
      <c r="Y229" s="10" t="str">
        <f>IF(S230&lt;&gt;eRRSP_Tx_Table[[#This Row],[Year]],SUMIFS($W$4:$W229,$S$4:$S229,eRRSP_Tx_Table[[#This Row],[Year]],$W$4:$W229,"&gt;0"),"")</f>
        <v/>
      </c>
      <c r="Z229" s="10" t="str">
        <f>IF(S230&lt;&gt;eRRSP_Tx_Table[[#This Row],[Year]],SUMIFS($W$4:$W229,$S$4:$S229,eRRSP_Tx_Table[[#This Row],[Year]],$W$4:$W229,"&lt;0"),"")</f>
        <v/>
      </c>
      <c r="AA229" s="3">
        <f>(SUMIF($U$4:$U229,CONCATENATE("Buy",$C229),$N$4:$N229)+SUMIF($U$4:$U229,CONCATENATE("ReinvDiv",$C229),$N$4:$N229))</f>
        <v>-696.5</v>
      </c>
      <c r="AB229" s="3">
        <f>(SUMIF($U$4:$U229,CONCATENATE("Buy",$C229),$F$4:$F229)+SUMIF($U$4:$U229,CONCATENATE("ReinvDiv",$C229),$F$4:$F229)+SUMIF($U$4:$U229,CONCATENATE("StkSplit",$C229),$F$4:$F229)-SUMIF($U$4:$U229,CONCATENATE("Sell",$C229),$F$4:$F229))</f>
        <v>30</v>
      </c>
      <c r="AC229" s="3">
        <f>IF(B229="Sell",F229*INDEX(V:V,LOOKUP(2,1/(X$4:X228=CONCATENATE(C229,"_ACB")),ROW(V$4:V228))),0)</f>
        <v>0</v>
      </c>
    </row>
    <row r="230" spans="1:29" x14ac:dyDescent="0.25">
      <c r="A230" s="20">
        <v>38199</v>
      </c>
      <c r="B230" t="s">
        <v>42</v>
      </c>
      <c r="C230" t="s">
        <v>45</v>
      </c>
      <c r="D230" s="3">
        <v>6.8</v>
      </c>
      <c r="M230" s="21">
        <f t="shared" si="30"/>
        <v>6.8</v>
      </c>
      <c r="N230" s="8">
        <f t="shared" si="33"/>
        <v>6.8</v>
      </c>
      <c r="O230" s="25">
        <f t="shared" si="34"/>
        <v>3529.139999999999</v>
      </c>
      <c r="P230" s="8">
        <f t="shared" si="31"/>
        <v>0</v>
      </c>
      <c r="Q230" s="4">
        <f>IF(AND(S230&gt;=[1]eRRSP_Rpt!$C$6,S230&lt;=[1]eRRSP_Rpt!$C$7),1,0)</f>
        <v>0</v>
      </c>
      <c r="R230" s="4"/>
      <c r="S230" s="4">
        <f t="shared" si="29"/>
        <v>2004</v>
      </c>
      <c r="T230" s="4"/>
      <c r="U230" s="4" t="str">
        <f t="shared" si="32"/>
        <v>DivTD Bank</v>
      </c>
      <c r="V230" s="23">
        <f>IFERROR(IF(AND(AB230&gt;0,B230&lt;&gt;"Sell"),(AA230-SUMIF(C$4:C229,C230,AC$4:AC230))/AB230,0),"")</f>
        <v>-44.29</v>
      </c>
      <c r="W230" s="24" t="str">
        <f t="shared" si="28"/>
        <v/>
      </c>
      <c r="X230" s="25" t="str">
        <f t="shared" si="27"/>
        <v>TD Bank_ACB</v>
      </c>
      <c r="Y230" s="10" t="str">
        <f>IF(S231&lt;&gt;eRRSP_Tx_Table[[#This Row],[Year]],SUMIFS($W$4:$W230,$S$4:$S230,eRRSP_Tx_Table[[#This Row],[Year]],$W$4:$W230,"&gt;0"),"")</f>
        <v/>
      </c>
      <c r="Z230" s="10" t="str">
        <f>IF(S231&lt;&gt;eRRSP_Tx_Table[[#This Row],[Year]],SUMIFS($W$4:$W230,$S$4:$S230,eRRSP_Tx_Table[[#This Row],[Year]],$W$4:$W230,"&lt;0"),"")</f>
        <v/>
      </c>
      <c r="AA230" s="3">
        <f>(SUMIF($U$4:$U230,CONCATENATE("Buy",$C230),$N$4:$N230)+SUMIF($U$4:$U230,CONCATENATE("ReinvDiv",$C230),$N$4:$N230))</f>
        <v>-885.8</v>
      </c>
      <c r="AB230" s="3">
        <f>(SUMIF($U$4:$U230,CONCATENATE("Buy",$C230),$F$4:$F230)+SUMIF($U$4:$U230,CONCATENATE("ReinvDiv",$C230),$F$4:$F230)+SUMIF($U$4:$U230,CONCATENATE("StkSplit",$C230),$F$4:$F230)-SUMIF($U$4:$U230,CONCATENATE("Sell",$C230),$F$4:$F230))</f>
        <v>20</v>
      </c>
      <c r="AC230" s="3">
        <f>IF(B230="Sell",F230*INDEX(V:V,LOOKUP(2,1/(X$4:X229=CONCATENATE(C230,"_ACB")),ROW(V$4:V229))),0)</f>
        <v>0</v>
      </c>
    </row>
    <row r="231" spans="1:29" x14ac:dyDescent="0.25">
      <c r="A231" s="20">
        <v>38231</v>
      </c>
      <c r="B231" t="s">
        <v>42</v>
      </c>
      <c r="C231" t="s">
        <v>33</v>
      </c>
      <c r="D231" s="3">
        <v>26.07</v>
      </c>
      <c r="M231" s="21">
        <f t="shared" si="30"/>
        <v>26.07</v>
      </c>
      <c r="N231" s="8">
        <f t="shared" si="33"/>
        <v>26.07</v>
      </c>
      <c r="O231" s="25">
        <f t="shared" si="34"/>
        <v>3555.2099999999991</v>
      </c>
      <c r="P231" s="8">
        <f t="shared" si="31"/>
        <v>0</v>
      </c>
      <c r="Q231" s="4">
        <f>IF(AND(S231&gt;=[1]eRRSP_Rpt!$C$6,S231&lt;=[1]eRRSP_Rpt!$C$7),1,0)</f>
        <v>0</v>
      </c>
      <c r="R231" s="4"/>
      <c r="S231" s="4">
        <f t="shared" si="29"/>
        <v>2004</v>
      </c>
      <c r="T231" s="4"/>
      <c r="U231" s="4" t="str">
        <f t="shared" si="32"/>
        <v>DivEnbridge</v>
      </c>
      <c r="V231" s="23">
        <f>IFERROR(IF(AND(AB231&gt;0,B231&lt;&gt;"Sell"),(AA231-SUMIF(C$4:C230,C231,AC$4:AC231))/AB231,0),"")</f>
        <v>-25.718055555555559</v>
      </c>
      <c r="W231" s="24" t="str">
        <f t="shared" si="28"/>
        <v/>
      </c>
      <c r="X231" s="25" t="str">
        <f t="shared" si="27"/>
        <v>Enbridge_ACB</v>
      </c>
      <c r="Y231" s="10" t="str">
        <f>IF(S232&lt;&gt;eRRSP_Tx_Table[[#This Row],[Year]],SUMIFS($W$4:$W231,$S$4:$S231,eRRSP_Tx_Table[[#This Row],[Year]],$W$4:$W231,"&gt;0"),"")</f>
        <v/>
      </c>
      <c r="Z231" s="10" t="str">
        <f>IF(S232&lt;&gt;eRRSP_Tx_Table[[#This Row],[Year]],SUMIFS($W$4:$W231,$S$4:$S231,eRRSP_Tx_Table[[#This Row],[Year]],$W$4:$W231,"&lt;0"),"")</f>
        <v/>
      </c>
      <c r="AA231" s="3">
        <f>(SUMIF($U$4:$U231,CONCATENATE("Buy",$C231),$N$4:$N231)+SUMIF($U$4:$U231,CONCATENATE("ReinvDiv",$C231),$N$4:$N231))</f>
        <v>-1851.7</v>
      </c>
      <c r="AB231" s="3">
        <f>(SUMIF($U$4:$U231,CONCATENATE("Buy",$C231),$F$4:$F231)+SUMIF($U$4:$U231,CONCATENATE("ReinvDiv",$C231),$F$4:$F231)+SUMIF($U$4:$U231,CONCATENATE("StkSplit",$C231),$F$4:$F231)-SUMIF($U$4:$U231,CONCATENATE("Sell",$C231),$F$4:$F231))</f>
        <v>57</v>
      </c>
      <c r="AC231" s="3">
        <f>IF(B231="Sell",F231*INDEX(V:V,LOOKUP(2,1/(X$4:X230=CONCATENATE(C231,"_ACB")),ROW(V$4:V230))),0)</f>
        <v>0</v>
      </c>
    </row>
    <row r="232" spans="1:29" x14ac:dyDescent="0.25">
      <c r="A232" s="20">
        <v>38245</v>
      </c>
      <c r="B232" t="s">
        <v>41</v>
      </c>
      <c r="C232" t="s">
        <v>39</v>
      </c>
      <c r="D232" s="3">
        <v>11.77</v>
      </c>
      <c r="E232">
        <v>10.52</v>
      </c>
      <c r="F232" s="3">
        <v>1.119</v>
      </c>
      <c r="M232" s="21">
        <f t="shared" si="30"/>
        <v>11.77</v>
      </c>
      <c r="N232" s="8">
        <f t="shared" si="33"/>
        <v>-11.77</v>
      </c>
      <c r="O232" s="25">
        <f t="shared" si="34"/>
        <v>3555.2099999999991</v>
      </c>
      <c r="P232" s="8">
        <f t="shared" si="31"/>
        <v>0</v>
      </c>
      <c r="Q232" s="4">
        <f>IF(AND(S232&gt;=[1]eRRSP_Rpt!$C$6,S232&lt;=[1]eRRSP_Rpt!$C$7),1,0)</f>
        <v>0</v>
      </c>
      <c r="R232" s="4"/>
      <c r="S232" s="4">
        <f t="shared" si="29"/>
        <v>2004</v>
      </c>
      <c r="T232" s="4"/>
      <c r="U232" s="4" t="str">
        <f t="shared" si="32"/>
        <v>ReinvDivTrimark Income Growth</v>
      </c>
      <c r="V232" s="23">
        <f>IFERROR(IF(AND(AB232&gt;0,B232&lt;&gt;"Sell"),(AA232-SUMIF(C$4:C231,C232,AC$4:AC232))/AB232,0),"")</f>
        <v>-7.8629849100806171</v>
      </c>
      <c r="W232" s="24" t="str">
        <f t="shared" si="28"/>
        <v/>
      </c>
      <c r="X232" s="25" t="str">
        <f t="shared" si="27"/>
        <v>Trimark Income Growth_ACB</v>
      </c>
      <c r="Y232" s="10" t="str">
        <f>IF(S233&lt;&gt;eRRSP_Tx_Table[[#This Row],[Year]],SUMIFS($W$4:$W232,$S$4:$S232,eRRSP_Tx_Table[[#This Row],[Year]],$W$4:$W232,"&gt;0"),"")</f>
        <v/>
      </c>
      <c r="Z232" s="10" t="str">
        <f>IF(S233&lt;&gt;eRRSP_Tx_Table[[#This Row],[Year]],SUMIFS($W$4:$W232,$S$4:$S232,eRRSP_Tx_Table[[#This Row],[Year]],$W$4:$W232,"&lt;0"),"")</f>
        <v/>
      </c>
      <c r="AA232" s="3">
        <f>(SUMIF($U$4:$U232,CONCATENATE("Buy",$C232),$N$4:$N232)+SUMIF($U$4:$U232,CONCATENATE("ReinvDiv",$C232),$N$4:$N232))</f>
        <v>-2282.31</v>
      </c>
      <c r="AB232" s="3">
        <f>(SUMIF($U$4:$U232,CONCATENATE("Buy",$C232),$F$4:$F232)+SUMIF($U$4:$U232,CONCATENATE("ReinvDiv",$C232),$F$4:$F232)+SUMIF($U$4:$U232,CONCATENATE("StkSplit",$C232),$F$4:$F232)-SUMIF($U$4:$U232,CONCATENATE("Sell",$C232),$F$4:$F232))</f>
        <v>290.26</v>
      </c>
      <c r="AC232" s="3">
        <f>IF(B232="Sell",F232*INDEX(V:V,LOOKUP(2,1/(X$4:X231=CONCATENATE(C232,"_ACB")),ROW(V$4:V231))),0)</f>
        <v>0</v>
      </c>
    </row>
    <row r="233" spans="1:29" x14ac:dyDescent="0.25">
      <c r="A233" s="20">
        <v>38247</v>
      </c>
      <c r="B233" t="s">
        <v>40</v>
      </c>
      <c r="C233" t="s">
        <v>52</v>
      </c>
      <c r="D233" s="3">
        <v>5158.96</v>
      </c>
      <c r="E233">
        <v>33.826141</v>
      </c>
      <c r="F233" s="3">
        <v>152.51400000000001</v>
      </c>
      <c r="M233" s="21">
        <f t="shared" si="30"/>
        <v>5158.96</v>
      </c>
      <c r="N233" s="8">
        <f t="shared" si="33"/>
        <v>5158.96</v>
      </c>
      <c r="O233" s="25">
        <f t="shared" si="34"/>
        <v>8714.1699999999983</v>
      </c>
      <c r="P233" s="8">
        <f t="shared" si="31"/>
        <v>0</v>
      </c>
      <c r="Q233" s="4">
        <f>IF(AND(S233&gt;=[1]eRRSP_Rpt!$C$6,S233&lt;=[1]eRRSP_Rpt!$C$7),1,0)</f>
        <v>0</v>
      </c>
      <c r="R233" s="4"/>
      <c r="S233" s="4">
        <f t="shared" si="29"/>
        <v>2004</v>
      </c>
      <c r="T233" s="4"/>
      <c r="U233" s="4" t="str">
        <f t="shared" si="32"/>
        <v>SellBMO Dividend</v>
      </c>
      <c r="V233" s="23">
        <f>IFERROR(IF(AND(AB233&gt;0,B233&lt;&gt;"Sell"),(AA233-SUMIF(C$4:C232,C233,AC$4:AC233))/AB233,0),"")</f>
        <v>0</v>
      </c>
      <c r="W233" s="24">
        <f t="shared" si="28"/>
        <v>1158.96</v>
      </c>
      <c r="X233" s="25" t="str">
        <f t="shared" si="27"/>
        <v/>
      </c>
      <c r="Y233" s="10" t="str">
        <f>IF(S234&lt;&gt;eRRSP_Tx_Table[[#This Row],[Year]],SUMIFS($W$4:$W233,$S$4:$S233,eRRSP_Tx_Table[[#This Row],[Year]],$W$4:$W233,"&gt;0"),"")</f>
        <v/>
      </c>
      <c r="Z233" s="10" t="str">
        <f>IF(S234&lt;&gt;eRRSP_Tx_Table[[#This Row],[Year]],SUMIFS($W$4:$W233,$S$4:$S233,eRRSP_Tx_Table[[#This Row],[Year]],$W$4:$W233,"&lt;0"),"")</f>
        <v/>
      </c>
      <c r="AA233" s="3">
        <f>(SUMIF($U$4:$U233,CONCATENATE("Buy",$C233),$N$4:$N233)+SUMIF($U$4:$U233,CONCATENATE("ReinvDiv",$C233),$N$4:$N233))</f>
        <v>-4000</v>
      </c>
      <c r="AB233" s="3">
        <f>(SUMIF($U$4:$U233,CONCATENATE("Buy",$C233),$F$4:$F233)+SUMIF($U$4:$U233,CONCATENATE("ReinvDiv",$C233),$F$4:$F233)+SUMIF($U$4:$U233,CONCATENATE("StkSplit",$C233),$F$4:$F233)-SUMIF($U$4:$U233,CONCATENATE("Sell",$C233),$F$4:$F233))</f>
        <v>0</v>
      </c>
      <c r="AC233" s="3">
        <f>IF(B233="Sell",F233*INDEX(V:V,LOOKUP(2,1/(X$4:X232=CONCATENATE(C233,"_ACB")),ROW(V$4:V232))),0)</f>
        <v>-4000</v>
      </c>
    </row>
    <row r="234" spans="1:29" x14ac:dyDescent="0.25">
      <c r="A234" s="20">
        <v>38247</v>
      </c>
      <c r="B234" t="s">
        <v>40</v>
      </c>
      <c r="C234" t="s">
        <v>65</v>
      </c>
      <c r="D234" s="3">
        <v>2084.48</v>
      </c>
      <c r="E234">
        <v>9.1229999999999993</v>
      </c>
      <c r="F234" s="3">
        <v>240.31800000000001</v>
      </c>
      <c r="G234">
        <v>107.94</v>
      </c>
      <c r="M234" s="21">
        <f t="shared" si="30"/>
        <v>2192.42</v>
      </c>
      <c r="N234" s="8">
        <f t="shared" si="33"/>
        <v>2084.48</v>
      </c>
      <c r="O234" s="25">
        <f t="shared" si="34"/>
        <v>10798.649999999998</v>
      </c>
      <c r="P234" s="8">
        <f t="shared" si="31"/>
        <v>0</v>
      </c>
      <c r="Q234" s="4">
        <f>IF(AND(S234&gt;=[1]eRRSP_Rpt!$C$6,S234&lt;=[1]eRRSP_Rpt!$C$7),1,0)</f>
        <v>0</v>
      </c>
      <c r="R234" s="4"/>
      <c r="S234" s="4">
        <f t="shared" si="29"/>
        <v>2004</v>
      </c>
      <c r="T234" s="4"/>
      <c r="U234" s="4" t="str">
        <f t="shared" si="32"/>
        <v>SellAIM CDN First Class</v>
      </c>
      <c r="V234" s="23">
        <f>IFERROR(IF(AND(AB234&gt;0,B234&lt;&gt;"Sell"),(AA234-SUMIF(C$4:C233,C234,AC$4:AC234))/AB234,0),"")</f>
        <v>0</v>
      </c>
      <c r="W234" s="24">
        <f t="shared" si="28"/>
        <v>73.769999999999754</v>
      </c>
      <c r="X234" s="25" t="str">
        <f t="shared" si="27"/>
        <v/>
      </c>
      <c r="Y234" s="10" t="str">
        <f>IF(S235&lt;&gt;eRRSP_Tx_Table[[#This Row],[Year]],SUMIFS($W$4:$W234,$S$4:$S234,eRRSP_Tx_Table[[#This Row],[Year]],$W$4:$W234,"&gt;0"),"")</f>
        <v/>
      </c>
      <c r="Z234" s="10" t="str">
        <f>IF(S235&lt;&gt;eRRSP_Tx_Table[[#This Row],[Year]],SUMIFS($W$4:$W234,$S$4:$S234,eRRSP_Tx_Table[[#This Row],[Year]],$W$4:$W234,"&lt;0"),"")</f>
        <v/>
      </c>
      <c r="AA234" s="3">
        <f>(SUMIF($U$4:$U234,CONCATENATE("Buy",$C234),$N$4:$N234)+SUMIF($U$4:$U234,CONCATENATE("ReinvDiv",$C234),$N$4:$N234))</f>
        <v>-2010.71</v>
      </c>
      <c r="AB234" s="3">
        <f>(SUMIF($U$4:$U234,CONCATENATE("Buy",$C234),$F$4:$F234)+SUMIF($U$4:$U234,CONCATENATE("ReinvDiv",$C234),$F$4:$F234)+SUMIF($U$4:$U234,CONCATENATE("StkSplit",$C234),$F$4:$F234)-SUMIF($U$4:$U234,CONCATENATE("Sell",$C234),$F$4:$F234))</f>
        <v>-2.8421709430404007E-14</v>
      </c>
      <c r="AC234" s="3">
        <f>IF(B234="Sell",F234*INDEX(V:V,LOOKUP(2,1/(X$4:X233=CONCATENATE(C234,"_ACB")),ROW(V$4:V233))),0)</f>
        <v>-2010.7100000000003</v>
      </c>
    </row>
    <row r="235" spans="1:29" x14ac:dyDescent="0.25">
      <c r="A235" s="20">
        <v>38253</v>
      </c>
      <c r="B235" t="s">
        <v>40</v>
      </c>
      <c r="C235" t="s">
        <v>37</v>
      </c>
      <c r="D235" s="3">
        <v>3516.65</v>
      </c>
      <c r="E235">
        <v>29.396999999999998</v>
      </c>
      <c r="F235" s="3">
        <v>119.626</v>
      </c>
      <c r="M235" s="21">
        <f t="shared" si="30"/>
        <v>3516.65</v>
      </c>
      <c r="N235" s="8">
        <f t="shared" si="33"/>
        <v>3516.65</v>
      </c>
      <c r="O235" s="25">
        <f t="shared" si="34"/>
        <v>14315.299999999997</v>
      </c>
      <c r="P235" s="8">
        <f t="shared" si="31"/>
        <v>0</v>
      </c>
      <c r="Q235" s="4">
        <f>IF(AND(S235&gt;=[1]eRRSP_Rpt!$C$6,S235&lt;=[1]eRRSP_Rpt!$C$7),1,0)</f>
        <v>0</v>
      </c>
      <c r="R235" s="4"/>
      <c r="S235" s="4">
        <f t="shared" si="29"/>
        <v>2004</v>
      </c>
      <c r="T235" s="4"/>
      <c r="U235" s="4" t="str">
        <f t="shared" si="32"/>
        <v>SellTrimark Fund</v>
      </c>
      <c r="V235" s="23">
        <f>IFERROR(IF(AND(AB235&gt;0,B235&lt;&gt;"Sell"),(AA235-SUMIF(C$4:C234,C235,AC$4:AC235))/AB235,0),"")</f>
        <v>0</v>
      </c>
      <c r="W235" s="24">
        <f t="shared" si="28"/>
        <v>208.23000000000047</v>
      </c>
      <c r="X235" s="25" t="str">
        <f t="shared" si="27"/>
        <v/>
      </c>
      <c r="Y235" s="10" t="str">
        <f>IF(S236&lt;&gt;eRRSP_Tx_Table[[#This Row],[Year]],SUMIFS($W$4:$W235,$S$4:$S235,eRRSP_Tx_Table[[#This Row],[Year]],$W$4:$W235,"&gt;0"),"")</f>
        <v/>
      </c>
      <c r="Z235" s="10" t="str">
        <f>IF(S236&lt;&gt;eRRSP_Tx_Table[[#This Row],[Year]],SUMIFS($W$4:$W235,$S$4:$S235,eRRSP_Tx_Table[[#This Row],[Year]],$W$4:$W235,"&lt;0"),"")</f>
        <v/>
      </c>
      <c r="AA235" s="3">
        <f>(SUMIF($U$4:$U235,CONCATENATE("Buy",$C235),$N$4:$N235)+SUMIF($U$4:$U235,CONCATENATE("ReinvDiv",$C235),$N$4:$N235))</f>
        <v>-3308.4199999999996</v>
      </c>
      <c r="AB235" s="3">
        <f>(SUMIF($U$4:$U235,CONCATENATE("Buy",$C235),$F$4:$F235)+SUMIF($U$4:$U235,CONCATENATE("ReinvDiv",$C235),$F$4:$F235)+SUMIF($U$4:$U235,CONCATENATE("StkSplit",$C235),$F$4:$F235)-SUMIF($U$4:$U235,CONCATENATE("Sell",$C235),$F$4:$F235))</f>
        <v>0</v>
      </c>
      <c r="AC235" s="3">
        <f>IF(B235="Sell",F235*INDEX(V:V,LOOKUP(2,1/(X$4:X234=CONCATENATE(C235,"_ACB")),ROW(V$4:V234))),0)</f>
        <v>-3308.4199999999996</v>
      </c>
    </row>
    <row r="236" spans="1:29" x14ac:dyDescent="0.25">
      <c r="A236" s="20">
        <v>38253</v>
      </c>
      <c r="B236" t="s">
        <v>40</v>
      </c>
      <c r="C236" t="s">
        <v>61</v>
      </c>
      <c r="D236" s="3">
        <v>2893.66</v>
      </c>
      <c r="E236">
        <v>14.04</v>
      </c>
      <c r="F236" s="3">
        <v>206.101</v>
      </c>
      <c r="M236" s="21">
        <f t="shared" si="30"/>
        <v>2893.66</v>
      </c>
      <c r="N236" s="8">
        <f t="shared" si="33"/>
        <v>2893.66</v>
      </c>
      <c r="O236" s="25">
        <f t="shared" si="34"/>
        <v>17208.96</v>
      </c>
      <c r="P236" s="8">
        <f t="shared" si="31"/>
        <v>0</v>
      </c>
      <c r="Q236" s="4">
        <f>IF(AND(S236&gt;=[1]eRRSP_Rpt!$C$6,S236&lt;=[1]eRRSP_Rpt!$C$7),1,0)</f>
        <v>0</v>
      </c>
      <c r="R236" s="4"/>
      <c r="S236" s="4">
        <f t="shared" si="29"/>
        <v>2004</v>
      </c>
      <c r="T236" s="4"/>
      <c r="U236" s="4" t="str">
        <f t="shared" si="32"/>
        <v>SellCI Harbour Fund</v>
      </c>
      <c r="V236" s="23">
        <f>IFERROR(IF(AND(AB236&gt;0,B236&lt;&gt;"Sell"),(AA236-SUMIF(C$4:C235,C236,AC$4:AC236))/AB236,0),"")</f>
        <v>0</v>
      </c>
      <c r="W236" s="24">
        <f t="shared" si="28"/>
        <v>393.65999999999985</v>
      </c>
      <c r="X236" s="25" t="str">
        <f t="shared" si="27"/>
        <v/>
      </c>
      <c r="Y236" s="10" t="str">
        <f>IF(S237&lt;&gt;eRRSP_Tx_Table[[#This Row],[Year]],SUMIFS($W$4:$W236,$S$4:$S236,eRRSP_Tx_Table[[#This Row],[Year]],$W$4:$W236,"&gt;0"),"")</f>
        <v/>
      </c>
      <c r="Z236" s="10" t="str">
        <f>IF(S237&lt;&gt;eRRSP_Tx_Table[[#This Row],[Year]],SUMIFS($W$4:$W236,$S$4:$S236,eRRSP_Tx_Table[[#This Row],[Year]],$W$4:$W236,"&lt;0"),"")</f>
        <v/>
      </c>
      <c r="AA236" s="3">
        <f>(SUMIF($U$4:$U236,CONCATENATE("Buy",$C236),$N$4:$N236)+SUMIF($U$4:$U236,CONCATENATE("ReinvDiv",$C236),$N$4:$N236))</f>
        <v>-2500</v>
      </c>
      <c r="AB236" s="3">
        <f>(SUMIF($U$4:$U236,CONCATENATE("Buy",$C236),$F$4:$F236)+SUMIF($U$4:$U236,CONCATENATE("ReinvDiv",$C236),$F$4:$F236)+SUMIF($U$4:$U236,CONCATENATE("StkSplit",$C236),$F$4:$F236)-SUMIF($U$4:$U236,CONCATENATE("Sell",$C236),$F$4:$F236))</f>
        <v>0</v>
      </c>
      <c r="AC236" s="3">
        <f>IF(B236="Sell",F236*INDEX(V:V,LOOKUP(2,1/(X$4:X235=CONCATENATE(C236,"_ACB")),ROW(V$4:V235))),0)</f>
        <v>-2500</v>
      </c>
    </row>
    <row r="237" spans="1:29" x14ac:dyDescent="0.25">
      <c r="A237" s="20">
        <v>38259</v>
      </c>
      <c r="B237" t="s">
        <v>42</v>
      </c>
      <c r="C237" t="s">
        <v>53</v>
      </c>
      <c r="D237" s="3">
        <v>24.58</v>
      </c>
      <c r="M237" s="21">
        <f t="shared" si="30"/>
        <v>24.58</v>
      </c>
      <c r="N237" s="8">
        <f t="shared" si="33"/>
        <v>24.58</v>
      </c>
      <c r="O237" s="25">
        <f t="shared" si="34"/>
        <v>17233.54</v>
      </c>
      <c r="P237" s="8">
        <f t="shared" si="31"/>
        <v>0</v>
      </c>
      <c r="Q237" s="4">
        <f>IF(AND(S237&gt;=[1]eRRSP_Rpt!$C$6,S237&lt;=[1]eRRSP_Rpt!$C$7),1,0)</f>
        <v>0</v>
      </c>
      <c r="R237" s="4"/>
      <c r="S237" s="4">
        <f t="shared" si="29"/>
        <v>2004</v>
      </c>
      <c r="T237" s="4"/>
      <c r="U237" s="4" t="str">
        <f t="shared" si="32"/>
        <v>DivTD CDN Bond</v>
      </c>
      <c r="V237" s="23">
        <f>IFERROR(IF(AND(AB237&gt;0,B237&lt;&gt;"Sell"),(AA237-SUMIF(C$4:C236,C237,AC$4:AC237))/AB237,0),"")</f>
        <v>-12.100018755029071</v>
      </c>
      <c r="W237" s="24" t="str">
        <f t="shared" si="28"/>
        <v/>
      </c>
      <c r="X237" s="25" t="str">
        <f t="shared" si="27"/>
        <v>TD CDN Bond_ACB</v>
      </c>
      <c r="Y237" s="10" t="str">
        <f>IF(S238&lt;&gt;eRRSP_Tx_Table[[#This Row],[Year]],SUMIFS($W$4:$W237,$S$4:$S237,eRRSP_Tx_Table[[#This Row],[Year]],$W$4:$W237,"&gt;0"),"")</f>
        <v/>
      </c>
      <c r="Z237" s="10" t="str">
        <f>IF(S238&lt;&gt;eRRSP_Tx_Table[[#This Row],[Year]],SUMIFS($W$4:$W237,$S$4:$S237,eRRSP_Tx_Table[[#This Row],[Year]],$W$4:$W237,"&lt;0"),"")</f>
        <v/>
      </c>
      <c r="AA237" s="3">
        <f>(SUMIF($U$4:$U237,CONCATENATE("Buy",$C237),$N$4:$N237)+SUMIF($U$4:$U237,CONCATENATE("ReinvDiv",$C237),$N$4:$N237))</f>
        <v>-2000</v>
      </c>
      <c r="AB237" s="3">
        <f>(SUMIF($U$4:$U237,CONCATENATE("Buy",$C237),$F$4:$F237)+SUMIF($U$4:$U237,CONCATENATE("ReinvDiv",$C237),$F$4:$F237)+SUMIF($U$4:$U237,CONCATENATE("StkSplit",$C237),$F$4:$F237)-SUMIF($U$4:$U237,CONCATENATE("Sell",$C237),$F$4:$F237))</f>
        <v>165.28899999999999</v>
      </c>
      <c r="AC237" s="3">
        <f>IF(B237="Sell",F237*INDEX(V:V,LOOKUP(2,1/(X$4:X236=CONCATENATE(C237,"_ACB")),ROW(V$4:V236))),0)</f>
        <v>0</v>
      </c>
    </row>
    <row r="238" spans="1:29" x14ac:dyDescent="0.25">
      <c r="A238" s="20">
        <v>38260</v>
      </c>
      <c r="B238" t="s">
        <v>41</v>
      </c>
      <c r="C238" t="s">
        <v>62</v>
      </c>
      <c r="D238" s="3">
        <v>21.08</v>
      </c>
      <c r="E238">
        <v>14.41</v>
      </c>
      <c r="F238" s="3">
        <v>1.4630000000000001</v>
      </c>
      <c r="M238" s="21">
        <f t="shared" si="30"/>
        <v>21.08</v>
      </c>
      <c r="N238" s="8">
        <f t="shared" si="33"/>
        <v>-21.08</v>
      </c>
      <c r="O238" s="25">
        <f t="shared" si="34"/>
        <v>17233.54</v>
      </c>
      <c r="P238" s="8">
        <f t="shared" si="31"/>
        <v>0</v>
      </c>
      <c r="Q238" s="4">
        <f>IF(AND(S238&gt;=[1]eRRSP_Rpt!$C$6,S238&lt;=[1]eRRSP_Rpt!$C$7),1,0)</f>
        <v>0</v>
      </c>
      <c r="R238" s="4"/>
      <c r="S238" s="4">
        <f t="shared" si="29"/>
        <v>2004</v>
      </c>
      <c r="T238" s="4"/>
      <c r="U238" s="4" t="str">
        <f t="shared" si="32"/>
        <v>ReinvDivTD RR Bond</v>
      </c>
      <c r="V238" s="23">
        <f>IFERROR(IF(AND(AB238&gt;0,B238&lt;&gt;"Sell"),(AA238-SUMIF(C$4:C237,C238,AC$4:AC238))/AB238,0),"")</f>
        <v>-12.861704756022235</v>
      </c>
      <c r="W238" s="24" t="str">
        <f t="shared" si="28"/>
        <v/>
      </c>
      <c r="X238" s="25" t="str">
        <f t="shared" si="27"/>
        <v>TD RR Bond_ACB</v>
      </c>
      <c r="Y238" s="10" t="str">
        <f>IF(S239&lt;&gt;eRRSP_Tx_Table[[#This Row],[Year]],SUMIFS($W$4:$W238,$S$4:$S238,eRRSP_Tx_Table[[#This Row],[Year]],$W$4:$W238,"&gt;0"),"")</f>
        <v/>
      </c>
      <c r="Z238" s="10" t="str">
        <f>IF(S239&lt;&gt;eRRSP_Tx_Table[[#This Row],[Year]],SUMIFS($W$4:$W238,$S$4:$S238,eRRSP_Tx_Table[[#This Row],[Year]],$W$4:$W238,"&lt;0"),"")</f>
        <v/>
      </c>
      <c r="AA238" s="3">
        <f>(SUMIF($U$4:$U238,CONCATENATE("Buy",$C238),$N$4:$N238)+SUMIF($U$4:$U238,CONCATENATE("ReinvDiv",$C238),$N$4:$N238))</f>
        <v>-2082.31</v>
      </c>
      <c r="AB238" s="3">
        <f>(SUMIF($U$4:$U238,CONCATENATE("Buy",$C238),$F$4:$F238)+SUMIF($U$4:$U238,CONCATENATE("ReinvDiv",$C238),$F$4:$F238)+SUMIF($U$4:$U238,CONCATENATE("StkSplit",$C238),$F$4:$F238)-SUMIF($U$4:$U238,CONCATENATE("Sell",$C238),$F$4:$F238))</f>
        <v>161.9</v>
      </c>
      <c r="AC238" s="3">
        <f>IF(B238="Sell",F238*INDEX(V:V,LOOKUP(2,1/(X$4:X237=CONCATENATE(C238,"_ACB")),ROW(V$4:V237))),0)</f>
        <v>0</v>
      </c>
    </row>
    <row r="239" spans="1:29" x14ac:dyDescent="0.25">
      <c r="A239" s="20">
        <v>38261</v>
      </c>
      <c r="B239" t="s">
        <v>42</v>
      </c>
      <c r="C239" t="s">
        <v>48</v>
      </c>
      <c r="D239" s="3">
        <v>3</v>
      </c>
      <c r="M239" s="21">
        <f t="shared" si="30"/>
        <v>3</v>
      </c>
      <c r="N239" s="8">
        <f t="shared" si="33"/>
        <v>3</v>
      </c>
      <c r="O239" s="25">
        <f t="shared" si="34"/>
        <v>17236.54</v>
      </c>
      <c r="P239" s="8">
        <f t="shared" si="31"/>
        <v>0</v>
      </c>
      <c r="Q239" s="4">
        <f>IF(AND(S239&gt;=[1]eRRSP_Rpt!$C$6,S239&lt;=[1]eRRSP_Rpt!$C$7),1,0)</f>
        <v>0</v>
      </c>
      <c r="R239" s="4"/>
      <c r="S239" s="4">
        <f t="shared" si="29"/>
        <v>2004</v>
      </c>
      <c r="T239" s="4"/>
      <c r="U239" s="4" t="str">
        <f t="shared" si="32"/>
        <v>DivTelus</v>
      </c>
      <c r="V239" s="23">
        <f>IFERROR(IF(AND(AB239&gt;0,B239&lt;&gt;"Sell"),(AA239-SUMIF(C$4:C238,C239,AC$4:AC239))/AB239,0),"")</f>
        <v>-40.450000000000003</v>
      </c>
      <c r="W239" s="24" t="str">
        <f t="shared" si="28"/>
        <v/>
      </c>
      <c r="X239" s="25" t="str">
        <f t="shared" si="27"/>
        <v>Telus_ACB</v>
      </c>
      <c r="Y239" s="10" t="str">
        <f>IF(S240&lt;&gt;eRRSP_Tx_Table[[#This Row],[Year]],SUMIFS($W$4:$W239,$S$4:$S239,eRRSP_Tx_Table[[#This Row],[Year]],$W$4:$W239,"&gt;0"),"")</f>
        <v/>
      </c>
      <c r="Z239" s="10" t="str">
        <f>IF(S240&lt;&gt;eRRSP_Tx_Table[[#This Row],[Year]],SUMIFS($W$4:$W239,$S$4:$S239,eRRSP_Tx_Table[[#This Row],[Year]],$W$4:$W239,"&lt;0"),"")</f>
        <v/>
      </c>
      <c r="AA239" s="3">
        <f>(SUMIF($U$4:$U239,CONCATENATE("Buy",$C239),$N$4:$N239)+SUMIF($U$4:$U239,CONCATENATE("ReinvDiv",$C239),$N$4:$N239))</f>
        <v>-809</v>
      </c>
      <c r="AB239" s="3">
        <f>(SUMIF($U$4:$U239,CONCATENATE("Buy",$C239),$F$4:$F239)+SUMIF($U$4:$U239,CONCATENATE("ReinvDiv",$C239),$F$4:$F239)+SUMIF($U$4:$U239,CONCATENATE("StkSplit",$C239),$F$4:$F239)-SUMIF($U$4:$U239,CONCATENATE("Sell",$C239),$F$4:$F239))</f>
        <v>20</v>
      </c>
      <c r="AC239" s="3">
        <f>IF(B239="Sell",F239*INDEX(V:V,LOOKUP(2,1/(X$4:X238=CONCATENATE(C239,"_ACB")),ROW(V$4:V238))),0)</f>
        <v>0</v>
      </c>
    </row>
    <row r="240" spans="1:29" x14ac:dyDescent="0.25">
      <c r="A240" s="20">
        <v>38265</v>
      </c>
      <c r="B240" t="s">
        <v>40</v>
      </c>
      <c r="C240" t="s">
        <v>51</v>
      </c>
      <c r="D240" s="3">
        <v>444</v>
      </c>
      <c r="E240">
        <v>25.300587</v>
      </c>
      <c r="F240" s="3">
        <v>17.548999999999999</v>
      </c>
      <c r="M240" s="21">
        <f t="shared" si="30"/>
        <v>444</v>
      </c>
      <c r="N240" s="8">
        <f t="shared" si="33"/>
        <v>444</v>
      </c>
      <c r="O240" s="25">
        <f t="shared" si="34"/>
        <v>17680.54</v>
      </c>
      <c r="P240" s="8">
        <f t="shared" si="31"/>
        <v>0</v>
      </c>
      <c r="Q240" s="4">
        <f>IF(AND(S240&gt;=[1]eRRSP_Rpt!$C$6,S240&lt;=[1]eRRSP_Rpt!$C$7),1,0)</f>
        <v>0</v>
      </c>
      <c r="R240" s="4"/>
      <c r="S240" s="4">
        <f t="shared" si="29"/>
        <v>2004</v>
      </c>
      <c r="T240" s="4"/>
      <c r="U240" s="4" t="str">
        <f t="shared" si="32"/>
        <v>SellCIBC Energy Fund</v>
      </c>
      <c r="V240" s="23">
        <f>IFERROR(IF(AND(AB240&gt;0,B240&lt;&gt;"Sell"),(AA240-SUMIF(C$4:C239,C240,AC$4:AC240))/AB240,0),"")</f>
        <v>0</v>
      </c>
      <c r="W240" s="24">
        <f t="shared" si="28"/>
        <v>183.06902054855624</v>
      </c>
      <c r="X240" s="25" t="str">
        <f t="shared" si="27"/>
        <v/>
      </c>
      <c r="Y240" s="10" t="str">
        <f>IF(S241&lt;&gt;eRRSP_Tx_Table[[#This Row],[Year]],SUMIFS($W$4:$W240,$S$4:$S240,eRRSP_Tx_Table[[#This Row],[Year]],$W$4:$W240,"&gt;0"),"")</f>
        <v/>
      </c>
      <c r="Z240" s="10" t="str">
        <f>IF(S241&lt;&gt;eRRSP_Tx_Table[[#This Row],[Year]],SUMIFS($W$4:$W240,$S$4:$S240,eRRSP_Tx_Table[[#This Row],[Year]],$W$4:$W240,"&lt;0"),"")</f>
        <v/>
      </c>
      <c r="AA240" s="3">
        <f>(SUMIF($U$4:$U240,CONCATENATE("Buy",$C240),$N$4:$N240)+SUMIF($U$4:$U240,CONCATENATE("ReinvDiv",$C240),$N$4:$N240))</f>
        <v>-1500</v>
      </c>
      <c r="AB240" s="3">
        <f>(SUMIF($U$4:$U240,CONCATENATE("Buy",$C240),$F$4:$F240)+SUMIF($U$4:$U240,CONCATENATE("ReinvDiv",$C240),$F$4:$F240)+SUMIF($U$4:$U240,CONCATENATE("StkSplit",$C240),$F$4:$F240)-SUMIF($U$4:$U240,CONCATENATE("Sell",$C240),$F$4:$F240))</f>
        <v>83.334000000000003</v>
      </c>
      <c r="AC240" s="3">
        <f>IF(B240="Sell",F240*INDEX(V:V,LOOKUP(2,1/(X$4:X239=CONCATENATE(C240,"_ACB")),ROW(V$4:V239))),0)</f>
        <v>-260.93097945144376</v>
      </c>
    </row>
    <row r="241" spans="1:29" x14ac:dyDescent="0.25">
      <c r="A241" s="20">
        <v>38265</v>
      </c>
      <c r="B241" t="s">
        <v>40</v>
      </c>
      <c r="C241" t="s">
        <v>59</v>
      </c>
      <c r="D241" s="3">
        <v>2466.25</v>
      </c>
      <c r="E241">
        <v>20.539954000000002</v>
      </c>
      <c r="F241" s="3">
        <v>121.714</v>
      </c>
      <c r="G241">
        <v>33.75</v>
      </c>
      <c r="M241" s="21">
        <f t="shared" si="30"/>
        <v>2500</v>
      </c>
      <c r="N241" s="8">
        <f t="shared" si="33"/>
        <v>2466.25</v>
      </c>
      <c r="O241" s="25">
        <f t="shared" si="34"/>
        <v>20146.79</v>
      </c>
      <c r="P241" s="8">
        <f t="shared" si="31"/>
        <v>0</v>
      </c>
      <c r="Q241" s="4">
        <f>IF(AND(S241&gt;=[1]eRRSP_Rpt!$C$6,S241&lt;=[1]eRRSP_Rpt!$C$7),1,0)</f>
        <v>0</v>
      </c>
      <c r="R241" s="4"/>
      <c r="S241" s="4">
        <f t="shared" si="29"/>
        <v>2004</v>
      </c>
      <c r="T241" s="4"/>
      <c r="U241" s="4" t="str">
        <f t="shared" si="32"/>
        <v>SellSaxon SmallCap</v>
      </c>
      <c r="V241" s="23">
        <f>IFERROR(IF(AND(AB241&gt;0,B241&lt;&gt;"Sell"),(AA241-SUMIF(C$4:C240,C241,AC$4:AC241))/AB241,0),"")</f>
        <v>0</v>
      </c>
      <c r="W241" s="24">
        <f t="shared" si="28"/>
        <v>353.64150108953481</v>
      </c>
      <c r="X241" s="25" t="str">
        <f t="shared" si="27"/>
        <v/>
      </c>
      <c r="Y241" s="10" t="str">
        <f>IF(S242&lt;&gt;eRRSP_Tx_Table[[#This Row],[Year]],SUMIFS($W$4:$W241,$S$4:$S241,eRRSP_Tx_Table[[#This Row],[Year]],$W$4:$W241,"&gt;0"),"")</f>
        <v/>
      </c>
      <c r="Z241" s="10" t="str">
        <f>IF(S242&lt;&gt;eRRSP_Tx_Table[[#This Row],[Year]],SUMIFS($W$4:$W241,$S$4:$S241,eRRSP_Tx_Table[[#This Row],[Year]],$W$4:$W241,"&lt;0"),"")</f>
        <v/>
      </c>
      <c r="AA241" s="3">
        <f>(SUMIF($U$4:$U241,CONCATENATE("Buy",$C241),$N$4:$N241)+SUMIF($U$4:$U241,CONCATENATE("ReinvDiv",$C241),$N$4:$N241))</f>
        <v>-6467.9</v>
      </c>
      <c r="AB241" s="3">
        <f>(SUMIF($U$4:$U241,CONCATENATE("Buy",$C241),$F$4:$F241)+SUMIF($U$4:$U241,CONCATENATE("ReinvDiv",$C241),$F$4:$F241)+SUMIF($U$4:$U241,CONCATENATE("StkSplit",$C241),$F$4:$F241)-SUMIF($U$4:$U241,CONCATENATE("Sell",$C241),$F$4:$F241))</f>
        <v>250.92199999999997</v>
      </c>
      <c r="AC241" s="3">
        <f>IF(B241="Sell",F241*INDEX(V:V,LOOKUP(2,1/(X$4:X240=CONCATENATE(C241,"_ACB")),ROW(V$4:V240))),0)</f>
        <v>-2112.6084989104652</v>
      </c>
    </row>
    <row r="242" spans="1:29" x14ac:dyDescent="0.25">
      <c r="A242" s="20">
        <v>38267</v>
      </c>
      <c r="B242" t="s">
        <v>40</v>
      </c>
      <c r="C242" t="s">
        <v>49</v>
      </c>
      <c r="D242" s="3">
        <v>2022.88</v>
      </c>
      <c r="E242">
        <v>8.84</v>
      </c>
      <c r="F242" s="3">
        <v>228.833</v>
      </c>
      <c r="M242" s="21">
        <f t="shared" si="30"/>
        <v>2022.88</v>
      </c>
      <c r="N242" s="8">
        <f t="shared" si="33"/>
        <v>2022.88</v>
      </c>
      <c r="O242" s="25">
        <f t="shared" si="34"/>
        <v>22169.670000000002</v>
      </c>
      <c r="P242" s="8">
        <f t="shared" si="31"/>
        <v>0</v>
      </c>
      <c r="Q242" s="4">
        <f>IF(AND(S242&gt;=[1]eRRSP_Rpt!$C$6,S242&lt;=[1]eRRSP_Rpt!$C$7),1,0)</f>
        <v>0</v>
      </c>
      <c r="R242" s="4"/>
      <c r="S242" s="4">
        <f t="shared" si="29"/>
        <v>2004</v>
      </c>
      <c r="T242" s="4"/>
      <c r="U242" s="4" t="str">
        <f t="shared" si="32"/>
        <v>SellTD US RSP Index - I</v>
      </c>
      <c r="V242" s="23">
        <f>IFERROR(IF(AND(AB242&gt;0,B242&lt;&gt;"Sell"),(AA242-SUMIF(C$4:C241,C242,AC$4:AC242))/AB242,0),"")</f>
        <v>0</v>
      </c>
      <c r="W242" s="24">
        <f t="shared" si="28"/>
        <v>22.880000000000337</v>
      </c>
      <c r="X242" s="25" t="str">
        <f t="shared" si="27"/>
        <v/>
      </c>
      <c r="Y242" s="10" t="str">
        <f>IF(S243&lt;&gt;eRRSP_Tx_Table[[#This Row],[Year]],SUMIFS($W$4:$W242,$S$4:$S242,eRRSP_Tx_Table[[#This Row],[Year]],$W$4:$W242,"&gt;0"),"")</f>
        <v/>
      </c>
      <c r="Z242" s="10" t="str">
        <f>IF(S243&lt;&gt;eRRSP_Tx_Table[[#This Row],[Year]],SUMIFS($W$4:$W242,$S$4:$S242,eRRSP_Tx_Table[[#This Row],[Year]],$W$4:$W242,"&lt;0"),"")</f>
        <v/>
      </c>
      <c r="AA242" s="3">
        <f>(SUMIF($U$4:$U242,CONCATENATE("Buy",$C242),$N$4:$N242)+SUMIF($U$4:$U242,CONCATENATE("ReinvDiv",$C242),$N$4:$N242))</f>
        <v>-2000</v>
      </c>
      <c r="AB242" s="3">
        <f>(SUMIF($U$4:$U242,CONCATENATE("Buy",$C242),$F$4:$F242)+SUMIF($U$4:$U242,CONCATENATE("ReinvDiv",$C242),$F$4:$F242)+SUMIF($U$4:$U242,CONCATENATE("StkSplit",$C242),$F$4:$F242)-SUMIF($U$4:$U242,CONCATENATE("Sell",$C242),$F$4:$F242))</f>
        <v>0</v>
      </c>
      <c r="AC242" s="3">
        <f>IF(B242="Sell",F242*INDEX(V:V,LOOKUP(2,1/(X$4:X241=CONCATENATE(C242,"_ACB")),ROW(V$4:V241))),0)</f>
        <v>-1999.9999999999998</v>
      </c>
    </row>
    <row r="243" spans="1:29" x14ac:dyDescent="0.25">
      <c r="A243" s="20">
        <v>38267</v>
      </c>
      <c r="B243" t="s">
        <v>32</v>
      </c>
      <c r="C243" t="s">
        <v>67</v>
      </c>
      <c r="D243" s="3">
        <v>2022.88</v>
      </c>
      <c r="E243">
        <v>10.17</v>
      </c>
      <c r="F243" s="3">
        <v>198.90700000000001</v>
      </c>
      <c r="M243" s="21">
        <f t="shared" si="30"/>
        <v>2022.88</v>
      </c>
      <c r="N243" s="8">
        <f t="shared" si="33"/>
        <v>-2022.88</v>
      </c>
      <c r="O243" s="25">
        <f t="shared" si="34"/>
        <v>20146.79</v>
      </c>
      <c r="P243" s="8">
        <f t="shared" si="31"/>
        <v>0</v>
      </c>
      <c r="Q243" s="4">
        <f>IF(AND(S243&gt;=[1]eRRSP_Rpt!$C$6,S243&lt;=[1]eRRSP_Rpt!$C$7),1,0)</f>
        <v>0</v>
      </c>
      <c r="R243" s="4"/>
      <c r="S243" s="4">
        <f t="shared" si="29"/>
        <v>2004</v>
      </c>
      <c r="T243" s="4"/>
      <c r="U243" s="4" t="str">
        <f t="shared" si="32"/>
        <v>BuyTD US RSP Index - e</v>
      </c>
      <c r="V243" s="23">
        <f>IFERROR(IF(AND(AB243&gt;0,B243&lt;&gt;"Sell"),(AA243-SUMIF(C$4:C242,C243,AC$4:AC243))/AB243,0),"")</f>
        <v>-10.169978934879115</v>
      </c>
      <c r="W243" s="24" t="str">
        <f t="shared" si="28"/>
        <v/>
      </c>
      <c r="X243" s="25" t="str">
        <f t="shared" si="27"/>
        <v>TD US RSP Index - e_ACB</v>
      </c>
      <c r="Y243" s="10" t="str">
        <f>IF(S244&lt;&gt;eRRSP_Tx_Table[[#This Row],[Year]],SUMIFS($W$4:$W243,$S$4:$S243,eRRSP_Tx_Table[[#This Row],[Year]],$W$4:$W243,"&gt;0"),"")</f>
        <v/>
      </c>
      <c r="Z243" s="10" t="str">
        <f>IF(S244&lt;&gt;eRRSP_Tx_Table[[#This Row],[Year]],SUMIFS($W$4:$W243,$S$4:$S243,eRRSP_Tx_Table[[#This Row],[Year]],$W$4:$W243,"&lt;0"),"")</f>
        <v/>
      </c>
      <c r="AA243" s="3">
        <f>(SUMIF($U$4:$U243,CONCATENATE("Buy",$C243),$N$4:$N243)+SUMIF($U$4:$U243,CONCATENATE("ReinvDiv",$C243),$N$4:$N243))</f>
        <v>-2022.88</v>
      </c>
      <c r="AB243" s="3">
        <f>(SUMIF($U$4:$U243,CONCATENATE("Buy",$C243),$F$4:$F243)+SUMIF($U$4:$U243,CONCATENATE("ReinvDiv",$C243),$F$4:$F243)+SUMIF($U$4:$U243,CONCATENATE("StkSplit",$C243),$F$4:$F243)-SUMIF($U$4:$U243,CONCATENATE("Sell",$C243),$F$4:$F243))</f>
        <v>198.90700000000001</v>
      </c>
      <c r="AC243" s="3">
        <f>IF(B243="Sell",F243*INDEX(V:V,LOOKUP(2,1/(X$4:X242=CONCATENATE(C243,"_ACB")),ROW(V$4:V242))),0)</f>
        <v>0</v>
      </c>
    </row>
    <row r="244" spans="1:29" x14ac:dyDescent="0.25">
      <c r="A244" s="20">
        <v>38275</v>
      </c>
      <c r="B244" t="s">
        <v>30</v>
      </c>
      <c r="C244" t="s">
        <v>31</v>
      </c>
      <c r="D244" s="3">
        <v>4213.18</v>
      </c>
      <c r="M244" s="21">
        <f t="shared" si="30"/>
        <v>4213.18</v>
      </c>
      <c r="N244" s="8">
        <f t="shared" si="33"/>
        <v>4213.18</v>
      </c>
      <c r="O244" s="25">
        <f t="shared" si="34"/>
        <v>24359.97</v>
      </c>
      <c r="P244" s="8">
        <f t="shared" si="31"/>
        <v>4213.18</v>
      </c>
      <c r="Q244" s="4">
        <f>IF(AND(S244&gt;=[1]eRRSP_Rpt!$C$6,S244&lt;=[1]eRRSP_Rpt!$C$7),1,0)</f>
        <v>0</v>
      </c>
      <c r="R244" s="4"/>
      <c r="S244" s="4">
        <f t="shared" si="29"/>
        <v>2004</v>
      </c>
      <c r="T244" s="4"/>
      <c r="U244" s="4" t="str">
        <f t="shared" si="32"/>
        <v>CashContribution</v>
      </c>
      <c r="V244" s="23">
        <f>IFERROR(IF(AND(AB244&gt;0,B244&lt;&gt;"Sell"),(AA244-SUMIF(C$4:C243,C244,AC$4:AC244))/AB244,0),"")</f>
        <v>0</v>
      </c>
      <c r="W244" s="24" t="str">
        <f t="shared" si="28"/>
        <v/>
      </c>
      <c r="X244" s="25" t="str">
        <f t="shared" si="27"/>
        <v/>
      </c>
      <c r="Y244" s="10" t="str">
        <f>IF(S245&lt;&gt;eRRSP_Tx_Table[[#This Row],[Year]],SUMIFS($W$4:$W244,$S$4:$S244,eRRSP_Tx_Table[[#This Row],[Year]],$W$4:$W244,"&gt;0"),"")</f>
        <v/>
      </c>
      <c r="Z244" s="10" t="str">
        <f>IF(S245&lt;&gt;eRRSP_Tx_Table[[#This Row],[Year]],SUMIFS($W$4:$W244,$S$4:$S244,eRRSP_Tx_Table[[#This Row],[Year]],$W$4:$W244,"&lt;0"),"")</f>
        <v/>
      </c>
      <c r="AA244" s="3">
        <f>(SUMIF($U$4:$U244,CONCATENATE("Buy",$C244),$N$4:$N244)+SUMIF($U$4:$U244,CONCATENATE("ReinvDiv",$C244),$N$4:$N244))</f>
        <v>0</v>
      </c>
      <c r="AB244" s="3">
        <f>(SUMIF($U$4:$U244,CONCATENATE("Buy",$C244),$F$4:$F244)+SUMIF($U$4:$U244,CONCATENATE("ReinvDiv",$C244),$F$4:$F244)+SUMIF($U$4:$U244,CONCATENATE("StkSplit",$C244),$F$4:$F244)-SUMIF($U$4:$U244,CONCATENATE("Sell",$C244),$F$4:$F244))</f>
        <v>0</v>
      </c>
      <c r="AC244" s="3">
        <f>IF(B244="Sell",F244*INDEX(V:V,LOOKUP(2,1/(X$4:X243=CONCATENATE(C244,"_ACB")),ROW(V$4:V243))),0)</f>
        <v>0</v>
      </c>
    </row>
    <row r="245" spans="1:29" x14ac:dyDescent="0.25">
      <c r="A245" s="20">
        <v>38275</v>
      </c>
      <c r="B245" t="s">
        <v>42</v>
      </c>
      <c r="C245" t="s">
        <v>46</v>
      </c>
      <c r="D245" s="3">
        <v>6</v>
      </c>
      <c r="M245" s="21">
        <f t="shared" si="30"/>
        <v>6</v>
      </c>
      <c r="N245" s="8">
        <f t="shared" si="33"/>
        <v>6</v>
      </c>
      <c r="O245" s="25">
        <f t="shared" si="34"/>
        <v>24365.97</v>
      </c>
      <c r="P245" s="8">
        <f t="shared" si="31"/>
        <v>0</v>
      </c>
      <c r="Q245" s="4">
        <f>IF(AND(S245&gt;=[1]eRRSP_Rpt!$C$6,S245&lt;=[1]eRRSP_Rpt!$C$7),1,0)</f>
        <v>0</v>
      </c>
      <c r="R245" s="4"/>
      <c r="S245" s="4">
        <f t="shared" si="29"/>
        <v>2004</v>
      </c>
      <c r="T245" s="4"/>
      <c r="U245" s="4" t="str">
        <f t="shared" si="32"/>
        <v>DivBCE</v>
      </c>
      <c r="V245" s="23">
        <f>IFERROR(IF(AND(AB245&gt;0,B245&lt;&gt;"Sell"),(AA245-SUMIF(C$4:C244,C245,AC$4:AC245))/AB245,0),"")</f>
        <v>-40.450000000000003</v>
      </c>
      <c r="W245" s="24" t="str">
        <f t="shared" si="28"/>
        <v/>
      </c>
      <c r="X245" s="25" t="str">
        <f t="shared" si="27"/>
        <v>BCE_ACB</v>
      </c>
      <c r="Y245" s="10" t="str">
        <f>IF(S246&lt;&gt;eRRSP_Tx_Table[[#This Row],[Year]],SUMIFS($W$4:$W245,$S$4:$S245,eRRSP_Tx_Table[[#This Row],[Year]],$W$4:$W245,"&gt;0"),"")</f>
        <v/>
      </c>
      <c r="Z245" s="10" t="str">
        <f>IF(S246&lt;&gt;eRRSP_Tx_Table[[#This Row],[Year]],SUMIFS($W$4:$W245,$S$4:$S245,eRRSP_Tx_Table[[#This Row],[Year]],$W$4:$W245,"&lt;0"),"")</f>
        <v/>
      </c>
      <c r="AA245" s="3">
        <f>(SUMIF($U$4:$U245,CONCATENATE("Buy",$C245),$N$4:$N245)+SUMIF($U$4:$U245,CONCATENATE("ReinvDiv",$C245),$N$4:$N245))</f>
        <v>-809</v>
      </c>
      <c r="AB245" s="3">
        <f>(SUMIF($U$4:$U245,CONCATENATE("Buy",$C245),$F$4:$F245)+SUMIF($U$4:$U245,CONCATENATE("ReinvDiv",$C245),$F$4:$F245)+SUMIF($U$4:$U245,CONCATENATE("StkSplit",$C245),$F$4:$F245)-SUMIF($U$4:$U245,CONCATENATE("Sell",$C245),$F$4:$F245))</f>
        <v>20</v>
      </c>
      <c r="AC245" s="3">
        <f>IF(B245="Sell",F245*INDEX(V:V,LOOKUP(2,1/(X$4:X244=CONCATENATE(C245,"_ACB")),ROW(V$4:V244))),0)</f>
        <v>0</v>
      </c>
    </row>
    <row r="246" spans="1:29" x14ac:dyDescent="0.25">
      <c r="A246" s="20">
        <v>38291</v>
      </c>
      <c r="B246" t="s">
        <v>42</v>
      </c>
      <c r="C246" t="s">
        <v>47</v>
      </c>
      <c r="D246" s="3">
        <v>0.68</v>
      </c>
      <c r="M246" s="21">
        <f t="shared" si="30"/>
        <v>0.68</v>
      </c>
      <c r="N246" s="8">
        <f t="shared" si="33"/>
        <v>0.68</v>
      </c>
      <c r="O246" s="25">
        <f t="shared" si="34"/>
        <v>24366.65</v>
      </c>
      <c r="P246" s="8">
        <f t="shared" si="31"/>
        <v>0</v>
      </c>
      <c r="Q246" s="4">
        <f>IF(AND(S246&gt;=[1]eRRSP_Rpt!$C$6,S246&lt;=[1]eRRSP_Rpt!$C$7),1,0)</f>
        <v>0</v>
      </c>
      <c r="R246" s="4"/>
      <c r="S246" s="4">
        <f t="shared" si="29"/>
        <v>2004</v>
      </c>
      <c r="T246" s="4"/>
      <c r="U246" s="4" t="str">
        <f t="shared" si="32"/>
        <v>DivBombardier</v>
      </c>
      <c r="V246" s="23">
        <f>IFERROR(IF(AND(AB246&gt;0,B246&lt;&gt;"Sell"),(AA246-SUMIF(C$4:C245,C246,AC$4:AC246))/AB246,0),"")</f>
        <v>-23.216666666666665</v>
      </c>
      <c r="W246" s="24" t="str">
        <f t="shared" si="28"/>
        <v/>
      </c>
      <c r="X246" s="25" t="str">
        <f t="shared" si="27"/>
        <v>Bombardier_ACB</v>
      </c>
      <c r="Y246" s="10" t="str">
        <f>IF(S247&lt;&gt;eRRSP_Tx_Table[[#This Row],[Year]],SUMIFS($W$4:$W246,$S$4:$S246,eRRSP_Tx_Table[[#This Row],[Year]],$W$4:$W246,"&gt;0"),"")</f>
        <v/>
      </c>
      <c r="Z246" s="10" t="str">
        <f>IF(S247&lt;&gt;eRRSP_Tx_Table[[#This Row],[Year]],SUMIFS($W$4:$W246,$S$4:$S246,eRRSP_Tx_Table[[#This Row],[Year]],$W$4:$W246,"&lt;0"),"")</f>
        <v/>
      </c>
      <c r="AA246" s="3">
        <f>(SUMIF($U$4:$U246,CONCATENATE("Buy",$C246),$N$4:$N246)+SUMIF($U$4:$U246,CONCATENATE("ReinvDiv",$C246),$N$4:$N246))</f>
        <v>-696.5</v>
      </c>
      <c r="AB246" s="3">
        <f>(SUMIF($U$4:$U246,CONCATENATE("Buy",$C246),$F$4:$F246)+SUMIF($U$4:$U246,CONCATENATE("ReinvDiv",$C246),$F$4:$F246)+SUMIF($U$4:$U246,CONCATENATE("StkSplit",$C246),$F$4:$F246)-SUMIF($U$4:$U246,CONCATENATE("Sell",$C246),$F$4:$F246))</f>
        <v>30</v>
      </c>
      <c r="AC246" s="3">
        <f>IF(B246="Sell",F246*INDEX(V:V,LOOKUP(2,1/(X$4:X245=CONCATENATE(C246,"_ACB")),ROW(V$4:V245))),0)</f>
        <v>0</v>
      </c>
    </row>
    <row r="247" spans="1:29" x14ac:dyDescent="0.25">
      <c r="A247" s="20">
        <v>38291</v>
      </c>
      <c r="B247" t="s">
        <v>42</v>
      </c>
      <c r="C247" t="s">
        <v>45</v>
      </c>
      <c r="D247" s="3">
        <v>7.2</v>
      </c>
      <c r="M247" s="21">
        <f t="shared" si="30"/>
        <v>7.2</v>
      </c>
      <c r="N247" s="8">
        <f t="shared" si="33"/>
        <v>7.2</v>
      </c>
      <c r="O247" s="25">
        <f t="shared" si="34"/>
        <v>24373.850000000002</v>
      </c>
      <c r="P247" s="8">
        <f t="shared" si="31"/>
        <v>0</v>
      </c>
      <c r="Q247" s="4">
        <f>IF(AND(S247&gt;=[1]eRRSP_Rpt!$C$6,S247&lt;=[1]eRRSP_Rpt!$C$7),1,0)</f>
        <v>0</v>
      </c>
      <c r="R247" s="4"/>
      <c r="S247" s="4">
        <f t="shared" si="29"/>
        <v>2004</v>
      </c>
      <c r="T247" s="4"/>
      <c r="U247" s="4" t="str">
        <f t="shared" si="32"/>
        <v>DivTD Bank</v>
      </c>
      <c r="V247" s="23">
        <f>IFERROR(IF(AND(AB247&gt;0,B247&lt;&gt;"Sell"),(AA247-SUMIF(C$4:C246,C247,AC$4:AC247))/AB247,0),"")</f>
        <v>-44.29</v>
      </c>
      <c r="W247" s="24" t="str">
        <f t="shared" si="28"/>
        <v/>
      </c>
      <c r="X247" s="25" t="str">
        <f t="shared" si="27"/>
        <v>TD Bank_ACB</v>
      </c>
      <c r="Y247" s="10" t="str">
        <f>IF(S248&lt;&gt;eRRSP_Tx_Table[[#This Row],[Year]],SUMIFS($W$4:$W247,$S$4:$S247,eRRSP_Tx_Table[[#This Row],[Year]],$W$4:$W247,"&gt;0"),"")</f>
        <v/>
      </c>
      <c r="Z247" s="10" t="str">
        <f>IF(S248&lt;&gt;eRRSP_Tx_Table[[#This Row],[Year]],SUMIFS($W$4:$W247,$S$4:$S247,eRRSP_Tx_Table[[#This Row],[Year]],$W$4:$W247,"&lt;0"),"")</f>
        <v/>
      </c>
      <c r="AA247" s="3">
        <f>(SUMIF($U$4:$U247,CONCATENATE("Buy",$C247),$N$4:$N247)+SUMIF($U$4:$U247,CONCATENATE("ReinvDiv",$C247),$N$4:$N247))</f>
        <v>-885.8</v>
      </c>
      <c r="AB247" s="3">
        <f>(SUMIF($U$4:$U247,CONCATENATE("Buy",$C247),$F$4:$F247)+SUMIF($U$4:$U247,CONCATENATE("ReinvDiv",$C247),$F$4:$F247)+SUMIF($U$4:$U247,CONCATENATE("StkSplit",$C247),$F$4:$F247)-SUMIF($U$4:$U247,CONCATENATE("Sell",$C247),$F$4:$F247))</f>
        <v>20</v>
      </c>
      <c r="AC247" s="3">
        <f>IF(B247="Sell",F247*INDEX(V:V,LOOKUP(2,1/(X$4:X246=CONCATENATE(C247,"_ACB")),ROW(V$4:V246))),0)</f>
        <v>0</v>
      </c>
    </row>
    <row r="248" spans="1:29" x14ac:dyDescent="0.25">
      <c r="A248" s="20">
        <v>38307</v>
      </c>
      <c r="B248" t="s">
        <v>43</v>
      </c>
      <c r="C248" t="s">
        <v>36</v>
      </c>
      <c r="D248" s="3">
        <v>4.5</v>
      </c>
      <c r="M248" s="21">
        <f t="shared" si="30"/>
        <v>4.5</v>
      </c>
      <c r="N248" s="8">
        <f t="shared" si="33"/>
        <v>4.5</v>
      </c>
      <c r="O248" s="25">
        <f t="shared" si="34"/>
        <v>24378.350000000002</v>
      </c>
      <c r="P248" s="8">
        <f t="shared" si="31"/>
        <v>0</v>
      </c>
      <c r="Q248" s="4">
        <f>IF(AND(S248&gt;=[1]eRRSP_Rpt!$C$6,S248&lt;=[1]eRRSP_Rpt!$C$7),1,0)</f>
        <v>0</v>
      </c>
      <c r="R248" s="4"/>
      <c r="S248" s="4">
        <f t="shared" si="29"/>
        <v>2004</v>
      </c>
      <c r="T248" s="4"/>
      <c r="U248" s="4" t="str">
        <f t="shared" si="32"/>
        <v>IntIncTDW</v>
      </c>
      <c r="V248" s="23">
        <f>IFERROR(IF(AND(AB248&gt;0,B248&lt;&gt;"Sell"),(AA248-SUMIF(C$4:C247,C248,AC$4:AC248))/AB248,0),"")</f>
        <v>0</v>
      </c>
      <c r="W248" s="24" t="str">
        <f t="shared" si="28"/>
        <v/>
      </c>
      <c r="X248" s="25" t="str">
        <f t="shared" si="27"/>
        <v/>
      </c>
      <c r="Y248" s="10" t="str">
        <f>IF(S249&lt;&gt;eRRSP_Tx_Table[[#This Row],[Year]],SUMIFS($W$4:$W248,$S$4:$S248,eRRSP_Tx_Table[[#This Row],[Year]],$W$4:$W248,"&gt;0"),"")</f>
        <v/>
      </c>
      <c r="Z248" s="10" t="str">
        <f>IF(S249&lt;&gt;eRRSP_Tx_Table[[#This Row],[Year]],SUMIFS($W$4:$W248,$S$4:$S248,eRRSP_Tx_Table[[#This Row],[Year]],$W$4:$W248,"&lt;0"),"")</f>
        <v/>
      </c>
      <c r="AA248" s="3">
        <f>(SUMIF($U$4:$U248,CONCATENATE("Buy",$C248),$N$4:$N248)+SUMIF($U$4:$U248,CONCATENATE("ReinvDiv",$C248),$N$4:$N248))</f>
        <v>0</v>
      </c>
      <c r="AB248" s="3">
        <f>(SUMIF($U$4:$U248,CONCATENATE("Buy",$C248),$F$4:$F248)+SUMIF($U$4:$U248,CONCATENATE("ReinvDiv",$C248),$F$4:$F248)+SUMIF($U$4:$U248,CONCATENATE("StkSplit",$C248),$F$4:$F248)-SUMIF($U$4:$U248,CONCATENATE("Sell",$C248),$F$4:$F248))</f>
        <v>0</v>
      </c>
      <c r="AC248" s="3">
        <f>IF(B248="Sell",F248*INDEX(V:V,LOOKUP(2,1/(X$4:X247=CONCATENATE(C248,"_ACB")),ROW(V$4:V247))),0)</f>
        <v>0</v>
      </c>
    </row>
    <row r="249" spans="1:29" x14ac:dyDescent="0.25">
      <c r="A249" s="20">
        <v>38322</v>
      </c>
      <c r="B249" t="s">
        <v>42</v>
      </c>
      <c r="C249" t="s">
        <v>33</v>
      </c>
      <c r="D249" s="3">
        <v>26.07</v>
      </c>
      <c r="M249" s="21">
        <f t="shared" si="30"/>
        <v>26.07</v>
      </c>
      <c r="N249" s="8">
        <f t="shared" si="33"/>
        <v>26.07</v>
      </c>
      <c r="O249" s="25">
        <f t="shared" si="34"/>
        <v>24404.420000000002</v>
      </c>
      <c r="P249" s="8">
        <f t="shared" si="31"/>
        <v>0</v>
      </c>
      <c r="Q249" s="4">
        <f>IF(AND(S249&gt;=[1]eRRSP_Rpt!$C$6,S249&lt;=[1]eRRSP_Rpt!$C$7),1,0)</f>
        <v>0</v>
      </c>
      <c r="R249" s="4"/>
      <c r="S249" s="4">
        <f t="shared" si="29"/>
        <v>2004</v>
      </c>
      <c r="T249" s="4"/>
      <c r="U249" s="4" t="str">
        <f t="shared" si="32"/>
        <v>DivEnbridge</v>
      </c>
      <c r="V249" s="23">
        <f>IFERROR(IF(AND(AB249&gt;0,B249&lt;&gt;"Sell"),(AA249-SUMIF(C$4:C248,C249,AC$4:AC249))/AB249,0),"")</f>
        <v>-25.718055555555559</v>
      </c>
      <c r="W249" s="24" t="str">
        <f t="shared" si="28"/>
        <v/>
      </c>
      <c r="X249" s="25" t="str">
        <f t="shared" si="27"/>
        <v>Enbridge_ACB</v>
      </c>
      <c r="Y249" s="10" t="str">
        <f>IF(S250&lt;&gt;eRRSP_Tx_Table[[#This Row],[Year]],SUMIFS($W$4:$W249,$S$4:$S249,eRRSP_Tx_Table[[#This Row],[Year]],$W$4:$W249,"&gt;0"),"")</f>
        <v/>
      </c>
      <c r="Z249" s="10" t="str">
        <f>IF(S250&lt;&gt;eRRSP_Tx_Table[[#This Row],[Year]],SUMIFS($W$4:$W249,$S$4:$S249,eRRSP_Tx_Table[[#This Row],[Year]],$W$4:$W249,"&lt;0"),"")</f>
        <v/>
      </c>
      <c r="AA249" s="3">
        <f>(SUMIF($U$4:$U249,CONCATENATE("Buy",$C249),$N$4:$N249)+SUMIF($U$4:$U249,CONCATENATE("ReinvDiv",$C249),$N$4:$N249))</f>
        <v>-1851.7</v>
      </c>
      <c r="AB249" s="3">
        <f>(SUMIF($U$4:$U249,CONCATENATE("Buy",$C249),$F$4:$F249)+SUMIF($U$4:$U249,CONCATENATE("ReinvDiv",$C249),$F$4:$F249)+SUMIF($U$4:$U249,CONCATENATE("StkSplit",$C249),$F$4:$F249)-SUMIF($U$4:$U249,CONCATENATE("Sell",$C249),$F$4:$F249))</f>
        <v>57</v>
      </c>
      <c r="AC249" s="3">
        <f>IF(B249="Sell",F249*INDEX(V:V,LOOKUP(2,1/(X$4:X248=CONCATENATE(C249,"_ACB")),ROW(V$4:V248))),0)</f>
        <v>0</v>
      </c>
    </row>
    <row r="250" spans="1:29" x14ac:dyDescent="0.25">
      <c r="A250" s="20">
        <v>38337</v>
      </c>
      <c r="B250" t="s">
        <v>43</v>
      </c>
      <c r="C250" t="s">
        <v>36</v>
      </c>
      <c r="D250" s="3">
        <v>5.01</v>
      </c>
      <c r="M250" s="21">
        <f t="shared" si="30"/>
        <v>5.01</v>
      </c>
      <c r="N250" s="8">
        <f t="shared" si="33"/>
        <v>5.01</v>
      </c>
      <c r="O250" s="25">
        <f t="shared" si="34"/>
        <v>24409.43</v>
      </c>
      <c r="P250" s="8">
        <f t="shared" si="31"/>
        <v>0</v>
      </c>
      <c r="Q250" s="4">
        <f>IF(AND(S250&gt;=[1]eRRSP_Rpt!$C$6,S250&lt;=[1]eRRSP_Rpt!$C$7),1,0)</f>
        <v>0</v>
      </c>
      <c r="R250" s="4"/>
      <c r="S250" s="4">
        <f t="shared" si="29"/>
        <v>2004</v>
      </c>
      <c r="T250" s="4"/>
      <c r="U250" s="4" t="str">
        <f t="shared" si="32"/>
        <v>IntIncTDW</v>
      </c>
      <c r="V250" s="23">
        <f>IFERROR(IF(AND(AB250&gt;0,B250&lt;&gt;"Sell"),(AA250-SUMIF(C$4:C249,C250,AC$4:AC250))/AB250,0),"")</f>
        <v>0</v>
      </c>
      <c r="W250" s="24" t="str">
        <f t="shared" si="28"/>
        <v/>
      </c>
      <c r="X250" s="25" t="str">
        <f t="shared" si="27"/>
        <v/>
      </c>
      <c r="Y250" s="10" t="str">
        <f>IF(S251&lt;&gt;eRRSP_Tx_Table[[#This Row],[Year]],SUMIFS($W$4:$W250,$S$4:$S250,eRRSP_Tx_Table[[#This Row],[Year]],$W$4:$W250,"&gt;0"),"")</f>
        <v/>
      </c>
      <c r="Z250" s="10" t="str">
        <f>IF(S251&lt;&gt;eRRSP_Tx_Table[[#This Row],[Year]],SUMIFS($W$4:$W250,$S$4:$S250,eRRSP_Tx_Table[[#This Row],[Year]],$W$4:$W250,"&lt;0"),"")</f>
        <v/>
      </c>
      <c r="AA250" s="3">
        <f>(SUMIF($U$4:$U250,CONCATENATE("Buy",$C250),$N$4:$N250)+SUMIF($U$4:$U250,CONCATENATE("ReinvDiv",$C250),$N$4:$N250))</f>
        <v>0</v>
      </c>
      <c r="AB250" s="3">
        <f>(SUMIF($U$4:$U250,CONCATENATE("Buy",$C250),$F$4:$F250)+SUMIF($U$4:$U250,CONCATENATE("ReinvDiv",$C250),$F$4:$F250)+SUMIF($U$4:$U250,CONCATENATE("StkSplit",$C250),$F$4:$F250)-SUMIF($U$4:$U250,CONCATENATE("Sell",$C250),$F$4:$F250))</f>
        <v>0</v>
      </c>
      <c r="AC250" s="3">
        <f>IF(B250="Sell",F250*INDEX(V:V,LOOKUP(2,1/(X$4:X249=CONCATENATE(C250,"_ACB")),ROW(V$4:V249))),0)</f>
        <v>0</v>
      </c>
    </row>
    <row r="251" spans="1:29" x14ac:dyDescent="0.25">
      <c r="A251" s="20">
        <v>38338</v>
      </c>
      <c r="B251" t="s">
        <v>68</v>
      </c>
      <c r="C251" t="s">
        <v>66</v>
      </c>
      <c r="D251" s="3">
        <v>56.17</v>
      </c>
      <c r="H251" t="s">
        <v>69</v>
      </c>
      <c r="M251" s="21">
        <f t="shared" si="30"/>
        <v>56.17</v>
      </c>
      <c r="N251" s="8">
        <f t="shared" si="33"/>
        <v>56.17</v>
      </c>
      <c r="O251" s="25">
        <f t="shared" si="34"/>
        <v>24409.43</v>
      </c>
      <c r="P251" s="8">
        <f t="shared" si="31"/>
        <v>0</v>
      </c>
      <c r="Q251" s="4">
        <f>IF(AND(S251&gt;=[1]eRRSP_Rpt!$C$6,S251&lt;=[1]eRRSP_Rpt!$C$7),1,0)</f>
        <v>0</v>
      </c>
      <c r="R251" s="4"/>
      <c r="S251" s="4">
        <f t="shared" si="29"/>
        <v>2004</v>
      </c>
      <c r="T251" s="4"/>
      <c r="U251" s="4" t="str">
        <f t="shared" si="32"/>
        <v>RtrnCapXBrandes Int Equity</v>
      </c>
      <c r="V251" s="23">
        <f>IFERROR(IF(AND(AB251&gt;0,B251&lt;&gt;"Sell"),(AA251-SUMIF(C$4:C250,C251,AC$4:AC251))/AB251,0),"")</f>
        <v>-10.935096556902597</v>
      </c>
      <c r="W251" s="24" t="str">
        <f t="shared" si="28"/>
        <v/>
      </c>
      <c r="X251" s="25" t="str">
        <f t="shared" si="27"/>
        <v>Brandes Int Equity_ACB</v>
      </c>
      <c r="Y251" s="10" t="str">
        <f>IF(S252&lt;&gt;eRRSP_Tx_Table[[#This Row],[Year]],SUMIFS($W$4:$W251,$S$4:$S251,eRRSP_Tx_Table[[#This Row],[Year]],$W$4:$W251,"&gt;0"),"")</f>
        <v/>
      </c>
      <c r="Z251" s="10" t="str">
        <f>IF(S252&lt;&gt;eRRSP_Tx_Table[[#This Row],[Year]],SUMIFS($W$4:$W251,$S$4:$S251,eRRSP_Tx_Table[[#This Row],[Year]],$W$4:$W251,"&lt;0"),"")</f>
        <v/>
      </c>
      <c r="AA251" s="3">
        <f>(SUMIF($U$4:$U251,CONCATENATE("Buy",$C251),$N$4:$N251)+SUMIF($U$4:$U251,CONCATENATE("ReinvDiv",$C251),$N$4:$N251))</f>
        <v>-3000</v>
      </c>
      <c r="AB251" s="3">
        <f>(SUMIF($U$4:$U251,CONCATENATE("Buy",$C251),$F$4:$F251)+SUMIF($U$4:$U251,CONCATENATE("ReinvDiv",$C251),$F$4:$F251)+SUMIF($U$4:$U251,CONCATENATE("StkSplit",$C251),$F$4:$F251)-SUMIF($U$4:$U251,CONCATENATE("Sell",$C251),$F$4:$F251))</f>
        <v>274.346</v>
      </c>
      <c r="AC251" s="3">
        <f>IF(B251="Sell",F251*INDEX(V:V,LOOKUP(2,1/(X$4:X250=CONCATENATE(C251,"_ACB")),ROW(V$4:V250))),0)</f>
        <v>0</v>
      </c>
    </row>
    <row r="252" spans="1:29" x14ac:dyDescent="0.25">
      <c r="A252" s="20">
        <v>38338</v>
      </c>
      <c r="B252" t="s">
        <v>41</v>
      </c>
      <c r="C252" t="s">
        <v>50</v>
      </c>
      <c r="D252" s="3">
        <v>100.05</v>
      </c>
      <c r="E252">
        <v>5.55</v>
      </c>
      <c r="F252" s="3">
        <v>18.027000000000001</v>
      </c>
      <c r="M252" s="21">
        <f t="shared" si="30"/>
        <v>100.05</v>
      </c>
      <c r="N252" s="8">
        <f t="shared" si="33"/>
        <v>-100.05</v>
      </c>
      <c r="O252" s="25">
        <f t="shared" si="34"/>
        <v>24409.43</v>
      </c>
      <c r="P252" s="8">
        <f t="shared" si="31"/>
        <v>0</v>
      </c>
      <c r="Q252" s="4">
        <f>IF(AND(S252&gt;=[1]eRRSP_Rpt!$C$6,S252&lt;=[1]eRRSP_Rpt!$C$7),1,0)</f>
        <v>0</v>
      </c>
      <c r="R252" s="4"/>
      <c r="S252" s="4">
        <f t="shared" si="29"/>
        <v>2004</v>
      </c>
      <c r="T252" s="4"/>
      <c r="U252" s="4" t="str">
        <f t="shared" si="32"/>
        <v>ReinvDivTalvest Global Health Care RSP</v>
      </c>
      <c r="V252" s="23">
        <f>IFERROR(IF(AND(AB252&gt;0,B252&lt;&gt;"Sell"),(AA252-SUMIF(C$4:C251,C252,AC$4:AC252))/AB252,0),"")</f>
        <v>-5.7051481209822841</v>
      </c>
      <c r="W252" s="24" t="str">
        <f t="shared" si="28"/>
        <v/>
      </c>
      <c r="X252" s="25" t="str">
        <f t="shared" si="27"/>
        <v>Talvest Global Health Care RSP_ACB</v>
      </c>
      <c r="Y252" s="10" t="str">
        <f>IF(S253&lt;&gt;eRRSP_Tx_Table[[#This Row],[Year]],SUMIFS($W$4:$W252,$S$4:$S252,eRRSP_Tx_Table[[#This Row],[Year]],$W$4:$W252,"&gt;0"),"")</f>
        <v/>
      </c>
      <c r="Z252" s="10" t="str">
        <f>IF(S253&lt;&gt;eRRSP_Tx_Table[[#This Row],[Year]],SUMIFS($W$4:$W252,$S$4:$S252,eRRSP_Tx_Table[[#This Row],[Year]],$W$4:$W252,"&lt;0"),"")</f>
        <v/>
      </c>
      <c r="AA252" s="3">
        <f>(SUMIF($U$4:$U252,CONCATENATE("Buy",$C252),$N$4:$N252)+SUMIF($U$4:$U252,CONCATENATE("ReinvDiv",$C252),$N$4:$N252))</f>
        <v>-1781.21</v>
      </c>
      <c r="AB252" s="3">
        <f>(SUMIF($U$4:$U252,CONCATENATE("Buy",$C252),$F$4:$F252)+SUMIF($U$4:$U252,CONCATENATE("ReinvDiv",$C252),$F$4:$F252)+SUMIF($U$4:$U252,CONCATENATE("StkSplit",$C252),$F$4:$F252)-SUMIF($U$4:$U252,CONCATENATE("Sell",$C252),$F$4:$F252))</f>
        <v>312.21100000000001</v>
      </c>
      <c r="AC252" s="3">
        <f>IF(B252="Sell",F252*INDEX(V:V,LOOKUP(2,1/(X$4:X251=CONCATENATE(C252,"_ACB")),ROW(V$4:V251))),0)</f>
        <v>0</v>
      </c>
    </row>
    <row r="253" spans="1:29" x14ac:dyDescent="0.25">
      <c r="A253" s="20">
        <v>38338</v>
      </c>
      <c r="B253" t="s">
        <v>42</v>
      </c>
      <c r="C253" t="s">
        <v>51</v>
      </c>
      <c r="D253" s="3">
        <v>332.56</v>
      </c>
      <c r="M253" s="21">
        <f t="shared" si="30"/>
        <v>332.56</v>
      </c>
      <c r="N253" s="8">
        <f t="shared" si="33"/>
        <v>332.56</v>
      </c>
      <c r="O253" s="25">
        <f t="shared" si="34"/>
        <v>24741.99</v>
      </c>
      <c r="P253" s="8">
        <f t="shared" si="31"/>
        <v>0</v>
      </c>
      <c r="Q253" s="4">
        <f>IF(AND(S253&gt;=[1]eRRSP_Rpt!$C$6,S253&lt;=[1]eRRSP_Rpt!$C$7),1,0)</f>
        <v>0</v>
      </c>
      <c r="R253" s="4"/>
      <c r="S253" s="4">
        <f t="shared" si="29"/>
        <v>2004</v>
      </c>
      <c r="T253" s="4"/>
      <c r="U253" s="4" t="str">
        <f t="shared" si="32"/>
        <v>DivCIBC Energy Fund</v>
      </c>
      <c r="V253" s="23">
        <f>IFERROR(IF(AND(AB253&gt;0,B253&lt;&gt;"Sell"),(AA253-SUMIF(C$4:C252,C253,AC$4:AC253))/AB253,0),"")</f>
        <v>-14.868709296908298</v>
      </c>
      <c r="W253" s="24" t="str">
        <f t="shared" si="28"/>
        <v/>
      </c>
      <c r="X253" s="25" t="str">
        <f t="shared" si="27"/>
        <v>CIBC Energy Fund_ACB</v>
      </c>
      <c r="Y253" s="10" t="str">
        <f>IF(S254&lt;&gt;eRRSP_Tx_Table[[#This Row],[Year]],SUMIFS($W$4:$W253,$S$4:$S253,eRRSP_Tx_Table[[#This Row],[Year]],$W$4:$W253,"&gt;0"),"")</f>
        <v/>
      </c>
      <c r="Z253" s="10" t="str">
        <f>IF(S254&lt;&gt;eRRSP_Tx_Table[[#This Row],[Year]],SUMIFS($W$4:$W253,$S$4:$S253,eRRSP_Tx_Table[[#This Row],[Year]],$W$4:$W253,"&lt;0"),"")</f>
        <v/>
      </c>
      <c r="AA253" s="3">
        <f>(SUMIF($U$4:$U253,CONCATENATE("Buy",$C253),$N$4:$N253)+SUMIF($U$4:$U253,CONCATENATE("ReinvDiv",$C253),$N$4:$N253))</f>
        <v>-1500</v>
      </c>
      <c r="AB253" s="3">
        <f>(SUMIF($U$4:$U253,CONCATENATE("Buy",$C253),$F$4:$F253)+SUMIF($U$4:$U253,CONCATENATE("ReinvDiv",$C253),$F$4:$F253)+SUMIF($U$4:$U253,CONCATENATE("StkSplit",$C253),$F$4:$F253)-SUMIF($U$4:$U253,CONCATENATE("Sell",$C253),$F$4:$F253))</f>
        <v>83.334000000000003</v>
      </c>
      <c r="AC253" s="3">
        <f>IF(B253="Sell",F253*INDEX(V:V,LOOKUP(2,1/(X$4:X252=CONCATENATE(C253,"_ACB")),ROW(V$4:V252))),0)</f>
        <v>0</v>
      </c>
    </row>
    <row r="254" spans="1:29" x14ac:dyDescent="0.25">
      <c r="A254" s="20">
        <v>38338</v>
      </c>
      <c r="B254" t="s">
        <v>41</v>
      </c>
      <c r="C254" t="s">
        <v>59</v>
      </c>
      <c r="D254" s="3">
        <v>70.540000000000006</v>
      </c>
      <c r="E254">
        <v>21.36281</v>
      </c>
      <c r="F254" s="3">
        <v>3.302</v>
      </c>
      <c r="M254" s="21">
        <f t="shared" si="30"/>
        <v>70.540000000000006</v>
      </c>
      <c r="N254" s="8">
        <f t="shared" si="33"/>
        <v>-70.540000000000006</v>
      </c>
      <c r="O254" s="25">
        <f t="shared" si="34"/>
        <v>24741.99</v>
      </c>
      <c r="P254" s="8">
        <f t="shared" si="31"/>
        <v>0</v>
      </c>
      <c r="Q254" s="4">
        <f>IF(AND(S254&gt;=[1]eRRSP_Rpt!$C$6,S254&lt;=[1]eRRSP_Rpt!$C$7),1,0)</f>
        <v>0</v>
      </c>
      <c r="R254" s="4"/>
      <c r="S254" s="4">
        <f t="shared" si="29"/>
        <v>2004</v>
      </c>
      <c r="T254" s="4"/>
      <c r="U254" s="4" t="str">
        <f t="shared" si="32"/>
        <v>ReinvDivSaxon SmallCap</v>
      </c>
      <c r="V254" s="23">
        <f>IFERROR(IF(AND(AB254&gt;0,B254&lt;&gt;"Sell"),(AA254-SUMIF(C$4:C253,C254,AC$4:AC254))/AB254,0),"")</f>
        <v>-17.409180490785822</v>
      </c>
      <c r="W254" s="24" t="str">
        <f t="shared" si="28"/>
        <v/>
      </c>
      <c r="X254" s="25" t="str">
        <f t="shared" si="27"/>
        <v>Saxon SmallCap_ACB</v>
      </c>
      <c r="Y254" s="10" t="str">
        <f>IF(S255&lt;&gt;eRRSP_Tx_Table[[#This Row],[Year]],SUMIFS($W$4:$W254,$S$4:$S254,eRRSP_Tx_Table[[#This Row],[Year]],$W$4:$W254,"&gt;0"),"")</f>
        <v/>
      </c>
      <c r="Z254" s="10" t="str">
        <f>IF(S255&lt;&gt;eRRSP_Tx_Table[[#This Row],[Year]],SUMIFS($W$4:$W254,$S$4:$S254,eRRSP_Tx_Table[[#This Row],[Year]],$W$4:$W254,"&lt;0"),"")</f>
        <v/>
      </c>
      <c r="AA254" s="3">
        <f>(SUMIF($U$4:$U254,CONCATENATE("Buy",$C254),$N$4:$N254)+SUMIF($U$4:$U254,CONCATENATE("ReinvDiv",$C254),$N$4:$N254))</f>
        <v>-6538.44</v>
      </c>
      <c r="AB254" s="3">
        <f>(SUMIF($U$4:$U254,CONCATENATE("Buy",$C254),$F$4:$F254)+SUMIF($U$4:$U254,CONCATENATE("ReinvDiv",$C254),$F$4:$F254)+SUMIF($U$4:$U254,CONCATENATE("StkSplit",$C254),$F$4:$F254)-SUMIF($U$4:$U254,CONCATENATE("Sell",$C254),$F$4:$F254))</f>
        <v>254.22399999999999</v>
      </c>
      <c r="AC254" s="3">
        <f>IF(B254="Sell",F254*INDEX(V:V,LOOKUP(2,1/(X$4:X253=CONCATENATE(C254,"_ACB")),ROW(V$4:V253))),0)</f>
        <v>0</v>
      </c>
    </row>
    <row r="255" spans="1:29" x14ac:dyDescent="0.25">
      <c r="A255" s="20">
        <v>38338</v>
      </c>
      <c r="B255" t="s">
        <v>41</v>
      </c>
      <c r="C255" t="s">
        <v>39</v>
      </c>
      <c r="D255" s="3">
        <v>126.35</v>
      </c>
      <c r="E255">
        <v>10.716709</v>
      </c>
      <c r="F255" s="3">
        <v>11.79</v>
      </c>
      <c r="M255" s="21">
        <f t="shared" si="30"/>
        <v>126.35</v>
      </c>
      <c r="N255" s="8">
        <f t="shared" si="33"/>
        <v>-126.35</v>
      </c>
      <c r="O255" s="25">
        <f t="shared" si="34"/>
        <v>24741.99</v>
      </c>
      <c r="P255" s="8">
        <f t="shared" si="31"/>
        <v>0</v>
      </c>
      <c r="Q255" s="4">
        <f>IF(AND(S255&gt;=[1]eRRSP_Rpt!$C$6,S255&lt;=[1]eRRSP_Rpt!$C$7),1,0)</f>
        <v>0</v>
      </c>
      <c r="R255" s="4"/>
      <c r="S255" s="4">
        <f t="shared" si="29"/>
        <v>2004</v>
      </c>
      <c r="T255" s="4"/>
      <c r="U255" s="4" t="str">
        <f t="shared" si="32"/>
        <v>ReinvDivTrimark Income Growth</v>
      </c>
      <c r="V255" s="23">
        <f>IFERROR(IF(AND(AB255&gt;0,B255&lt;&gt;"Sell"),(AA255-SUMIF(C$4:C254,C255,AC$4:AC255))/AB255,0),"")</f>
        <v>-7.9743751034596917</v>
      </c>
      <c r="W255" s="24" t="str">
        <f t="shared" si="28"/>
        <v/>
      </c>
      <c r="X255" s="25" t="str">
        <f t="shared" si="27"/>
        <v>Trimark Income Growth_ACB</v>
      </c>
      <c r="Y255" s="10" t="str">
        <f>IF(S256&lt;&gt;eRRSP_Tx_Table[[#This Row],[Year]],SUMIFS($W$4:$W255,$S$4:$S255,eRRSP_Tx_Table[[#This Row],[Year]],$W$4:$W255,"&gt;0"),"")</f>
        <v/>
      </c>
      <c r="Z255" s="10" t="str">
        <f>IF(S256&lt;&gt;eRRSP_Tx_Table[[#This Row],[Year]],SUMIFS($W$4:$W255,$S$4:$S255,eRRSP_Tx_Table[[#This Row],[Year]],$W$4:$W255,"&lt;0"),"")</f>
        <v/>
      </c>
      <c r="AA255" s="3">
        <f>(SUMIF($U$4:$U255,CONCATENATE("Buy",$C255),$N$4:$N255)+SUMIF($U$4:$U255,CONCATENATE("ReinvDiv",$C255),$N$4:$N255))</f>
        <v>-2408.66</v>
      </c>
      <c r="AB255" s="3">
        <f>(SUMIF($U$4:$U255,CONCATENATE("Buy",$C255),$F$4:$F255)+SUMIF($U$4:$U255,CONCATENATE("ReinvDiv",$C255),$F$4:$F255)+SUMIF($U$4:$U255,CONCATENATE("StkSplit",$C255),$F$4:$F255)-SUMIF($U$4:$U255,CONCATENATE("Sell",$C255),$F$4:$F255))</f>
        <v>302.05</v>
      </c>
      <c r="AC255" s="3">
        <f>IF(B255="Sell",F255*INDEX(V:V,LOOKUP(2,1/(X$4:X254=CONCATENATE(C255,"_ACB")),ROW(V$4:V254))),0)</f>
        <v>0</v>
      </c>
    </row>
    <row r="256" spans="1:29" x14ac:dyDescent="0.25">
      <c r="A256" s="20">
        <v>38344</v>
      </c>
      <c r="B256" t="s">
        <v>40</v>
      </c>
      <c r="C256" t="s">
        <v>67</v>
      </c>
      <c r="D256" s="3">
        <v>2042.84</v>
      </c>
      <c r="E256">
        <v>10.7</v>
      </c>
      <c r="F256" s="3">
        <v>198.90700000000001</v>
      </c>
      <c r="G256">
        <v>85.46</v>
      </c>
      <c r="M256" s="21">
        <f t="shared" si="30"/>
        <v>2128.3000000000002</v>
      </c>
      <c r="N256" s="8">
        <f t="shared" si="33"/>
        <v>2042.8400000000001</v>
      </c>
      <c r="O256" s="25">
        <f t="shared" si="34"/>
        <v>26784.83</v>
      </c>
      <c r="P256" s="8">
        <f t="shared" si="31"/>
        <v>0</v>
      </c>
      <c r="Q256" s="4">
        <f>IF(AND(S256&gt;=[1]eRRSP_Rpt!$C$6,S256&lt;=[1]eRRSP_Rpt!$C$7),1,0)</f>
        <v>0</v>
      </c>
      <c r="R256" s="4"/>
      <c r="S256" s="4">
        <f t="shared" si="29"/>
        <v>2004</v>
      </c>
      <c r="T256" s="4"/>
      <c r="U256" s="4" t="str">
        <f t="shared" si="32"/>
        <v>SellTD US RSP Index - e</v>
      </c>
      <c r="V256" s="23">
        <f>IFERROR(IF(AND(AB256&gt;0,B256&lt;&gt;"Sell"),(AA256-SUMIF(C$4:C255,C256,AC$4:AC256))/AB256,0),"")</f>
        <v>0</v>
      </c>
      <c r="W256" s="24">
        <f t="shared" si="28"/>
        <v>19.959999999999809</v>
      </c>
      <c r="X256" s="25" t="str">
        <f t="shared" si="27"/>
        <v/>
      </c>
      <c r="Y256" s="10" t="str">
        <f>IF(S257&lt;&gt;eRRSP_Tx_Table[[#This Row],[Year]],SUMIFS($W$4:$W256,$S$4:$S256,eRRSP_Tx_Table[[#This Row],[Year]],$W$4:$W256,"&gt;0"),"")</f>
        <v/>
      </c>
      <c r="Z256" s="10" t="str">
        <f>IF(S257&lt;&gt;eRRSP_Tx_Table[[#This Row],[Year]],SUMIFS($W$4:$W256,$S$4:$S256,eRRSP_Tx_Table[[#This Row],[Year]],$W$4:$W256,"&lt;0"),"")</f>
        <v/>
      </c>
      <c r="AA256" s="3">
        <f>(SUMIF($U$4:$U256,CONCATENATE("Buy",$C256),$N$4:$N256)+SUMIF($U$4:$U256,CONCATENATE("ReinvDiv",$C256),$N$4:$N256))</f>
        <v>-2022.88</v>
      </c>
      <c r="AB256" s="3">
        <f>(SUMIF($U$4:$U256,CONCATENATE("Buy",$C256),$F$4:$F256)+SUMIF($U$4:$U256,CONCATENATE("ReinvDiv",$C256),$F$4:$F256)+SUMIF($U$4:$U256,CONCATENATE("StkSplit",$C256),$F$4:$F256)-SUMIF($U$4:$U256,CONCATENATE("Sell",$C256),$F$4:$F256))</f>
        <v>0</v>
      </c>
      <c r="AC256" s="3">
        <f>IF(B256="Sell",F256*INDEX(V:V,LOOKUP(2,1/(X$4:X255=CONCATENATE(C256,"_ACB")),ROW(V$4:V255))),0)</f>
        <v>-2022.8800000000003</v>
      </c>
    </row>
    <row r="257" spans="1:29" x14ac:dyDescent="0.25">
      <c r="A257" s="20">
        <v>38344</v>
      </c>
      <c r="B257" t="s">
        <v>40</v>
      </c>
      <c r="C257" t="s">
        <v>56</v>
      </c>
      <c r="D257" s="3">
        <v>638.30999999999995</v>
      </c>
      <c r="E257">
        <v>8.1199999999999992</v>
      </c>
      <c r="F257" s="3">
        <v>82.766000000000005</v>
      </c>
      <c r="G257">
        <v>33.75</v>
      </c>
      <c r="M257" s="21">
        <f t="shared" si="30"/>
        <v>672.06</v>
      </c>
      <c r="N257" s="8">
        <f t="shared" si="33"/>
        <v>638.30999999999995</v>
      </c>
      <c r="O257" s="25">
        <f t="shared" si="34"/>
        <v>27423.140000000003</v>
      </c>
      <c r="P257" s="8">
        <f t="shared" si="31"/>
        <v>0</v>
      </c>
      <c r="Q257" s="4">
        <f>IF(AND(S257&gt;=[1]eRRSP_Rpt!$C$6,S257&lt;=[1]eRRSP_Rpt!$C$7),1,0)</f>
        <v>0</v>
      </c>
      <c r="R257" s="4"/>
      <c r="S257" s="4">
        <f t="shared" si="29"/>
        <v>2004</v>
      </c>
      <c r="T257" s="4"/>
      <c r="U257" s="4" t="str">
        <f t="shared" si="32"/>
        <v>SellAltamira Sci&amp;Tech</v>
      </c>
      <c r="V257" s="23">
        <f>IFERROR(IF(AND(AB257&gt;0,B257&lt;&gt;"Sell"),(AA257-SUMIF(C$4:C256,C257,AC$4:AC257))/AB257,0),"")</f>
        <v>0</v>
      </c>
      <c r="W257" s="24">
        <f t="shared" si="28"/>
        <v>-861.68999999999983</v>
      </c>
      <c r="X257" s="25" t="str">
        <f t="shared" si="27"/>
        <v/>
      </c>
      <c r="Y257" s="10" t="str">
        <f>IF(S258&lt;&gt;eRRSP_Tx_Table[[#This Row],[Year]],SUMIFS($W$4:$W257,$S$4:$S257,eRRSP_Tx_Table[[#This Row],[Year]],$W$4:$W257,"&gt;0"),"")</f>
        <v/>
      </c>
      <c r="Z257" s="10" t="str">
        <f>IF(S258&lt;&gt;eRRSP_Tx_Table[[#This Row],[Year]],SUMIFS($W$4:$W257,$S$4:$S257,eRRSP_Tx_Table[[#This Row],[Year]],$W$4:$W257,"&lt;0"),"")</f>
        <v/>
      </c>
      <c r="AA257" s="3">
        <f>(SUMIF($U$4:$U257,CONCATENATE("Buy",$C257),$N$4:$N257)+SUMIF($U$4:$U257,CONCATENATE("ReinvDiv",$C257),$N$4:$N257))</f>
        <v>-1500</v>
      </c>
      <c r="AB257" s="3">
        <f>(SUMIF($U$4:$U257,CONCATENATE("Buy",$C257),$F$4:$F257)+SUMIF($U$4:$U257,CONCATENATE("ReinvDiv",$C257),$F$4:$F257)+SUMIF($U$4:$U257,CONCATENATE("StkSplit",$C257),$F$4:$F257)-SUMIF($U$4:$U257,CONCATENATE("Sell",$C257),$F$4:$F257))</f>
        <v>0</v>
      </c>
      <c r="AC257" s="3">
        <f>IF(B257="Sell",F257*INDEX(V:V,LOOKUP(2,1/(X$4:X256=CONCATENATE(C257,"_ACB")),ROW(V$4:V256))),0)</f>
        <v>-1499.9999999999998</v>
      </c>
    </row>
    <row r="258" spans="1:29" x14ac:dyDescent="0.25">
      <c r="A258" s="20">
        <v>38344</v>
      </c>
      <c r="B258" t="s">
        <v>41</v>
      </c>
      <c r="C258" t="s">
        <v>62</v>
      </c>
      <c r="D258" s="3">
        <v>16.59</v>
      </c>
      <c r="E258">
        <v>14.91</v>
      </c>
      <c r="F258" s="3">
        <v>1.113</v>
      </c>
      <c r="M258" s="21">
        <f t="shared" si="30"/>
        <v>16.59</v>
      </c>
      <c r="N258" s="8">
        <f t="shared" si="33"/>
        <v>-16.59</v>
      </c>
      <c r="O258" s="25">
        <f t="shared" si="34"/>
        <v>27423.140000000003</v>
      </c>
      <c r="P258" s="8">
        <f t="shared" si="31"/>
        <v>0</v>
      </c>
      <c r="Q258" s="4">
        <f>IF(AND(S258&gt;=[1]eRRSP_Rpt!$C$6,S258&lt;=[1]eRRSP_Rpt!$C$7),1,0)</f>
        <v>0</v>
      </c>
      <c r="R258" s="4"/>
      <c r="S258" s="4">
        <f t="shared" si="29"/>
        <v>2004</v>
      </c>
      <c r="T258" s="4"/>
      <c r="U258" s="4" t="str">
        <f t="shared" si="32"/>
        <v>ReinvDivTD RR Bond</v>
      </c>
      <c r="V258" s="23">
        <f>IFERROR(IF(AND(AB258&gt;0,B258&lt;&gt;"Sell"),(AA258-SUMIF(C$4:C257,C258,AC$4:AC258))/AB258,0),"")</f>
        <v>-12.875660223417764</v>
      </c>
      <c r="W258" s="24" t="str">
        <f t="shared" si="28"/>
        <v/>
      </c>
      <c r="X258" s="25" t="str">
        <f t="shared" si="27"/>
        <v>TD RR Bond_ACB</v>
      </c>
      <c r="Y258" s="10" t="str">
        <f>IF(S259&lt;&gt;eRRSP_Tx_Table[[#This Row],[Year]],SUMIFS($W$4:$W258,$S$4:$S258,eRRSP_Tx_Table[[#This Row],[Year]],$W$4:$W258,"&gt;0"),"")</f>
        <v/>
      </c>
      <c r="Z258" s="10" t="str">
        <f>IF(S259&lt;&gt;eRRSP_Tx_Table[[#This Row],[Year]],SUMIFS($W$4:$W258,$S$4:$S258,eRRSP_Tx_Table[[#This Row],[Year]],$W$4:$W258,"&lt;0"),"")</f>
        <v/>
      </c>
      <c r="AA258" s="3">
        <f>(SUMIF($U$4:$U258,CONCATENATE("Buy",$C258),$N$4:$N258)+SUMIF($U$4:$U258,CONCATENATE("ReinvDiv",$C258),$N$4:$N258))</f>
        <v>-2098.9</v>
      </c>
      <c r="AB258" s="3">
        <f>(SUMIF($U$4:$U258,CONCATENATE("Buy",$C258),$F$4:$F258)+SUMIF($U$4:$U258,CONCATENATE("ReinvDiv",$C258),$F$4:$F258)+SUMIF($U$4:$U258,CONCATENATE("StkSplit",$C258),$F$4:$F258)-SUMIF($U$4:$U258,CONCATENATE("Sell",$C258),$F$4:$F258))</f>
        <v>163.01300000000001</v>
      </c>
      <c r="AC258" s="3">
        <f>IF(B258="Sell",F258*INDEX(V:V,LOOKUP(2,1/(X$4:X257=CONCATENATE(C258,"_ACB")),ROW(V$4:V257))),0)</f>
        <v>0</v>
      </c>
    </row>
    <row r="259" spans="1:29" x14ac:dyDescent="0.25">
      <c r="A259" s="20">
        <v>38344</v>
      </c>
      <c r="B259" t="s">
        <v>41</v>
      </c>
      <c r="C259" t="s">
        <v>58</v>
      </c>
      <c r="D259" s="3">
        <v>9.4499999999999993</v>
      </c>
      <c r="E259">
        <v>8.76</v>
      </c>
      <c r="F259" s="3">
        <v>1.079</v>
      </c>
      <c r="M259" s="21">
        <f t="shared" si="30"/>
        <v>9.4499999999999993</v>
      </c>
      <c r="N259" s="8">
        <f t="shared" si="33"/>
        <v>-9.4499999999999993</v>
      </c>
      <c r="O259" s="25">
        <f t="shared" si="34"/>
        <v>27423.140000000003</v>
      </c>
      <c r="P259" s="8">
        <f t="shared" si="31"/>
        <v>0</v>
      </c>
      <c r="Q259" s="4">
        <f>IF(AND(S259&gt;=[1]eRRSP_Rpt!$C$6,S259&lt;=[1]eRRSP_Rpt!$C$7),1,0)</f>
        <v>0</v>
      </c>
      <c r="R259" s="4"/>
      <c r="S259" s="4">
        <f t="shared" si="29"/>
        <v>2004</v>
      </c>
      <c r="T259" s="4"/>
      <c r="U259" s="4" t="str">
        <f t="shared" si="32"/>
        <v>ReinvDivTD DJIA Index</v>
      </c>
      <c r="V259" s="23">
        <f>IFERROR(IF(AND(AB259&gt;0,B259&lt;&gt;"Sell"),(AA259-SUMIF(C$4:C258,C259,AC$4:AC259))/AB259,0),"")</f>
        <v>-11.238642297650129</v>
      </c>
      <c r="W259" s="24" t="str">
        <f t="shared" si="28"/>
        <v/>
      </c>
      <c r="X259" s="25" t="str">
        <f t="shared" si="27"/>
        <v>TD DJIA Index_ACB</v>
      </c>
      <c r="Y259" s="10" t="str">
        <f>IF(S260&lt;&gt;eRRSP_Tx_Table[[#This Row],[Year]],SUMIFS($W$4:$W259,$S$4:$S259,eRRSP_Tx_Table[[#This Row],[Year]],$W$4:$W259,"&gt;0"),"")</f>
        <v/>
      </c>
      <c r="Z259" s="10" t="str">
        <f>IF(S260&lt;&gt;eRRSP_Tx_Table[[#This Row],[Year]],SUMIFS($W$4:$W259,$S$4:$S259,eRRSP_Tx_Table[[#This Row],[Year]],$W$4:$W259,"&lt;0"),"")</f>
        <v/>
      </c>
      <c r="AA259" s="3">
        <f>(SUMIF($U$4:$U259,CONCATENATE("Buy",$C259),$N$4:$N259)+SUMIF($U$4:$U259,CONCATENATE("ReinvDiv",$C259),$N$4:$N259))</f>
        <v>-1076.0999999999999</v>
      </c>
      <c r="AB259" s="3">
        <f>(SUMIF($U$4:$U259,CONCATENATE("Buy",$C259),$F$4:$F259)+SUMIF($U$4:$U259,CONCATENATE("ReinvDiv",$C259),$F$4:$F259)+SUMIF($U$4:$U259,CONCATENATE("StkSplit",$C259),$F$4:$F259)-SUMIF($U$4:$U259,CONCATENATE("Sell",$C259),$F$4:$F259))</f>
        <v>95.75</v>
      </c>
      <c r="AC259" s="3">
        <f>IF(B259="Sell",F259*INDEX(V:V,LOOKUP(2,1/(X$4:X258=CONCATENATE(C259,"_ACB")),ROW(V$4:V258))),0)</f>
        <v>0</v>
      </c>
    </row>
    <row r="260" spans="1:29" x14ac:dyDescent="0.25">
      <c r="A260" s="20">
        <v>38345</v>
      </c>
      <c r="B260" t="s">
        <v>40</v>
      </c>
      <c r="C260" t="s">
        <v>53</v>
      </c>
      <c r="D260" s="3">
        <v>2195.04</v>
      </c>
      <c r="E260">
        <v>13.28</v>
      </c>
      <c r="F260" s="3">
        <v>165.28899999999999</v>
      </c>
      <c r="M260" s="21">
        <f t="shared" si="30"/>
        <v>2195.04</v>
      </c>
      <c r="N260" s="8">
        <f t="shared" si="33"/>
        <v>2195.04</v>
      </c>
      <c r="O260" s="25">
        <f t="shared" si="34"/>
        <v>29618.180000000004</v>
      </c>
      <c r="P260" s="8">
        <f t="shared" si="31"/>
        <v>0</v>
      </c>
      <c r="Q260" s="4">
        <f>IF(AND(S260&gt;=[1]eRRSP_Rpt!$C$6,S260&lt;=[1]eRRSP_Rpt!$C$7),1,0)</f>
        <v>0</v>
      </c>
      <c r="R260" s="4"/>
      <c r="S260" s="4">
        <f t="shared" si="29"/>
        <v>2004</v>
      </c>
      <c r="T260" s="4"/>
      <c r="U260" s="4" t="str">
        <f t="shared" si="32"/>
        <v>SellTD CDN Bond</v>
      </c>
      <c r="V260" s="23">
        <f>IFERROR(IF(AND(AB260&gt;0,B260&lt;&gt;"Sell"),(AA260-SUMIF(C$4:C259,C260,AC$4:AC260))/AB260,0),"")</f>
        <v>0</v>
      </c>
      <c r="W260" s="24">
        <f t="shared" si="28"/>
        <v>195.03999999999996</v>
      </c>
      <c r="X260" s="25" t="str">
        <f t="shared" ref="X260:X323" si="35">IF(V260,CONCATENATE(C260,"_ACB"),"")</f>
        <v/>
      </c>
      <c r="Y260" s="10" t="str">
        <f>IF(S261&lt;&gt;eRRSP_Tx_Table[[#This Row],[Year]],SUMIFS($W$4:$W260,$S$4:$S260,eRRSP_Tx_Table[[#This Row],[Year]],$W$4:$W260,"&gt;0"),"")</f>
        <v/>
      </c>
      <c r="Z260" s="10" t="str">
        <f>IF(S261&lt;&gt;eRRSP_Tx_Table[[#This Row],[Year]],SUMIFS($W$4:$W260,$S$4:$S260,eRRSP_Tx_Table[[#This Row],[Year]],$W$4:$W260,"&lt;0"),"")</f>
        <v/>
      </c>
      <c r="AA260" s="3">
        <f>(SUMIF($U$4:$U260,CONCATENATE("Buy",$C260),$N$4:$N260)+SUMIF($U$4:$U260,CONCATENATE("ReinvDiv",$C260),$N$4:$N260))</f>
        <v>-2000</v>
      </c>
      <c r="AB260" s="3">
        <f>(SUMIF($U$4:$U260,CONCATENATE("Buy",$C260),$F$4:$F260)+SUMIF($U$4:$U260,CONCATENATE("ReinvDiv",$C260),$F$4:$F260)+SUMIF($U$4:$U260,CONCATENATE("StkSplit",$C260),$F$4:$F260)-SUMIF($U$4:$U260,CONCATENATE("Sell",$C260),$F$4:$F260))</f>
        <v>0</v>
      </c>
      <c r="AC260" s="3">
        <f>IF(B260="Sell",F260*INDEX(V:V,LOOKUP(2,1/(X$4:X259=CONCATENATE(C260,"_ACB")),ROW(V$4:V259))),0)</f>
        <v>-2000</v>
      </c>
    </row>
    <row r="261" spans="1:29" x14ac:dyDescent="0.25">
      <c r="A261" s="20">
        <v>38350</v>
      </c>
      <c r="B261" t="s">
        <v>40</v>
      </c>
      <c r="C261" t="s">
        <v>46</v>
      </c>
      <c r="D261" s="3">
        <v>551</v>
      </c>
      <c r="E261">
        <v>29</v>
      </c>
      <c r="F261" s="3">
        <v>20</v>
      </c>
      <c r="G261">
        <v>29</v>
      </c>
      <c r="M261" s="21">
        <f t="shared" si="30"/>
        <v>580</v>
      </c>
      <c r="N261" s="8">
        <f t="shared" si="33"/>
        <v>551</v>
      </c>
      <c r="O261" s="25">
        <f t="shared" si="34"/>
        <v>30169.180000000004</v>
      </c>
      <c r="P261" s="8">
        <f t="shared" si="31"/>
        <v>0</v>
      </c>
      <c r="Q261" s="4">
        <f>IF(AND(S261&gt;=[1]eRRSP_Rpt!$C$6,S261&lt;=[1]eRRSP_Rpt!$C$7),1,0)</f>
        <v>0</v>
      </c>
      <c r="R261" s="4"/>
      <c r="S261" s="4">
        <f t="shared" si="29"/>
        <v>2004</v>
      </c>
      <c r="T261" s="4"/>
      <c r="U261" s="4" t="str">
        <f t="shared" si="32"/>
        <v>SellBCE</v>
      </c>
      <c r="V261" s="23">
        <f>IFERROR(IF(AND(AB261&gt;0,B261&lt;&gt;"Sell"),(AA261-SUMIF(C$4:C260,C261,AC$4:AC261))/AB261,0),"")</f>
        <v>0</v>
      </c>
      <c r="W261" s="24">
        <f t="shared" ref="W261:W324" si="36">IF(B261="Sell",N261+AC261,"")</f>
        <v>-258</v>
      </c>
      <c r="X261" s="25" t="str">
        <f t="shared" si="35"/>
        <v/>
      </c>
      <c r="Y261" s="10" t="str">
        <f>IF(S262&lt;&gt;eRRSP_Tx_Table[[#This Row],[Year]],SUMIFS($W$4:$W261,$S$4:$S261,eRRSP_Tx_Table[[#This Row],[Year]],$W$4:$W261,"&gt;0"),"")</f>
        <v/>
      </c>
      <c r="Z261" s="10" t="str">
        <f>IF(S262&lt;&gt;eRRSP_Tx_Table[[#This Row],[Year]],SUMIFS($W$4:$W261,$S$4:$S261,eRRSP_Tx_Table[[#This Row],[Year]],$W$4:$W261,"&lt;0"),"")</f>
        <v/>
      </c>
      <c r="AA261" s="3">
        <f>(SUMIF($U$4:$U261,CONCATENATE("Buy",$C261),$N$4:$N261)+SUMIF($U$4:$U261,CONCATENATE("ReinvDiv",$C261),$N$4:$N261))</f>
        <v>-809</v>
      </c>
      <c r="AB261" s="3">
        <f>(SUMIF($U$4:$U261,CONCATENATE("Buy",$C261),$F$4:$F261)+SUMIF($U$4:$U261,CONCATENATE("ReinvDiv",$C261),$F$4:$F261)+SUMIF($U$4:$U261,CONCATENATE("StkSplit",$C261),$F$4:$F261)-SUMIF($U$4:$U261,CONCATENATE("Sell",$C261),$F$4:$F261))</f>
        <v>0</v>
      </c>
      <c r="AC261" s="3">
        <f>IF(B261="Sell",F261*INDEX(V:V,LOOKUP(2,1/(X$4:X260=CONCATENATE(C261,"_ACB")),ROW(V$4:V260))),0)</f>
        <v>-809</v>
      </c>
    </row>
    <row r="262" spans="1:29" x14ac:dyDescent="0.25">
      <c r="A262" s="20">
        <v>38350</v>
      </c>
      <c r="B262" t="s">
        <v>40</v>
      </c>
      <c r="C262" t="s">
        <v>44</v>
      </c>
      <c r="D262" s="3">
        <v>95.5</v>
      </c>
      <c r="E262">
        <v>4.1500000000000004</v>
      </c>
      <c r="F262" s="3">
        <v>30</v>
      </c>
      <c r="G262">
        <v>29</v>
      </c>
      <c r="M262" s="21">
        <f t="shared" si="30"/>
        <v>124.5</v>
      </c>
      <c r="N262" s="8">
        <f t="shared" si="33"/>
        <v>95.5</v>
      </c>
      <c r="O262" s="25">
        <f t="shared" si="34"/>
        <v>30264.680000000004</v>
      </c>
      <c r="P262" s="8">
        <f t="shared" si="31"/>
        <v>0</v>
      </c>
      <c r="Q262" s="4">
        <f>IF(AND(S262&gt;=[1]eRRSP_Rpt!$C$6,S262&lt;=[1]eRRSP_Rpt!$C$7),1,0)</f>
        <v>0</v>
      </c>
      <c r="R262" s="4"/>
      <c r="S262" s="4">
        <f t="shared" si="29"/>
        <v>2004</v>
      </c>
      <c r="T262" s="4"/>
      <c r="U262" s="4" t="str">
        <f t="shared" si="32"/>
        <v>SellNortel</v>
      </c>
      <c r="V262" s="23">
        <f>IFERROR(IF(AND(AB262&gt;0,B262&lt;&gt;"Sell"),(AA262-SUMIF(C$4:C261,C262,AC$4:AC262))/AB262,0),"")</f>
        <v>0</v>
      </c>
      <c r="W262" s="24">
        <f t="shared" si="36"/>
        <v>-1109.2</v>
      </c>
      <c r="X262" s="25" t="str">
        <f t="shared" si="35"/>
        <v/>
      </c>
      <c r="Y262" s="10" t="str">
        <f>IF(S263&lt;&gt;eRRSP_Tx_Table[[#This Row],[Year]],SUMIFS($W$4:$W262,$S$4:$S262,eRRSP_Tx_Table[[#This Row],[Year]],$W$4:$W262,"&gt;0"),"")</f>
        <v/>
      </c>
      <c r="Z262" s="10" t="str">
        <f>IF(S263&lt;&gt;eRRSP_Tx_Table[[#This Row],[Year]],SUMIFS($W$4:$W262,$S$4:$S262,eRRSP_Tx_Table[[#This Row],[Year]],$W$4:$W262,"&lt;0"),"")</f>
        <v/>
      </c>
      <c r="AA262" s="3">
        <f>(SUMIF($U$4:$U262,CONCATENATE("Buy",$C262),$N$4:$N262)+SUMIF($U$4:$U262,CONCATENATE("ReinvDiv",$C262),$N$4:$N262))</f>
        <v>-1204.7</v>
      </c>
      <c r="AB262" s="3">
        <f>(SUMIF($U$4:$U262,CONCATENATE("Buy",$C262),$F$4:$F262)+SUMIF($U$4:$U262,CONCATENATE("ReinvDiv",$C262),$F$4:$F262)+SUMIF($U$4:$U262,CONCATENATE("StkSplit",$C262),$F$4:$F262)-SUMIF($U$4:$U262,CONCATENATE("Sell",$C262),$F$4:$F262))</f>
        <v>0</v>
      </c>
      <c r="AC262" s="3">
        <f>IF(B262="Sell",F262*INDEX(V:V,LOOKUP(2,1/(X$4:X261=CONCATENATE(C262,"_ACB")),ROW(V$4:V261))),0)</f>
        <v>-1204.7</v>
      </c>
    </row>
    <row r="263" spans="1:29" x14ac:dyDescent="0.25">
      <c r="A263" s="20">
        <v>38350</v>
      </c>
      <c r="B263" t="s">
        <v>40</v>
      </c>
      <c r="C263" t="s">
        <v>48</v>
      </c>
      <c r="D263" s="3">
        <v>687</v>
      </c>
      <c r="E263">
        <v>35.799999999999997</v>
      </c>
      <c r="F263" s="3">
        <v>20</v>
      </c>
      <c r="G263">
        <v>29</v>
      </c>
      <c r="M263" s="21">
        <f t="shared" si="30"/>
        <v>716</v>
      </c>
      <c r="N263" s="8">
        <f t="shared" si="33"/>
        <v>687</v>
      </c>
      <c r="O263" s="25">
        <f t="shared" si="34"/>
        <v>30951.680000000004</v>
      </c>
      <c r="P263" s="8">
        <f t="shared" si="31"/>
        <v>0</v>
      </c>
      <c r="Q263" s="4">
        <f>IF(AND(S263&gt;=[1]eRRSP_Rpt!$C$6,S263&lt;=[1]eRRSP_Rpt!$C$7),1,0)</f>
        <v>0</v>
      </c>
      <c r="R263" s="4"/>
      <c r="S263" s="4">
        <f t="shared" si="29"/>
        <v>2004</v>
      </c>
      <c r="T263" s="4"/>
      <c r="U263" s="4" t="str">
        <f t="shared" si="32"/>
        <v>SellTelus</v>
      </c>
      <c r="V263" s="23">
        <f>IFERROR(IF(AND(AB263&gt;0,B263&lt;&gt;"Sell"),(AA263-SUMIF(C$4:C262,C263,AC$4:AC263))/AB263,0),"")</f>
        <v>0</v>
      </c>
      <c r="W263" s="24">
        <f t="shared" si="36"/>
        <v>-122</v>
      </c>
      <c r="X263" s="25" t="str">
        <f t="shared" si="35"/>
        <v/>
      </c>
      <c r="Y263" s="10" t="str">
        <f>IF(S264&lt;&gt;eRRSP_Tx_Table[[#This Row],[Year]],SUMIFS($W$4:$W263,$S$4:$S263,eRRSP_Tx_Table[[#This Row],[Year]],$W$4:$W263,"&gt;0"),"")</f>
        <v/>
      </c>
      <c r="Z263" s="10" t="str">
        <f>IF(S264&lt;&gt;eRRSP_Tx_Table[[#This Row],[Year]],SUMIFS($W$4:$W263,$S$4:$S263,eRRSP_Tx_Table[[#This Row],[Year]],$W$4:$W263,"&lt;0"),"")</f>
        <v/>
      </c>
      <c r="AA263" s="3">
        <f>(SUMIF($U$4:$U263,CONCATENATE("Buy",$C263),$N$4:$N263)+SUMIF($U$4:$U263,CONCATENATE("ReinvDiv",$C263),$N$4:$N263))</f>
        <v>-809</v>
      </c>
      <c r="AB263" s="3">
        <f>(SUMIF($U$4:$U263,CONCATENATE("Buy",$C263),$F$4:$F263)+SUMIF($U$4:$U263,CONCATENATE("ReinvDiv",$C263),$F$4:$F263)+SUMIF($U$4:$U263,CONCATENATE("StkSplit",$C263),$F$4:$F263)-SUMIF($U$4:$U263,CONCATENATE("Sell",$C263),$F$4:$F263))</f>
        <v>0</v>
      </c>
      <c r="AC263" s="3">
        <f>IF(B263="Sell",F263*INDEX(V:V,LOOKUP(2,1/(X$4:X262=CONCATENATE(C263,"_ACB")),ROW(V$4:V262))),0)</f>
        <v>-809</v>
      </c>
    </row>
    <row r="264" spans="1:29" ht="13.5" customHeight="1" x14ac:dyDescent="0.25">
      <c r="A264" s="32">
        <f>A207+365</f>
        <v>38352</v>
      </c>
      <c r="B264" s="33"/>
      <c r="C264" s="33"/>
      <c r="D264" s="34"/>
      <c r="E264" s="33"/>
      <c r="F264" s="34"/>
      <c r="G264" s="33"/>
      <c r="H264" s="33"/>
      <c r="I264" s="33"/>
      <c r="J264" s="33"/>
      <c r="K264" s="33"/>
      <c r="L264" s="33"/>
      <c r="M264" s="35"/>
      <c r="N264" s="8"/>
      <c r="O264" s="36"/>
      <c r="P264" s="37">
        <v>-65200.21</v>
      </c>
      <c r="Q264" s="4">
        <f>IF(AND(S264&gt;=[1]eRRSP_Rpt!$C$6,S264&lt;=[1]eRRSP_Rpt!$C$7),1,0)</f>
        <v>0</v>
      </c>
      <c r="R264" s="4" t="s">
        <v>34</v>
      </c>
      <c r="S264" s="4">
        <f>YEAR(A264)</f>
        <v>2004</v>
      </c>
      <c r="T264" s="22"/>
      <c r="U264" s="4"/>
      <c r="V264" s="23">
        <f>IFERROR(IF(AND(AB264&gt;0,B264&lt;&gt;"Sell"),(AA264-SUMIF(C$4:C263,C264,AC$4:AC264))/AB264,0),"")</f>
        <v>0</v>
      </c>
      <c r="W264" s="24" t="str">
        <f t="shared" si="36"/>
        <v/>
      </c>
      <c r="X264" s="25" t="str">
        <f t="shared" si="35"/>
        <v/>
      </c>
      <c r="Y264" s="10">
        <f>IF(S265&lt;&gt;eRRSP_Tx_Table[[#This Row],[Year]],SUMIFS($W$4:$W264,$S$4:$S264,eRRSP_Tx_Table[[#This Row],[Year]],$W$4:$W264,"&gt;0"),"")</f>
        <v>2609.2105216380914</v>
      </c>
      <c r="Z264" s="10">
        <f>IF(S265&lt;&gt;eRRSP_Tx_Table[[#This Row],[Year]],SUMIFS($W$4:$W264,$S$4:$S264,eRRSP_Tx_Table[[#This Row],[Year]],$W$4:$W264,"&lt;0"),"")</f>
        <v>-2350.89</v>
      </c>
      <c r="AA264" s="3">
        <f>(SUMIF($U$4:$U264,CONCATENATE("Buy",$C264),$N$4:$N264)+SUMIF($U$4:$U264,CONCATENATE("ReinvDiv",$C264),$N$4:$N264))</f>
        <v>0</v>
      </c>
      <c r="AB264" s="3">
        <f>(SUMIF($U$4:$U264,CONCATENATE("Buy",$C264),$F$4:$F264)+SUMIF($U$4:$U264,CONCATENATE("ReinvDiv",$C264),$F$4:$F264)+SUMIF($U$4:$U264,CONCATENATE("StkSplit",$C264),$F$4:$F264)-SUMIF($U$4:$U264,CONCATENATE("Sell",$C264),$F$4:$F264))</f>
        <v>0</v>
      </c>
      <c r="AC264" s="3">
        <f>IF(B264="Sell",F264*INDEX(V:V,LOOKUP(2,1/(X$4:X263=CONCATENATE(C264,"_ACB")),ROW(V$4:V263))),0)</f>
        <v>0</v>
      </c>
    </row>
    <row r="265" spans="1:29" ht="13.5" customHeight="1" x14ac:dyDescent="0.25">
      <c r="A265" s="32">
        <f>A264+1</f>
        <v>38353</v>
      </c>
      <c r="B265" s="33"/>
      <c r="C265" s="33"/>
      <c r="D265" s="34"/>
      <c r="E265" s="33"/>
      <c r="F265" s="34"/>
      <c r="G265" s="33"/>
      <c r="H265" s="33"/>
      <c r="I265" s="33"/>
      <c r="J265" s="33"/>
      <c r="K265" s="33"/>
      <c r="L265" s="33"/>
      <c r="M265" s="35"/>
      <c r="N265" s="8"/>
      <c r="O265" s="36"/>
      <c r="P265" s="37">
        <f>-P264</f>
        <v>65200.21</v>
      </c>
      <c r="Q265" s="4">
        <f>IF(AND(S265&gt;=[1]eRRSP_Rpt!$C$6,S265&lt;=[1]eRRSP_Rpt!$C$7),1,0)</f>
        <v>0</v>
      </c>
      <c r="R265" s="4" t="s">
        <v>34</v>
      </c>
      <c r="S265" s="4">
        <f>YEAR(A265)</f>
        <v>2005</v>
      </c>
      <c r="T265" s="22"/>
      <c r="U265" s="4"/>
      <c r="V265" s="23">
        <f>IFERROR(IF(AND(AB265&gt;0,B265&lt;&gt;"Sell"),(AA265-SUMIF(C$4:C264,C265,AC$4:AC265))/AB265,0),"")</f>
        <v>0</v>
      </c>
      <c r="W265" s="24" t="str">
        <f t="shared" si="36"/>
        <v/>
      </c>
      <c r="X265" s="25" t="str">
        <f t="shared" si="35"/>
        <v/>
      </c>
      <c r="Y265" s="10" t="str">
        <f>IF(S266&lt;&gt;eRRSP_Tx_Table[[#This Row],[Year]],SUMIFS($W$4:$W265,$S$4:$S265,eRRSP_Tx_Table[[#This Row],[Year]],$W$4:$W265,"&gt;0"),"")</f>
        <v/>
      </c>
      <c r="Z265" s="10" t="str">
        <f>IF(S266&lt;&gt;eRRSP_Tx_Table[[#This Row],[Year]],SUMIFS($W$4:$W265,$S$4:$S265,eRRSP_Tx_Table[[#This Row],[Year]],$W$4:$W265,"&lt;0"),"")</f>
        <v/>
      </c>
      <c r="AA265" s="3">
        <f>(SUMIF($U$4:$U265,CONCATENATE("Buy",$C265),$N$4:$N265)+SUMIF($U$4:$U265,CONCATENATE("ReinvDiv",$C265),$N$4:$N265))</f>
        <v>0</v>
      </c>
      <c r="AB265" s="3">
        <f>(SUMIF($U$4:$U265,CONCATENATE("Buy",$C265),$F$4:$F265)+SUMIF($U$4:$U265,CONCATENATE("ReinvDiv",$C265),$F$4:$F265)+SUMIF($U$4:$U265,CONCATENATE("StkSplit",$C265),$F$4:$F265)-SUMIF($U$4:$U265,CONCATENATE("Sell",$C265),$F$4:$F265))</f>
        <v>0</v>
      </c>
      <c r="AC265" s="3">
        <f>IF(B265="Sell",F265*INDEX(V:V,LOOKUP(2,1/(X$4:X264=CONCATENATE(C265,"_ACB")),ROW(V$4:V264))),0)</f>
        <v>0</v>
      </c>
    </row>
    <row r="266" spans="1:29" x14ac:dyDescent="0.25">
      <c r="A266" s="20">
        <v>38353</v>
      </c>
      <c r="B266" t="s">
        <v>42</v>
      </c>
      <c r="C266" t="s">
        <v>48</v>
      </c>
      <c r="D266" s="3">
        <v>4</v>
      </c>
      <c r="M266" s="21">
        <f t="shared" si="30"/>
        <v>4</v>
      </c>
      <c r="N266" s="8">
        <f t="shared" ref="N266:N329" si="37">IF(OR(B266="Buy",B266="ReinvDiv"),-M266-G266,M266-G266)</f>
        <v>4</v>
      </c>
      <c r="O266" s="25">
        <f>O263+IF(OR(B266="Cash",B266="Buy",B266="Sell",B266="Div",B266="Rebate",B266="Fees",B266="IntInc",B266="Tax",B266="Distr"),N266,0)</f>
        <v>30955.680000000004</v>
      </c>
      <c r="P266" s="8">
        <f t="shared" si="31"/>
        <v>0</v>
      </c>
      <c r="Q266" s="4">
        <f>IF(AND(S266&gt;=[1]eRRSP_Rpt!$C$6,S266&lt;=[1]eRRSP_Rpt!$C$7),1,0)</f>
        <v>0</v>
      </c>
      <c r="R266" s="4"/>
      <c r="S266" s="4">
        <f t="shared" si="29"/>
        <v>2005</v>
      </c>
      <c r="T266" s="4"/>
      <c r="U266" s="4" t="str">
        <f t="shared" si="32"/>
        <v>DivTelus</v>
      </c>
      <c r="V266" s="23">
        <f>IFERROR(IF(AND(AB266&gt;0,B266&lt;&gt;"Sell"),(AA266-SUMIF(C$4:C265,C266,AC$4:AC266))/AB266,0),"")</f>
        <v>0</v>
      </c>
      <c r="W266" s="24" t="str">
        <f t="shared" si="36"/>
        <v/>
      </c>
      <c r="X266" s="25" t="str">
        <f t="shared" si="35"/>
        <v/>
      </c>
      <c r="Y266" s="10" t="str">
        <f>IF(S267&lt;&gt;eRRSP_Tx_Table[[#This Row],[Year]],SUMIFS($W$4:$W266,$S$4:$S266,eRRSP_Tx_Table[[#This Row],[Year]],$W$4:$W266,"&gt;0"),"")</f>
        <v/>
      </c>
      <c r="Z266" s="10" t="str">
        <f>IF(S267&lt;&gt;eRRSP_Tx_Table[[#This Row],[Year]],SUMIFS($W$4:$W266,$S$4:$S266,eRRSP_Tx_Table[[#This Row],[Year]],$W$4:$W266,"&lt;0"),"")</f>
        <v/>
      </c>
      <c r="AA266" s="3">
        <f>(SUMIF($U$4:$U266,CONCATENATE("Buy",$C266),$N$4:$N266)+SUMIF($U$4:$U266,CONCATENATE("ReinvDiv",$C266),$N$4:$N266))</f>
        <v>-809</v>
      </c>
      <c r="AB266" s="3">
        <f>(SUMIF($U$4:$U266,CONCATENATE("Buy",$C266),$F$4:$F266)+SUMIF($U$4:$U266,CONCATENATE("ReinvDiv",$C266),$F$4:$F266)+SUMIF($U$4:$U266,CONCATENATE("StkSplit",$C266),$F$4:$F266)-SUMIF($U$4:$U266,CONCATENATE("Sell",$C266),$F$4:$F266))</f>
        <v>0</v>
      </c>
      <c r="AC266" s="3">
        <f>IF(B266="Sell",F266*INDEX(V:V,LOOKUP(2,1/(X$4:X265=CONCATENATE(C266,"_ACB")),ROW(V$4:V265))),0)</f>
        <v>0</v>
      </c>
    </row>
    <row r="267" spans="1:29" x14ac:dyDescent="0.25">
      <c r="A267" s="20">
        <v>38357</v>
      </c>
      <c r="B267" t="s">
        <v>30</v>
      </c>
      <c r="C267" t="s">
        <v>31</v>
      </c>
      <c r="D267" s="3">
        <v>277.82</v>
      </c>
      <c r="M267" s="21">
        <f t="shared" si="30"/>
        <v>277.82</v>
      </c>
      <c r="N267" s="8">
        <f t="shared" si="37"/>
        <v>277.82</v>
      </c>
      <c r="O267" s="25">
        <f t="shared" ref="O267:O330" si="38">O266+IF(OR(B267="Cash",B267="Buy",B267="Sell",B267="Div",B267="Rebate",B267="Fees",B267="IntInc",B267="Tax",B267="Distr"),N267,0)</f>
        <v>31233.500000000004</v>
      </c>
      <c r="P267" s="8">
        <f t="shared" si="31"/>
        <v>277.82</v>
      </c>
      <c r="Q267" s="4">
        <f>IF(AND(S267&gt;=[1]eRRSP_Rpt!$C$6,S267&lt;=[1]eRRSP_Rpt!$C$7),1,0)</f>
        <v>0</v>
      </c>
      <c r="R267" s="4"/>
      <c r="S267" s="4">
        <f t="shared" ref="S267:S332" si="39">YEAR(A267)</f>
        <v>2005</v>
      </c>
      <c r="T267" s="4"/>
      <c r="U267" s="4" t="str">
        <f t="shared" si="32"/>
        <v>CashContribution</v>
      </c>
      <c r="V267" s="23">
        <f>IFERROR(IF(AND(AB267&gt;0,B267&lt;&gt;"Sell"),(AA267-SUMIF(C$4:C266,C267,AC$4:AC267))/AB267,0),"")</f>
        <v>0</v>
      </c>
      <c r="W267" s="24" t="str">
        <f t="shared" si="36"/>
        <v/>
      </c>
      <c r="X267" s="25" t="str">
        <f t="shared" si="35"/>
        <v/>
      </c>
      <c r="Y267" s="10" t="str">
        <f>IF(S268&lt;&gt;eRRSP_Tx_Table[[#This Row],[Year]],SUMIFS($W$4:$W267,$S$4:$S267,eRRSP_Tx_Table[[#This Row],[Year]],$W$4:$W267,"&gt;0"),"")</f>
        <v/>
      </c>
      <c r="Z267" s="10" t="str">
        <f>IF(S268&lt;&gt;eRRSP_Tx_Table[[#This Row],[Year]],SUMIFS($W$4:$W267,$S$4:$S267,eRRSP_Tx_Table[[#This Row],[Year]],$W$4:$W267,"&lt;0"),"")</f>
        <v/>
      </c>
      <c r="AA267" s="3">
        <f>(SUMIF($U$4:$U267,CONCATENATE("Buy",$C267),$N$4:$N267)+SUMIF($U$4:$U267,CONCATENATE("ReinvDiv",$C267),$N$4:$N267))</f>
        <v>0</v>
      </c>
      <c r="AB267" s="3">
        <f>(SUMIF($U$4:$U267,CONCATENATE("Buy",$C267),$F$4:$F267)+SUMIF($U$4:$U267,CONCATENATE("ReinvDiv",$C267),$F$4:$F267)+SUMIF($U$4:$U267,CONCATENATE("StkSplit",$C267),$F$4:$F267)-SUMIF($U$4:$U267,CONCATENATE("Sell",$C267),$F$4:$F267))</f>
        <v>0</v>
      </c>
      <c r="AC267" s="3">
        <f>IF(B267="Sell",F267*INDEX(V:V,LOOKUP(2,1/(X$4:X266=CONCATENATE(C267,"_ACB")),ROW(V$4:V266))),0)</f>
        <v>0</v>
      </c>
    </row>
    <row r="268" spans="1:29" x14ac:dyDescent="0.25">
      <c r="A268" s="20">
        <v>38366</v>
      </c>
      <c r="B268" t="s">
        <v>41</v>
      </c>
      <c r="C268" t="s">
        <v>39</v>
      </c>
      <c r="D268" s="3">
        <v>5.47</v>
      </c>
      <c r="E268">
        <v>10.75</v>
      </c>
      <c r="F268" s="3">
        <v>0.50900000000000001</v>
      </c>
      <c r="M268" s="21">
        <f t="shared" si="30"/>
        <v>5.47</v>
      </c>
      <c r="N268" s="8">
        <f t="shared" si="37"/>
        <v>-5.47</v>
      </c>
      <c r="O268" s="25">
        <f t="shared" si="38"/>
        <v>31233.500000000004</v>
      </c>
      <c r="P268" s="8">
        <f t="shared" si="31"/>
        <v>0</v>
      </c>
      <c r="Q268" s="4">
        <f>IF(AND(S268&gt;=[1]eRRSP_Rpt!$C$6,S268&lt;=[1]eRRSP_Rpt!$C$7),1,0)</f>
        <v>0</v>
      </c>
      <c r="R268" s="4"/>
      <c r="S268" s="4">
        <f t="shared" si="39"/>
        <v>2005</v>
      </c>
      <c r="T268" s="4"/>
      <c r="U268" s="4" t="str">
        <f t="shared" si="32"/>
        <v>ReinvDivTrimark Income Growth</v>
      </c>
      <c r="V268" s="23">
        <f>IFERROR(IF(AND(AB268&gt;0,B268&lt;&gt;"Sell"),(AA268-SUMIF(C$4:C267,C268,AC$4:AC268))/AB268,0),"")</f>
        <v>-7.9790387990441545</v>
      </c>
      <c r="W268" s="24" t="str">
        <f t="shared" si="36"/>
        <v/>
      </c>
      <c r="X268" s="25" t="str">
        <f t="shared" si="35"/>
        <v>Trimark Income Growth_ACB</v>
      </c>
      <c r="Y268" s="10" t="str">
        <f>IF(S269&lt;&gt;eRRSP_Tx_Table[[#This Row],[Year]],SUMIFS($W$4:$W268,$S$4:$S268,eRRSP_Tx_Table[[#This Row],[Year]],$W$4:$W268,"&gt;0"),"")</f>
        <v/>
      </c>
      <c r="Z268" s="10" t="str">
        <f>IF(S269&lt;&gt;eRRSP_Tx_Table[[#This Row],[Year]],SUMIFS($W$4:$W268,$S$4:$S268,eRRSP_Tx_Table[[#This Row],[Year]],$W$4:$W268,"&lt;0"),"")</f>
        <v/>
      </c>
      <c r="AA268" s="3">
        <f>(SUMIF($U$4:$U268,CONCATENATE("Buy",$C268),$N$4:$N268)+SUMIF($U$4:$U268,CONCATENATE("ReinvDiv",$C268),$N$4:$N268))</f>
        <v>-2414.13</v>
      </c>
      <c r="AB268" s="3">
        <f>(SUMIF($U$4:$U268,CONCATENATE("Buy",$C268),$F$4:$F268)+SUMIF($U$4:$U268,CONCATENATE("ReinvDiv",$C268),$F$4:$F268)+SUMIF($U$4:$U268,CONCATENATE("StkSplit",$C268),$F$4:$F268)-SUMIF($U$4:$U268,CONCATENATE("Sell",$C268),$F$4:$F268))</f>
        <v>302.55899999999997</v>
      </c>
      <c r="AC268" s="3">
        <f>IF(B268="Sell",F268*INDEX(V:V,LOOKUP(2,1/(X$4:X267=CONCATENATE(C268,"_ACB")),ROW(V$4:V267))),0)</f>
        <v>0</v>
      </c>
    </row>
    <row r="269" spans="1:29" x14ac:dyDescent="0.25">
      <c r="A269" s="20">
        <v>38367</v>
      </c>
      <c r="B269" t="s">
        <v>42</v>
      </c>
      <c r="C269" t="s">
        <v>46</v>
      </c>
      <c r="D269" s="3">
        <v>6</v>
      </c>
      <c r="M269" s="21">
        <f t="shared" si="30"/>
        <v>6</v>
      </c>
      <c r="N269" s="8">
        <f t="shared" si="37"/>
        <v>6</v>
      </c>
      <c r="O269" s="25">
        <f t="shared" si="38"/>
        <v>31239.500000000004</v>
      </c>
      <c r="P269" s="8">
        <f t="shared" si="31"/>
        <v>0</v>
      </c>
      <c r="Q269" s="4">
        <f>IF(AND(S269&gt;=[1]eRRSP_Rpt!$C$6,S269&lt;=[1]eRRSP_Rpt!$C$7),1,0)</f>
        <v>0</v>
      </c>
      <c r="R269" s="4"/>
      <c r="S269" s="4">
        <f t="shared" si="39"/>
        <v>2005</v>
      </c>
      <c r="T269" s="4"/>
      <c r="U269" s="4" t="str">
        <f t="shared" si="32"/>
        <v>DivBCE</v>
      </c>
      <c r="V269" s="23">
        <f>IFERROR(IF(AND(AB269&gt;0,B269&lt;&gt;"Sell"),(AA269-SUMIF(C$4:C268,C269,AC$4:AC269))/AB269,0),"")</f>
        <v>0</v>
      </c>
      <c r="W269" s="24" t="str">
        <f t="shared" si="36"/>
        <v/>
      </c>
      <c r="X269" s="25" t="str">
        <f t="shared" si="35"/>
        <v/>
      </c>
      <c r="Y269" s="10" t="str">
        <f>IF(S270&lt;&gt;eRRSP_Tx_Table[[#This Row],[Year]],SUMIFS($W$4:$W269,$S$4:$S269,eRRSP_Tx_Table[[#This Row],[Year]],$W$4:$W269,"&gt;0"),"")</f>
        <v/>
      </c>
      <c r="Z269" s="10" t="str">
        <f>IF(S270&lt;&gt;eRRSP_Tx_Table[[#This Row],[Year]],SUMIFS($W$4:$W269,$S$4:$S269,eRRSP_Tx_Table[[#This Row],[Year]],$W$4:$W269,"&lt;0"),"")</f>
        <v/>
      </c>
      <c r="AA269" s="3">
        <f>(SUMIF($U$4:$U269,CONCATENATE("Buy",$C269),$N$4:$N269)+SUMIF($U$4:$U269,CONCATENATE("ReinvDiv",$C269),$N$4:$N269))</f>
        <v>-809</v>
      </c>
      <c r="AB269" s="3">
        <f>(SUMIF($U$4:$U269,CONCATENATE("Buy",$C269),$F$4:$F269)+SUMIF($U$4:$U269,CONCATENATE("ReinvDiv",$C269),$F$4:$F269)+SUMIF($U$4:$U269,CONCATENATE("StkSplit",$C269),$F$4:$F269)-SUMIF($U$4:$U269,CONCATENATE("Sell",$C269),$F$4:$F269))</f>
        <v>0</v>
      </c>
      <c r="AC269" s="3">
        <f>IF(B269="Sell",F269*INDEX(V:V,LOOKUP(2,1/(X$4:X268=CONCATENATE(C269,"_ACB")),ROW(V$4:V268))),0)</f>
        <v>0</v>
      </c>
    </row>
    <row r="270" spans="1:29" x14ac:dyDescent="0.25">
      <c r="A270" s="20">
        <v>38368</v>
      </c>
      <c r="B270" t="s">
        <v>43</v>
      </c>
      <c r="C270" t="s">
        <v>36</v>
      </c>
      <c r="D270" s="3">
        <v>6.21</v>
      </c>
      <c r="M270" s="21">
        <f t="shared" si="30"/>
        <v>6.21</v>
      </c>
      <c r="N270" s="8">
        <f t="shared" si="37"/>
        <v>6.21</v>
      </c>
      <c r="O270" s="25">
        <f t="shared" si="38"/>
        <v>31245.710000000003</v>
      </c>
      <c r="P270" s="8">
        <f t="shared" si="31"/>
        <v>0</v>
      </c>
      <c r="Q270" s="4">
        <f>IF(AND(S270&gt;=[1]eRRSP_Rpt!$C$6,S270&lt;=[1]eRRSP_Rpt!$C$7),1,0)</f>
        <v>0</v>
      </c>
      <c r="R270" s="4"/>
      <c r="S270" s="4">
        <f t="shared" si="39"/>
        <v>2005</v>
      </c>
      <c r="T270" s="4"/>
      <c r="U270" s="4" t="str">
        <f t="shared" si="32"/>
        <v>IntIncTDW</v>
      </c>
      <c r="V270" s="23">
        <f>IFERROR(IF(AND(AB270&gt;0,B270&lt;&gt;"Sell"),(AA270-SUMIF(C$4:C269,C270,AC$4:AC270))/AB270,0),"")</f>
        <v>0</v>
      </c>
      <c r="W270" s="24" t="str">
        <f t="shared" si="36"/>
        <v/>
      </c>
      <c r="X270" s="25" t="str">
        <f t="shared" si="35"/>
        <v/>
      </c>
      <c r="Y270" s="10" t="str">
        <f>IF(S271&lt;&gt;eRRSP_Tx_Table[[#This Row],[Year]],SUMIFS($W$4:$W270,$S$4:$S270,eRRSP_Tx_Table[[#This Row],[Year]],$W$4:$W270,"&gt;0"),"")</f>
        <v/>
      </c>
      <c r="Z270" s="10" t="str">
        <f>IF(S271&lt;&gt;eRRSP_Tx_Table[[#This Row],[Year]],SUMIFS($W$4:$W270,$S$4:$S270,eRRSP_Tx_Table[[#This Row],[Year]],$W$4:$W270,"&lt;0"),"")</f>
        <v/>
      </c>
      <c r="AA270" s="3">
        <f>(SUMIF($U$4:$U270,CONCATENATE("Buy",$C270),$N$4:$N270)+SUMIF($U$4:$U270,CONCATENATE("ReinvDiv",$C270),$N$4:$N270))</f>
        <v>0</v>
      </c>
      <c r="AB270" s="3">
        <f>(SUMIF($U$4:$U270,CONCATENATE("Buy",$C270),$F$4:$F270)+SUMIF($U$4:$U270,CONCATENATE("ReinvDiv",$C270),$F$4:$F270)+SUMIF($U$4:$U270,CONCATENATE("StkSplit",$C270),$F$4:$F270)-SUMIF($U$4:$U270,CONCATENATE("Sell",$C270),$F$4:$F270))</f>
        <v>0</v>
      </c>
      <c r="AC270" s="3">
        <f>IF(B270="Sell",F270*INDEX(V:V,LOOKUP(2,1/(X$4:X269=CONCATENATE(C270,"_ACB")),ROW(V$4:V269))),0)</f>
        <v>0</v>
      </c>
    </row>
    <row r="271" spans="1:29" x14ac:dyDescent="0.25">
      <c r="A271" s="20">
        <v>38372</v>
      </c>
      <c r="B271" t="s">
        <v>32</v>
      </c>
      <c r="C271" t="s">
        <v>70</v>
      </c>
      <c r="D271" s="3">
        <v>2000</v>
      </c>
      <c r="E271">
        <v>8.77</v>
      </c>
      <c r="F271" s="3">
        <v>228.05</v>
      </c>
      <c r="M271" s="21">
        <f t="shared" si="30"/>
        <v>2000</v>
      </c>
      <c r="N271" s="8">
        <f t="shared" si="37"/>
        <v>-2000</v>
      </c>
      <c r="O271" s="25">
        <f t="shared" si="38"/>
        <v>29245.710000000003</v>
      </c>
      <c r="P271" s="8">
        <f t="shared" si="31"/>
        <v>0</v>
      </c>
      <c r="Q271" s="4">
        <f>IF(AND(S271&gt;=[1]eRRSP_Rpt!$C$6,S271&lt;=[1]eRRSP_Rpt!$C$7),1,0)</f>
        <v>0</v>
      </c>
      <c r="R271" s="4"/>
      <c r="S271" s="4">
        <f t="shared" si="39"/>
        <v>2005</v>
      </c>
      <c r="T271" s="4"/>
      <c r="U271" s="4" t="str">
        <f t="shared" si="32"/>
        <v>BuyTD Japan Index</v>
      </c>
      <c r="V271" s="23">
        <f>IFERROR(IF(AND(AB271&gt;0,B271&lt;&gt;"Sell"),(AA271-SUMIF(C$4:C270,C271,AC$4:AC271))/AB271,0),"")</f>
        <v>-8.7700065775049332</v>
      </c>
      <c r="W271" s="24" t="str">
        <f t="shared" si="36"/>
        <v/>
      </c>
      <c r="X271" s="25" t="str">
        <f t="shared" si="35"/>
        <v>TD Japan Index_ACB</v>
      </c>
      <c r="Y271" s="10" t="str">
        <f>IF(S272&lt;&gt;eRRSP_Tx_Table[[#This Row],[Year]],SUMIFS($W$4:$W271,$S$4:$S271,eRRSP_Tx_Table[[#This Row],[Year]],$W$4:$W271,"&gt;0"),"")</f>
        <v/>
      </c>
      <c r="Z271" s="10" t="str">
        <f>IF(S272&lt;&gt;eRRSP_Tx_Table[[#This Row],[Year]],SUMIFS($W$4:$W271,$S$4:$S271,eRRSP_Tx_Table[[#This Row],[Year]],$W$4:$W271,"&lt;0"),"")</f>
        <v/>
      </c>
      <c r="AA271" s="3">
        <f>(SUMIF($U$4:$U271,CONCATENATE("Buy",$C271),$N$4:$N271)+SUMIF($U$4:$U271,CONCATENATE("ReinvDiv",$C271),$N$4:$N271))</f>
        <v>-2000</v>
      </c>
      <c r="AB271" s="3">
        <f>(SUMIF($U$4:$U271,CONCATENATE("Buy",$C271),$F$4:$F271)+SUMIF($U$4:$U271,CONCATENATE("ReinvDiv",$C271),$F$4:$F271)+SUMIF($U$4:$U271,CONCATENATE("StkSplit",$C271),$F$4:$F271)-SUMIF($U$4:$U271,CONCATENATE("Sell",$C271),$F$4:$F271))</f>
        <v>228.05</v>
      </c>
      <c r="AC271" s="3">
        <f>IF(B271="Sell",F271*INDEX(V:V,LOOKUP(2,1/(X$4:X270=CONCATENATE(C271,"_ACB")),ROW(V$4:V270))),0)</f>
        <v>0</v>
      </c>
    </row>
    <row r="272" spans="1:29" x14ac:dyDescent="0.25">
      <c r="A272" s="20">
        <v>38383</v>
      </c>
      <c r="B272" t="s">
        <v>42</v>
      </c>
      <c r="C272" t="s">
        <v>47</v>
      </c>
      <c r="D272" s="3">
        <v>0.68</v>
      </c>
      <c r="M272" s="21">
        <f t="shared" si="30"/>
        <v>0.68</v>
      </c>
      <c r="N272" s="8">
        <f t="shared" si="37"/>
        <v>0.68</v>
      </c>
      <c r="O272" s="25">
        <f t="shared" si="38"/>
        <v>29246.390000000003</v>
      </c>
      <c r="P272" s="8">
        <f t="shared" si="31"/>
        <v>0</v>
      </c>
      <c r="Q272" s="4">
        <f>IF(AND(S272&gt;=[1]eRRSP_Rpt!$C$6,S272&lt;=[1]eRRSP_Rpt!$C$7),1,0)</f>
        <v>0</v>
      </c>
      <c r="R272" s="4"/>
      <c r="S272" s="4">
        <f t="shared" si="39"/>
        <v>2005</v>
      </c>
      <c r="T272" s="4"/>
      <c r="U272" s="4" t="str">
        <f t="shared" si="32"/>
        <v>DivBombardier</v>
      </c>
      <c r="V272" s="23">
        <f>IFERROR(IF(AND(AB272&gt;0,B272&lt;&gt;"Sell"),(AA272-SUMIF(C$4:C271,C272,AC$4:AC272))/AB272,0),"")</f>
        <v>-23.216666666666665</v>
      </c>
      <c r="W272" s="24" t="str">
        <f t="shared" si="36"/>
        <v/>
      </c>
      <c r="X272" s="25" t="str">
        <f t="shared" si="35"/>
        <v>Bombardier_ACB</v>
      </c>
      <c r="Y272" s="10" t="str">
        <f>IF(S273&lt;&gt;eRRSP_Tx_Table[[#This Row],[Year]],SUMIFS($W$4:$W272,$S$4:$S272,eRRSP_Tx_Table[[#This Row],[Year]],$W$4:$W272,"&gt;0"),"")</f>
        <v/>
      </c>
      <c r="Z272" s="10" t="str">
        <f>IF(S273&lt;&gt;eRRSP_Tx_Table[[#This Row],[Year]],SUMIFS($W$4:$W272,$S$4:$S272,eRRSP_Tx_Table[[#This Row],[Year]],$W$4:$W272,"&lt;0"),"")</f>
        <v/>
      </c>
      <c r="AA272" s="3">
        <f>(SUMIF($U$4:$U272,CONCATENATE("Buy",$C272),$N$4:$N272)+SUMIF($U$4:$U272,CONCATENATE("ReinvDiv",$C272),$N$4:$N272))</f>
        <v>-696.5</v>
      </c>
      <c r="AB272" s="3">
        <f>(SUMIF($U$4:$U272,CONCATENATE("Buy",$C272),$F$4:$F272)+SUMIF($U$4:$U272,CONCATENATE("ReinvDiv",$C272),$F$4:$F272)+SUMIF($U$4:$U272,CONCATENATE("StkSplit",$C272),$F$4:$F272)-SUMIF($U$4:$U272,CONCATENATE("Sell",$C272),$F$4:$F272))</f>
        <v>30</v>
      </c>
      <c r="AC272" s="3">
        <f>IF(B272="Sell",F272*INDEX(V:V,LOOKUP(2,1/(X$4:X271=CONCATENATE(C272,"_ACB")),ROW(V$4:V271))),0)</f>
        <v>0</v>
      </c>
    </row>
    <row r="273" spans="1:29" x14ac:dyDescent="0.25">
      <c r="A273" s="20">
        <v>38383</v>
      </c>
      <c r="B273" t="s">
        <v>42</v>
      </c>
      <c r="C273" t="s">
        <v>45</v>
      </c>
      <c r="D273" s="3">
        <v>7.2</v>
      </c>
      <c r="M273" s="21">
        <f t="shared" ref="M273:M338" si="40">ROUND(IF(OR(B273="Buy",B273="Sell"),E273*F273,D273),2)</f>
        <v>7.2</v>
      </c>
      <c r="N273" s="8">
        <f t="shared" si="37"/>
        <v>7.2</v>
      </c>
      <c r="O273" s="25">
        <f t="shared" si="38"/>
        <v>29253.590000000004</v>
      </c>
      <c r="P273" s="8">
        <f t="shared" ref="P273:P338" si="41">IF(OR($B273="Cash"),$N273,0)</f>
        <v>0</v>
      </c>
      <c r="Q273" s="4">
        <f>IF(AND(S273&gt;=[1]eRRSP_Rpt!$C$6,S273&lt;=[1]eRRSP_Rpt!$C$7),1,0)</f>
        <v>0</v>
      </c>
      <c r="R273" s="4"/>
      <c r="S273" s="4">
        <f t="shared" si="39"/>
        <v>2005</v>
      </c>
      <c r="T273" s="4"/>
      <c r="U273" s="4" t="str">
        <f t="shared" ref="U273:U338" si="42">CONCATENATE(B273,C273)</f>
        <v>DivTD Bank</v>
      </c>
      <c r="V273" s="23">
        <f>IFERROR(IF(AND(AB273&gt;0,B273&lt;&gt;"Sell"),(AA273-SUMIF(C$4:C272,C273,AC$4:AC273))/AB273,0),"")</f>
        <v>-44.29</v>
      </c>
      <c r="W273" s="24" t="str">
        <f t="shared" si="36"/>
        <v/>
      </c>
      <c r="X273" s="25" t="str">
        <f t="shared" si="35"/>
        <v>TD Bank_ACB</v>
      </c>
      <c r="Y273" s="10" t="str">
        <f>IF(S274&lt;&gt;eRRSP_Tx_Table[[#This Row],[Year]],SUMIFS($W$4:$W273,$S$4:$S273,eRRSP_Tx_Table[[#This Row],[Year]],$W$4:$W273,"&gt;0"),"")</f>
        <v/>
      </c>
      <c r="Z273" s="10" t="str">
        <f>IF(S274&lt;&gt;eRRSP_Tx_Table[[#This Row],[Year]],SUMIFS($W$4:$W273,$S$4:$S273,eRRSP_Tx_Table[[#This Row],[Year]],$W$4:$W273,"&lt;0"),"")</f>
        <v/>
      </c>
      <c r="AA273" s="3">
        <f>(SUMIF($U$4:$U273,CONCATENATE("Buy",$C273),$N$4:$N273)+SUMIF($U$4:$U273,CONCATENATE("ReinvDiv",$C273),$N$4:$N273))</f>
        <v>-885.8</v>
      </c>
      <c r="AB273" s="3">
        <f>(SUMIF($U$4:$U273,CONCATENATE("Buy",$C273),$F$4:$F273)+SUMIF($U$4:$U273,CONCATENATE("ReinvDiv",$C273),$F$4:$F273)+SUMIF($U$4:$U273,CONCATENATE("StkSplit",$C273),$F$4:$F273)-SUMIF($U$4:$U273,CONCATENATE("Sell",$C273),$F$4:$F273))</f>
        <v>20</v>
      </c>
      <c r="AC273" s="3">
        <f>IF(B273="Sell",F273*INDEX(V:V,LOOKUP(2,1/(X$4:X272=CONCATENATE(C273,"_ACB")),ROW(V$4:V272))),0)</f>
        <v>0</v>
      </c>
    </row>
    <row r="274" spans="1:29" x14ac:dyDescent="0.25">
      <c r="A274" s="20">
        <v>38398</v>
      </c>
      <c r="B274" t="s">
        <v>41</v>
      </c>
      <c r="C274" t="s">
        <v>39</v>
      </c>
      <c r="D274" s="3">
        <v>16.34</v>
      </c>
      <c r="E274">
        <v>10.966443</v>
      </c>
      <c r="F274" s="3">
        <v>1.49</v>
      </c>
      <c r="M274" s="21">
        <f t="shared" si="40"/>
        <v>16.34</v>
      </c>
      <c r="N274" s="8">
        <f t="shared" si="37"/>
        <v>-16.34</v>
      </c>
      <c r="O274" s="25">
        <f t="shared" si="38"/>
        <v>29253.590000000004</v>
      </c>
      <c r="P274" s="8">
        <f t="shared" si="41"/>
        <v>0</v>
      </c>
      <c r="Q274" s="4">
        <f>IF(AND(S274&gt;=[1]eRRSP_Rpt!$C$6,S274&lt;=[1]eRRSP_Rpt!$C$7),1,0)</f>
        <v>0</v>
      </c>
      <c r="R274" s="4"/>
      <c r="S274" s="4">
        <f t="shared" si="39"/>
        <v>2005</v>
      </c>
      <c r="T274" s="4"/>
      <c r="U274" s="4" t="str">
        <f t="shared" si="42"/>
        <v>ReinvDivTrimark Income Growth</v>
      </c>
      <c r="V274" s="23">
        <f>IFERROR(IF(AND(AB274&gt;0,B274&lt;&gt;"Sell"),(AA274-SUMIF(C$4:C273,C274,AC$4:AC274))/AB274,0),"")</f>
        <v>-7.9936786504806792</v>
      </c>
      <c r="W274" s="24" t="str">
        <f t="shared" si="36"/>
        <v/>
      </c>
      <c r="X274" s="25" t="str">
        <f t="shared" si="35"/>
        <v>Trimark Income Growth_ACB</v>
      </c>
      <c r="Y274" s="10" t="str">
        <f>IF(S275&lt;&gt;eRRSP_Tx_Table[[#This Row],[Year]],SUMIFS($W$4:$W274,$S$4:$S274,eRRSP_Tx_Table[[#This Row],[Year]],$W$4:$W274,"&gt;0"),"")</f>
        <v/>
      </c>
      <c r="Z274" s="10" t="str">
        <f>IF(S275&lt;&gt;eRRSP_Tx_Table[[#This Row],[Year]],SUMIFS($W$4:$W274,$S$4:$S274,eRRSP_Tx_Table[[#This Row],[Year]],$W$4:$W274,"&lt;0"),"")</f>
        <v/>
      </c>
      <c r="AA274" s="3">
        <f>(SUMIF($U$4:$U274,CONCATENATE("Buy",$C274),$N$4:$N274)+SUMIF($U$4:$U274,CONCATENATE("ReinvDiv",$C274),$N$4:$N274))</f>
        <v>-2430.4699999999998</v>
      </c>
      <c r="AB274" s="3">
        <f>(SUMIF($U$4:$U274,CONCATENATE("Buy",$C274),$F$4:$F274)+SUMIF($U$4:$U274,CONCATENATE("ReinvDiv",$C274),$F$4:$F274)+SUMIF($U$4:$U274,CONCATENATE("StkSplit",$C274),$F$4:$F274)-SUMIF($U$4:$U274,CONCATENATE("Sell",$C274),$F$4:$F274))</f>
        <v>304.04899999999998</v>
      </c>
      <c r="AC274" s="3">
        <f>IF(B274="Sell",F274*INDEX(V:V,LOOKUP(2,1/(X$4:X273=CONCATENATE(C274,"_ACB")),ROW(V$4:V273))),0)</f>
        <v>0</v>
      </c>
    </row>
    <row r="275" spans="1:29" x14ac:dyDescent="0.25">
      <c r="A275" s="20">
        <v>38399</v>
      </c>
      <c r="B275" t="s">
        <v>43</v>
      </c>
      <c r="C275" t="s">
        <v>36</v>
      </c>
      <c r="D275" s="3">
        <v>6.26</v>
      </c>
      <c r="M275" s="21">
        <f t="shared" si="40"/>
        <v>6.26</v>
      </c>
      <c r="N275" s="8">
        <f t="shared" si="37"/>
        <v>6.26</v>
      </c>
      <c r="O275" s="25">
        <f t="shared" si="38"/>
        <v>29259.850000000002</v>
      </c>
      <c r="P275" s="8">
        <f t="shared" si="41"/>
        <v>0</v>
      </c>
      <c r="Q275" s="4">
        <f>IF(AND(S275&gt;=[1]eRRSP_Rpt!$C$6,S275&lt;=[1]eRRSP_Rpt!$C$7),1,0)</f>
        <v>0</v>
      </c>
      <c r="R275" s="4"/>
      <c r="S275" s="4">
        <f t="shared" si="39"/>
        <v>2005</v>
      </c>
      <c r="T275" s="4"/>
      <c r="U275" s="4" t="str">
        <f t="shared" si="42"/>
        <v>IntIncTDW</v>
      </c>
      <c r="V275" s="23">
        <f>IFERROR(IF(AND(AB275&gt;0,B275&lt;&gt;"Sell"),(AA275-SUMIF(C$4:C274,C275,AC$4:AC275))/AB275,0),"")</f>
        <v>0</v>
      </c>
      <c r="W275" s="24" t="str">
        <f t="shared" si="36"/>
        <v/>
      </c>
      <c r="X275" s="25" t="str">
        <f t="shared" si="35"/>
        <v/>
      </c>
      <c r="Y275" s="10" t="str">
        <f>IF(S276&lt;&gt;eRRSP_Tx_Table[[#This Row],[Year]],SUMIFS($W$4:$W275,$S$4:$S275,eRRSP_Tx_Table[[#This Row],[Year]],$W$4:$W275,"&gt;0"),"")</f>
        <v/>
      </c>
      <c r="Z275" s="10" t="str">
        <f>IF(S276&lt;&gt;eRRSP_Tx_Table[[#This Row],[Year]],SUMIFS($W$4:$W275,$S$4:$S275,eRRSP_Tx_Table[[#This Row],[Year]],$W$4:$W275,"&lt;0"),"")</f>
        <v/>
      </c>
      <c r="AA275" s="3">
        <f>(SUMIF($U$4:$U275,CONCATENATE("Buy",$C275),$N$4:$N275)+SUMIF($U$4:$U275,CONCATENATE("ReinvDiv",$C275),$N$4:$N275))</f>
        <v>0</v>
      </c>
      <c r="AB275" s="3">
        <f>(SUMIF($U$4:$U275,CONCATENATE("Buy",$C275),$F$4:$F275)+SUMIF($U$4:$U275,CONCATENATE("ReinvDiv",$C275),$F$4:$F275)+SUMIF($U$4:$U275,CONCATENATE("StkSplit",$C275),$F$4:$F275)-SUMIF($U$4:$U275,CONCATENATE("Sell",$C275),$F$4:$F275))</f>
        <v>0</v>
      </c>
      <c r="AC275" s="3">
        <f>IF(B275="Sell",F275*INDEX(V:V,LOOKUP(2,1/(X$4:X274=CONCATENATE(C275,"_ACB")),ROW(V$4:V274))),0)</f>
        <v>0</v>
      </c>
    </row>
    <row r="276" spans="1:29" x14ac:dyDescent="0.25">
      <c r="A276" s="20">
        <v>38405</v>
      </c>
      <c r="B276" t="s">
        <v>40</v>
      </c>
      <c r="C276" t="s">
        <v>63</v>
      </c>
      <c r="D276" s="3">
        <v>1711.39</v>
      </c>
      <c r="E276">
        <v>11.82</v>
      </c>
      <c r="F276" s="3">
        <v>144.78800000000001</v>
      </c>
      <c r="M276" s="21">
        <f t="shared" si="40"/>
        <v>1711.39</v>
      </c>
      <c r="N276" s="8">
        <f t="shared" si="37"/>
        <v>1711.39</v>
      </c>
      <c r="O276" s="25">
        <f t="shared" si="38"/>
        <v>30971.24</v>
      </c>
      <c r="P276" s="8">
        <f t="shared" si="41"/>
        <v>0</v>
      </c>
      <c r="Q276" s="4">
        <f>IF(AND(S276&gt;=[1]eRRSP_Rpt!$C$6,S276&lt;=[1]eRRSP_Rpt!$C$7),1,0)</f>
        <v>0</v>
      </c>
      <c r="R276" s="4"/>
      <c r="S276" s="4">
        <f t="shared" si="39"/>
        <v>2005</v>
      </c>
      <c r="T276" s="4"/>
      <c r="U276" s="4" t="str">
        <f t="shared" si="42"/>
        <v>SellTalvest China Plus</v>
      </c>
      <c r="V276" s="23">
        <f>IFERROR(IF(AND(AB276&gt;0,B276&lt;&gt;"Sell"),(AA276-SUMIF(C$4:C275,C276,AC$4:AC276))/AB276,0),"")</f>
        <v>0</v>
      </c>
      <c r="W276" s="24">
        <f t="shared" si="36"/>
        <v>211.38999999999987</v>
      </c>
      <c r="X276" s="25" t="str">
        <f t="shared" si="35"/>
        <v/>
      </c>
      <c r="Y276" s="10" t="str">
        <f>IF(S277&lt;&gt;eRRSP_Tx_Table[[#This Row],[Year]],SUMIFS($W$4:$W276,$S$4:$S276,eRRSP_Tx_Table[[#This Row],[Year]],$W$4:$W276,"&gt;0"),"")</f>
        <v/>
      </c>
      <c r="Z276" s="10" t="str">
        <f>IF(S277&lt;&gt;eRRSP_Tx_Table[[#This Row],[Year]],SUMIFS($W$4:$W276,$S$4:$S276,eRRSP_Tx_Table[[#This Row],[Year]],$W$4:$W276,"&lt;0"),"")</f>
        <v/>
      </c>
      <c r="AA276" s="3">
        <f>(SUMIF($U$4:$U276,CONCATENATE("Buy",$C276),$N$4:$N276)+SUMIF($U$4:$U276,CONCATENATE("ReinvDiv",$C276),$N$4:$N276))</f>
        <v>-1500</v>
      </c>
      <c r="AB276" s="3">
        <f>(SUMIF($U$4:$U276,CONCATENATE("Buy",$C276),$F$4:$F276)+SUMIF($U$4:$U276,CONCATENATE("ReinvDiv",$C276),$F$4:$F276)+SUMIF($U$4:$U276,CONCATENATE("StkSplit",$C276),$F$4:$F276)-SUMIF($U$4:$U276,CONCATENATE("Sell",$C276),$F$4:$F276))</f>
        <v>0</v>
      </c>
      <c r="AC276" s="3">
        <f>IF(B276="Sell",F276*INDEX(V:V,LOOKUP(2,1/(X$4:X275=CONCATENATE(C276,"_ACB")),ROW(V$4:V275))),0)</f>
        <v>-1500.0000000000002</v>
      </c>
    </row>
    <row r="277" spans="1:29" x14ac:dyDescent="0.25">
      <c r="A277" s="20">
        <v>38405</v>
      </c>
      <c r="B277" t="s">
        <v>40</v>
      </c>
      <c r="C277" t="s">
        <v>59</v>
      </c>
      <c r="D277" s="3">
        <v>5704.08</v>
      </c>
      <c r="E277">
        <v>22.569977999999999</v>
      </c>
      <c r="F277" s="3">
        <v>254.22399999999999</v>
      </c>
      <c r="G277">
        <v>33.75</v>
      </c>
      <c r="M277" s="21">
        <f t="shared" si="40"/>
        <v>5737.83</v>
      </c>
      <c r="N277" s="8">
        <f t="shared" si="37"/>
        <v>5704.08</v>
      </c>
      <c r="O277" s="25">
        <f t="shared" si="38"/>
        <v>36675.32</v>
      </c>
      <c r="P277" s="8">
        <f t="shared" si="41"/>
        <v>0</v>
      </c>
      <c r="Q277" s="4">
        <f>IF(AND(S277&gt;=[1]eRRSP_Rpt!$C$6,S277&lt;=[1]eRRSP_Rpt!$C$7),1,0)</f>
        <v>0</v>
      </c>
      <c r="R277" s="4"/>
      <c r="S277" s="4">
        <f t="shared" si="39"/>
        <v>2005</v>
      </c>
      <c r="T277" s="4"/>
      <c r="U277" s="4" t="str">
        <f t="shared" si="42"/>
        <v>SellSaxon SmallCap</v>
      </c>
      <c r="V277" s="23">
        <f>IFERROR(IF(AND(AB277&gt;0,B277&lt;&gt;"Sell"),(AA277-SUMIF(C$4:C276,C277,AC$4:AC277))/AB277,0),"")</f>
        <v>0</v>
      </c>
      <c r="W277" s="24">
        <f t="shared" si="36"/>
        <v>1278.2484989104651</v>
      </c>
      <c r="X277" s="25" t="str">
        <f t="shared" si="35"/>
        <v/>
      </c>
      <c r="Y277" s="10" t="str">
        <f>IF(S278&lt;&gt;eRRSP_Tx_Table[[#This Row],[Year]],SUMIFS($W$4:$W277,$S$4:$S277,eRRSP_Tx_Table[[#This Row],[Year]],$W$4:$W277,"&gt;0"),"")</f>
        <v/>
      </c>
      <c r="Z277" s="10" t="str">
        <f>IF(S278&lt;&gt;eRRSP_Tx_Table[[#This Row],[Year]],SUMIFS($W$4:$W277,$S$4:$S277,eRRSP_Tx_Table[[#This Row],[Year]],$W$4:$W277,"&lt;0"),"")</f>
        <v/>
      </c>
      <c r="AA277" s="3">
        <f>(SUMIF($U$4:$U277,CONCATENATE("Buy",$C277),$N$4:$N277)+SUMIF($U$4:$U277,CONCATENATE("ReinvDiv",$C277),$N$4:$N277))</f>
        <v>-6538.44</v>
      </c>
      <c r="AB277" s="3">
        <f>(SUMIF($U$4:$U277,CONCATENATE("Buy",$C277),$F$4:$F277)+SUMIF($U$4:$U277,CONCATENATE("ReinvDiv",$C277),$F$4:$F277)+SUMIF($U$4:$U277,CONCATENATE("StkSplit",$C277),$F$4:$F277)-SUMIF($U$4:$U277,CONCATENATE("Sell",$C277),$F$4:$F277))</f>
        <v>0</v>
      </c>
      <c r="AC277" s="3">
        <f>IF(B277="Sell",F277*INDEX(V:V,LOOKUP(2,1/(X$4:X276=CONCATENATE(C277,"_ACB")),ROW(V$4:V276))),0)</f>
        <v>-4425.8315010895349</v>
      </c>
    </row>
    <row r="278" spans="1:29" x14ac:dyDescent="0.25">
      <c r="A278" s="20">
        <v>38411</v>
      </c>
      <c r="B278" t="s">
        <v>40</v>
      </c>
      <c r="C278" t="s">
        <v>66</v>
      </c>
      <c r="D278" s="3">
        <v>3504.72</v>
      </c>
      <c r="E278">
        <v>12.774817000000001</v>
      </c>
      <c r="F278" s="3">
        <v>274.346</v>
      </c>
      <c r="M278" s="21">
        <f t="shared" si="40"/>
        <v>3504.72</v>
      </c>
      <c r="N278" s="8">
        <f t="shared" si="37"/>
        <v>3504.72</v>
      </c>
      <c r="O278" s="25">
        <f t="shared" si="38"/>
        <v>40180.04</v>
      </c>
      <c r="P278" s="8">
        <f t="shared" si="41"/>
        <v>0</v>
      </c>
      <c r="Q278" s="4">
        <f>IF(AND(S278&gt;=[1]eRRSP_Rpt!$C$6,S278&lt;=[1]eRRSP_Rpt!$C$7),1,0)</f>
        <v>0</v>
      </c>
      <c r="R278" s="4"/>
      <c r="S278" s="4">
        <f t="shared" si="39"/>
        <v>2005</v>
      </c>
      <c r="T278" s="4"/>
      <c r="U278" s="4" t="str">
        <f t="shared" si="42"/>
        <v>SellBrandes Int Equity</v>
      </c>
      <c r="V278" s="23">
        <f>IFERROR(IF(AND(AB278&gt;0,B278&lt;&gt;"Sell"),(AA278-SUMIF(C$4:C277,C278,AC$4:AC278))/AB278,0),"")</f>
        <v>0</v>
      </c>
      <c r="W278" s="24">
        <f t="shared" si="36"/>
        <v>504.7199999999998</v>
      </c>
      <c r="X278" s="25" t="str">
        <f t="shared" si="35"/>
        <v/>
      </c>
      <c r="Y278" s="10" t="str">
        <f>IF(S279&lt;&gt;eRRSP_Tx_Table[[#This Row],[Year]],SUMIFS($W$4:$W278,$S$4:$S278,eRRSP_Tx_Table[[#This Row],[Year]],$W$4:$W278,"&gt;0"),"")</f>
        <v/>
      </c>
      <c r="Z278" s="10" t="str">
        <f>IF(S279&lt;&gt;eRRSP_Tx_Table[[#This Row],[Year]],SUMIFS($W$4:$W278,$S$4:$S278,eRRSP_Tx_Table[[#This Row],[Year]],$W$4:$W278,"&lt;0"),"")</f>
        <v/>
      </c>
      <c r="AA278" s="3">
        <f>(SUMIF($U$4:$U278,CONCATENATE("Buy",$C278),$N$4:$N278)+SUMIF($U$4:$U278,CONCATENATE("ReinvDiv",$C278),$N$4:$N278))</f>
        <v>-3000</v>
      </c>
      <c r="AB278" s="3">
        <f>(SUMIF($U$4:$U278,CONCATENATE("Buy",$C278),$F$4:$F278)+SUMIF($U$4:$U278,CONCATENATE("ReinvDiv",$C278),$F$4:$F278)+SUMIF($U$4:$U278,CONCATENATE("StkSplit",$C278),$F$4:$F278)-SUMIF($U$4:$U278,CONCATENATE("Sell",$C278),$F$4:$F278))</f>
        <v>0</v>
      </c>
      <c r="AC278" s="3">
        <f>IF(B278="Sell",F278*INDEX(V:V,LOOKUP(2,1/(X$4:X277=CONCATENATE(C278,"_ACB")),ROW(V$4:V277))),0)</f>
        <v>-3000</v>
      </c>
    </row>
    <row r="279" spans="1:29" x14ac:dyDescent="0.25">
      <c r="A279" s="20">
        <v>38411</v>
      </c>
      <c r="B279" t="s">
        <v>32</v>
      </c>
      <c r="C279" t="s">
        <v>71</v>
      </c>
      <c r="D279" s="3">
        <v>8200</v>
      </c>
      <c r="E279">
        <v>4.6919880000000003</v>
      </c>
      <c r="F279" s="3">
        <v>1747.66</v>
      </c>
      <c r="M279" s="21">
        <f t="shared" si="40"/>
        <v>8200</v>
      </c>
      <c r="N279" s="8">
        <f t="shared" si="37"/>
        <v>-8200</v>
      </c>
      <c r="O279" s="25">
        <f t="shared" si="38"/>
        <v>31980.04</v>
      </c>
      <c r="P279" s="8">
        <f t="shared" si="41"/>
        <v>0</v>
      </c>
      <c r="Q279" s="4">
        <f>IF(AND(S279&gt;=[1]eRRSP_Rpt!$C$6,S279&lt;=[1]eRRSP_Rpt!$C$7),1,0)</f>
        <v>0</v>
      </c>
      <c r="R279" s="4"/>
      <c r="S279" s="4">
        <f t="shared" si="39"/>
        <v>2005</v>
      </c>
      <c r="T279" s="4"/>
      <c r="U279" s="4" t="str">
        <f t="shared" si="42"/>
        <v>BuyFront St SmallCap</v>
      </c>
      <c r="V279" s="23">
        <f>IFERROR(IF(AND(AB279&gt;0,B279&lt;&gt;"Sell"),(AA279-SUMIF(C$4:C278,C279,AC$4:AC279))/AB279,0),"")</f>
        <v>-4.6919881441470306</v>
      </c>
      <c r="W279" s="24" t="str">
        <f t="shared" si="36"/>
        <v/>
      </c>
      <c r="X279" s="25" t="str">
        <f t="shared" si="35"/>
        <v>Front St SmallCap_ACB</v>
      </c>
      <c r="Y279" s="10" t="str">
        <f>IF(S280&lt;&gt;eRRSP_Tx_Table[[#This Row],[Year]],SUMIFS($W$4:$W279,$S$4:$S279,eRRSP_Tx_Table[[#This Row],[Year]],$W$4:$W279,"&gt;0"),"")</f>
        <v/>
      </c>
      <c r="Z279" s="10" t="str">
        <f>IF(S280&lt;&gt;eRRSP_Tx_Table[[#This Row],[Year]],SUMIFS($W$4:$W279,$S$4:$S279,eRRSP_Tx_Table[[#This Row],[Year]],$W$4:$W279,"&lt;0"),"")</f>
        <v/>
      </c>
      <c r="AA279" s="3">
        <f>(SUMIF($U$4:$U279,CONCATENATE("Buy",$C279),$N$4:$N279)+SUMIF($U$4:$U279,CONCATENATE("ReinvDiv",$C279),$N$4:$N279))</f>
        <v>-8200</v>
      </c>
      <c r="AB279" s="3">
        <f>(SUMIF($U$4:$U279,CONCATENATE("Buy",$C279),$F$4:$F279)+SUMIF($U$4:$U279,CONCATENATE("ReinvDiv",$C279),$F$4:$F279)+SUMIF($U$4:$U279,CONCATENATE("StkSplit",$C279),$F$4:$F279)-SUMIF($U$4:$U279,CONCATENATE("Sell",$C279),$F$4:$F279))</f>
        <v>1747.66</v>
      </c>
      <c r="AC279" s="3">
        <f>IF(B279="Sell",F279*INDEX(V:V,LOOKUP(2,1/(X$4:X278=CONCATENATE(C279,"_ACB")),ROW(V$4:V278))),0)</f>
        <v>0</v>
      </c>
    </row>
    <row r="280" spans="1:29" x14ac:dyDescent="0.25">
      <c r="A280" s="20">
        <v>38411</v>
      </c>
      <c r="B280" t="s">
        <v>32</v>
      </c>
      <c r="C280" t="s">
        <v>62</v>
      </c>
      <c r="D280" s="3">
        <v>6300</v>
      </c>
      <c r="E280">
        <v>15.03</v>
      </c>
      <c r="F280" s="3">
        <v>419.16199999999998</v>
      </c>
      <c r="M280" s="21">
        <f t="shared" si="40"/>
        <v>6300</v>
      </c>
      <c r="N280" s="8">
        <f t="shared" si="37"/>
        <v>-6300</v>
      </c>
      <c r="O280" s="25">
        <f t="shared" si="38"/>
        <v>25680.04</v>
      </c>
      <c r="P280" s="8">
        <f t="shared" si="41"/>
        <v>0</v>
      </c>
      <c r="Q280" s="4">
        <f>IF(AND(S280&gt;=[1]eRRSP_Rpt!$C$6,S280&lt;=[1]eRRSP_Rpt!$C$7),1,0)</f>
        <v>0</v>
      </c>
      <c r="R280" s="4"/>
      <c r="S280" s="4">
        <f t="shared" si="39"/>
        <v>2005</v>
      </c>
      <c r="T280" s="4"/>
      <c r="U280" s="4" t="str">
        <f t="shared" si="42"/>
        <v>BuyTD RR Bond</v>
      </c>
      <c r="V280" s="23">
        <f>IFERROR(IF(AND(AB280&gt;0,B280&lt;&gt;"Sell"),(AA280-SUMIF(C$4:C279,C280,AC$4:AC280))/AB280,0),"")</f>
        <v>-14.426761712543479</v>
      </c>
      <c r="W280" s="24" t="str">
        <f t="shared" si="36"/>
        <v/>
      </c>
      <c r="X280" s="25" t="str">
        <f t="shared" si="35"/>
        <v>TD RR Bond_ACB</v>
      </c>
      <c r="Y280" s="10" t="str">
        <f>IF(S281&lt;&gt;eRRSP_Tx_Table[[#This Row],[Year]],SUMIFS($W$4:$W280,$S$4:$S280,eRRSP_Tx_Table[[#This Row],[Year]],$W$4:$W280,"&gt;0"),"")</f>
        <v/>
      </c>
      <c r="Z280" s="10" t="str">
        <f>IF(S281&lt;&gt;eRRSP_Tx_Table[[#This Row],[Year]],SUMIFS($W$4:$W280,$S$4:$S280,eRRSP_Tx_Table[[#This Row],[Year]],$W$4:$W280,"&lt;0"),"")</f>
        <v/>
      </c>
      <c r="AA280" s="3">
        <f>(SUMIF($U$4:$U280,CONCATENATE("Buy",$C280),$N$4:$N280)+SUMIF($U$4:$U280,CONCATENATE("ReinvDiv",$C280),$N$4:$N280))</f>
        <v>-8398.9</v>
      </c>
      <c r="AB280" s="3">
        <f>(SUMIF($U$4:$U280,CONCATENATE("Buy",$C280),$F$4:$F280)+SUMIF($U$4:$U280,CONCATENATE("ReinvDiv",$C280),$F$4:$F280)+SUMIF($U$4:$U280,CONCATENATE("StkSplit",$C280),$F$4:$F280)-SUMIF($U$4:$U280,CONCATENATE("Sell",$C280),$F$4:$F280))</f>
        <v>582.17499999999995</v>
      </c>
      <c r="AC280" s="3">
        <f>IF(B280="Sell",F280*INDEX(V:V,LOOKUP(2,1/(X$4:X279=CONCATENATE(C280,"_ACB")),ROW(V$4:V279))),0)</f>
        <v>0</v>
      </c>
    </row>
    <row r="281" spans="1:29" x14ac:dyDescent="0.25">
      <c r="A281" s="20">
        <v>38412</v>
      </c>
      <c r="B281" t="s">
        <v>42</v>
      </c>
      <c r="C281" t="s">
        <v>33</v>
      </c>
      <c r="D281" s="3">
        <v>28.5</v>
      </c>
      <c r="M281" s="21">
        <f t="shared" si="40"/>
        <v>28.5</v>
      </c>
      <c r="N281" s="8">
        <f t="shared" si="37"/>
        <v>28.5</v>
      </c>
      <c r="O281" s="25">
        <f t="shared" si="38"/>
        <v>25708.54</v>
      </c>
      <c r="P281" s="8">
        <f t="shared" si="41"/>
        <v>0</v>
      </c>
      <c r="Q281" s="4">
        <f>IF(AND(S281&gt;=[1]eRRSP_Rpt!$C$6,S281&lt;=[1]eRRSP_Rpt!$C$7),1,0)</f>
        <v>0</v>
      </c>
      <c r="R281" s="4"/>
      <c r="S281" s="4">
        <f t="shared" si="39"/>
        <v>2005</v>
      </c>
      <c r="T281" s="4"/>
      <c r="U281" s="4" t="str">
        <f t="shared" si="42"/>
        <v>DivEnbridge</v>
      </c>
      <c r="V281" s="23">
        <f>IFERROR(IF(AND(AB281&gt;0,B281&lt;&gt;"Sell"),(AA281-SUMIF(C$4:C280,C281,AC$4:AC281))/AB281,0),"")</f>
        <v>-25.718055555555559</v>
      </c>
      <c r="W281" s="24" t="str">
        <f t="shared" si="36"/>
        <v/>
      </c>
      <c r="X281" s="25" t="str">
        <f t="shared" si="35"/>
        <v>Enbridge_ACB</v>
      </c>
      <c r="Y281" s="10" t="str">
        <f>IF(S282&lt;&gt;eRRSP_Tx_Table[[#This Row],[Year]],SUMIFS($W$4:$W281,$S$4:$S281,eRRSP_Tx_Table[[#This Row],[Year]],$W$4:$W281,"&gt;0"),"")</f>
        <v/>
      </c>
      <c r="Z281" s="10" t="str">
        <f>IF(S282&lt;&gt;eRRSP_Tx_Table[[#This Row],[Year]],SUMIFS($W$4:$W281,$S$4:$S281,eRRSP_Tx_Table[[#This Row],[Year]],$W$4:$W281,"&lt;0"),"")</f>
        <v/>
      </c>
      <c r="AA281" s="3">
        <f>(SUMIF($U$4:$U281,CONCATENATE("Buy",$C281),$N$4:$N281)+SUMIF($U$4:$U281,CONCATENATE("ReinvDiv",$C281),$N$4:$N281))</f>
        <v>-1851.7</v>
      </c>
      <c r="AB281" s="3">
        <f>(SUMIF($U$4:$U281,CONCATENATE("Buy",$C281),$F$4:$F281)+SUMIF($U$4:$U281,CONCATENATE("ReinvDiv",$C281),$F$4:$F281)+SUMIF($U$4:$U281,CONCATENATE("StkSplit",$C281),$F$4:$F281)-SUMIF($U$4:$U281,CONCATENATE("Sell",$C281),$F$4:$F281))</f>
        <v>57</v>
      </c>
      <c r="AC281" s="3">
        <f>IF(B281="Sell",F281*INDEX(V:V,LOOKUP(2,1/(X$4:X280=CONCATENATE(C281,"_ACB")),ROW(V$4:V280))),0)</f>
        <v>0</v>
      </c>
    </row>
    <row r="282" spans="1:29" x14ac:dyDescent="0.25">
      <c r="A282" s="20">
        <v>38413</v>
      </c>
      <c r="B282" t="s">
        <v>32</v>
      </c>
      <c r="C282" t="s">
        <v>72</v>
      </c>
      <c r="D282" s="3">
        <v>5789</v>
      </c>
      <c r="E282">
        <v>28.8</v>
      </c>
      <c r="F282" s="3">
        <v>200</v>
      </c>
      <c r="G282">
        <v>29</v>
      </c>
      <c r="M282" s="21">
        <f t="shared" si="40"/>
        <v>5760</v>
      </c>
      <c r="N282" s="8">
        <f t="shared" si="37"/>
        <v>-5789</v>
      </c>
      <c r="O282" s="25">
        <f t="shared" si="38"/>
        <v>19919.54</v>
      </c>
      <c r="P282" s="8">
        <f t="shared" si="41"/>
        <v>0</v>
      </c>
      <c r="Q282" s="4">
        <f>IF(AND(S282&gt;=[1]eRRSP_Rpt!$C$6,S282&lt;=[1]eRRSP_Rpt!$C$7),1,0)</f>
        <v>0</v>
      </c>
      <c r="R282" s="4"/>
      <c r="S282" s="4">
        <f t="shared" si="39"/>
        <v>2005</v>
      </c>
      <c r="T282" s="4"/>
      <c r="U282" s="4" t="str">
        <f t="shared" si="42"/>
        <v>BuyIunits GOC 5Yr Bond</v>
      </c>
      <c r="V282" s="23">
        <f>IFERROR(IF(AND(AB282&gt;0,B282&lt;&gt;"Sell"),(AA282-SUMIF(C$4:C281,C282,AC$4:AC282))/AB282,0),"")</f>
        <v>-28.945</v>
      </c>
      <c r="W282" s="24" t="str">
        <f t="shared" si="36"/>
        <v/>
      </c>
      <c r="X282" s="25" t="str">
        <f t="shared" si="35"/>
        <v>Iunits GOC 5Yr Bond_ACB</v>
      </c>
      <c r="Y282" s="10" t="str">
        <f>IF(S283&lt;&gt;eRRSP_Tx_Table[[#This Row],[Year]],SUMIFS($W$4:$W282,$S$4:$S282,eRRSP_Tx_Table[[#This Row],[Year]],$W$4:$W282,"&gt;0"),"")</f>
        <v/>
      </c>
      <c r="Z282" s="10" t="str">
        <f>IF(S283&lt;&gt;eRRSP_Tx_Table[[#This Row],[Year]],SUMIFS($W$4:$W282,$S$4:$S282,eRRSP_Tx_Table[[#This Row],[Year]],$W$4:$W282,"&lt;0"),"")</f>
        <v/>
      </c>
      <c r="AA282" s="3">
        <f>(SUMIF($U$4:$U282,CONCATENATE("Buy",$C282),$N$4:$N282)+SUMIF($U$4:$U282,CONCATENATE("ReinvDiv",$C282),$N$4:$N282))</f>
        <v>-5789</v>
      </c>
      <c r="AB282" s="3">
        <f>(SUMIF($U$4:$U282,CONCATENATE("Buy",$C282),$F$4:$F282)+SUMIF($U$4:$U282,CONCATENATE("ReinvDiv",$C282),$F$4:$F282)+SUMIF($U$4:$U282,CONCATENATE("StkSplit",$C282),$F$4:$F282)-SUMIF($U$4:$U282,CONCATENATE("Sell",$C282),$F$4:$F282))</f>
        <v>200</v>
      </c>
      <c r="AC282" s="3">
        <f>IF(B282="Sell",F282*INDEX(V:V,LOOKUP(2,1/(X$4:X281=CONCATENATE(C282,"_ACB")),ROW(V$4:V281))),0)</f>
        <v>0</v>
      </c>
    </row>
    <row r="283" spans="1:29" x14ac:dyDescent="0.25">
      <c r="A283" s="20">
        <v>38413</v>
      </c>
      <c r="B283" t="s">
        <v>32</v>
      </c>
      <c r="C283" t="s">
        <v>73</v>
      </c>
      <c r="D283" s="3">
        <v>2000</v>
      </c>
      <c r="E283">
        <v>5.37</v>
      </c>
      <c r="F283" s="3">
        <v>372.44</v>
      </c>
      <c r="M283" s="21">
        <f t="shared" si="40"/>
        <v>2000</v>
      </c>
      <c r="N283" s="8">
        <f t="shared" si="37"/>
        <v>-2000</v>
      </c>
      <c r="O283" s="25">
        <f t="shared" si="38"/>
        <v>17919.54</v>
      </c>
      <c r="P283" s="8">
        <f t="shared" si="41"/>
        <v>0</v>
      </c>
      <c r="Q283" s="4">
        <f>IF(AND(S283&gt;=[1]eRRSP_Rpt!$C$6,S283&lt;=[1]eRRSP_Rpt!$C$7),1,0)</f>
        <v>0</v>
      </c>
      <c r="R283" s="4"/>
      <c r="S283" s="4">
        <f t="shared" si="39"/>
        <v>2005</v>
      </c>
      <c r="T283" s="4"/>
      <c r="U283" s="4" t="str">
        <f t="shared" si="42"/>
        <v>BuyMutual Beacon RSP</v>
      </c>
      <c r="V283" s="23">
        <f>IFERROR(IF(AND(AB283&gt;0,B283&lt;&gt;"Sell"),(AA283-SUMIF(C$4:C282,C283,AC$4:AC283))/AB283,0),"")</f>
        <v>-5.3699924820105256</v>
      </c>
      <c r="W283" s="24" t="str">
        <f t="shared" si="36"/>
        <v/>
      </c>
      <c r="X283" s="25" t="str">
        <f t="shared" si="35"/>
        <v>Mutual Beacon RSP_ACB</v>
      </c>
      <c r="Y283" s="10" t="str">
        <f>IF(S284&lt;&gt;eRRSP_Tx_Table[[#This Row],[Year]],SUMIFS($W$4:$W283,$S$4:$S283,eRRSP_Tx_Table[[#This Row],[Year]],$W$4:$W283,"&gt;0"),"")</f>
        <v/>
      </c>
      <c r="Z283" s="10" t="str">
        <f>IF(S284&lt;&gt;eRRSP_Tx_Table[[#This Row],[Year]],SUMIFS($W$4:$W283,$S$4:$S283,eRRSP_Tx_Table[[#This Row],[Year]],$W$4:$W283,"&lt;0"),"")</f>
        <v/>
      </c>
      <c r="AA283" s="3">
        <f>(SUMIF($U$4:$U283,CONCATENATE("Buy",$C283),$N$4:$N283)+SUMIF($U$4:$U283,CONCATENATE("ReinvDiv",$C283),$N$4:$N283))</f>
        <v>-2000</v>
      </c>
      <c r="AB283" s="3">
        <f>(SUMIF($U$4:$U283,CONCATENATE("Buy",$C283),$F$4:$F283)+SUMIF($U$4:$U283,CONCATENATE("ReinvDiv",$C283),$F$4:$F283)+SUMIF($U$4:$U283,CONCATENATE("StkSplit",$C283),$F$4:$F283)-SUMIF($U$4:$U283,CONCATENATE("Sell",$C283),$F$4:$F283))</f>
        <v>372.44</v>
      </c>
      <c r="AC283" s="3">
        <f>IF(B283="Sell",F283*INDEX(V:V,LOOKUP(2,1/(X$4:X282=CONCATENATE(C283,"_ACB")),ROW(V$4:V282))),0)</f>
        <v>0</v>
      </c>
    </row>
    <row r="284" spans="1:29" x14ac:dyDescent="0.25">
      <c r="A284" s="20">
        <v>38413</v>
      </c>
      <c r="B284" t="s">
        <v>32</v>
      </c>
      <c r="C284" t="s">
        <v>74</v>
      </c>
      <c r="D284" s="3">
        <v>2000</v>
      </c>
      <c r="E284">
        <v>8.548</v>
      </c>
      <c r="F284" s="3">
        <v>233.97300000000001</v>
      </c>
      <c r="M284" s="21">
        <f t="shared" si="40"/>
        <v>2000</v>
      </c>
      <c r="N284" s="8">
        <f t="shared" si="37"/>
        <v>-2000</v>
      </c>
      <c r="O284" s="25">
        <f t="shared" si="38"/>
        <v>15919.54</v>
      </c>
      <c r="P284" s="8">
        <f t="shared" si="41"/>
        <v>0</v>
      </c>
      <c r="Q284" s="4">
        <f>IF(AND(S284&gt;=[1]eRRSP_Rpt!$C$6,S284&lt;=[1]eRRSP_Rpt!$C$7),1,0)</f>
        <v>0</v>
      </c>
      <c r="R284" s="4"/>
      <c r="S284" s="4">
        <f t="shared" si="39"/>
        <v>2005</v>
      </c>
      <c r="T284" s="4"/>
      <c r="U284" s="4" t="str">
        <f t="shared" si="42"/>
        <v>BuyTrimark Euro Plus</v>
      </c>
      <c r="V284" s="23">
        <f>IFERROR(IF(AND(AB284&gt;0,B284&lt;&gt;"Sell"),(AA284-SUMIF(C$4:C283,C284,AC$4:AC284))/AB284,0),"")</f>
        <v>-8.5479948541070971</v>
      </c>
      <c r="W284" s="24" t="str">
        <f t="shared" si="36"/>
        <v/>
      </c>
      <c r="X284" s="25" t="str">
        <f t="shared" si="35"/>
        <v>Trimark Euro Plus_ACB</v>
      </c>
      <c r="Y284" s="10" t="str">
        <f>IF(S285&lt;&gt;eRRSP_Tx_Table[[#This Row],[Year]],SUMIFS($W$4:$W284,$S$4:$S284,eRRSP_Tx_Table[[#This Row],[Year]],$W$4:$W284,"&gt;0"),"")</f>
        <v/>
      </c>
      <c r="Z284" s="10" t="str">
        <f>IF(S285&lt;&gt;eRRSP_Tx_Table[[#This Row],[Year]],SUMIFS($W$4:$W284,$S$4:$S284,eRRSP_Tx_Table[[#This Row],[Year]],$W$4:$W284,"&lt;0"),"")</f>
        <v/>
      </c>
      <c r="AA284" s="3">
        <f>(SUMIF($U$4:$U284,CONCATENATE("Buy",$C284),$N$4:$N284)+SUMIF($U$4:$U284,CONCATENATE("ReinvDiv",$C284),$N$4:$N284))</f>
        <v>-2000</v>
      </c>
      <c r="AB284" s="3">
        <f>(SUMIF($U$4:$U284,CONCATENATE("Buy",$C284),$F$4:$F284)+SUMIF($U$4:$U284,CONCATENATE("ReinvDiv",$C284),$F$4:$F284)+SUMIF($U$4:$U284,CONCATENATE("StkSplit",$C284),$F$4:$F284)-SUMIF($U$4:$U284,CONCATENATE("Sell",$C284),$F$4:$F284))</f>
        <v>233.97300000000001</v>
      </c>
      <c r="AC284" s="3">
        <f>IF(B284="Sell",F284*INDEX(V:V,LOOKUP(2,1/(X$4:X283=CONCATENATE(C284,"_ACB")),ROW(V$4:V283))),0)</f>
        <v>0</v>
      </c>
    </row>
    <row r="285" spans="1:29" x14ac:dyDescent="0.25">
      <c r="A285" s="20">
        <v>38413</v>
      </c>
      <c r="B285" t="s">
        <v>32</v>
      </c>
      <c r="C285" t="s">
        <v>75</v>
      </c>
      <c r="D285" s="3">
        <v>6725</v>
      </c>
      <c r="E285">
        <v>22.32</v>
      </c>
      <c r="F285" s="3">
        <v>300</v>
      </c>
      <c r="G285">
        <v>29</v>
      </c>
      <c r="M285" s="21">
        <f t="shared" si="40"/>
        <v>6696</v>
      </c>
      <c r="N285" s="8">
        <f t="shared" si="37"/>
        <v>-6725</v>
      </c>
      <c r="O285" s="25">
        <f t="shared" si="38"/>
        <v>9194.5400000000009</v>
      </c>
      <c r="P285" s="8">
        <f t="shared" si="41"/>
        <v>0</v>
      </c>
      <c r="Q285" s="4">
        <f>IF(AND(S285&gt;=[1]eRRSP_Rpt!$C$6,S285&lt;=[1]eRRSP_Rpt!$C$7),1,0)</f>
        <v>0</v>
      </c>
      <c r="R285" s="4"/>
      <c r="S285" s="4">
        <f t="shared" si="39"/>
        <v>2005</v>
      </c>
      <c r="T285" s="4"/>
      <c r="U285" s="4" t="str">
        <f t="shared" si="42"/>
        <v>BuyiShares MSCI CDN</v>
      </c>
      <c r="V285" s="23">
        <f>IFERROR(IF(AND(AB285&gt;0,B285&lt;&gt;"Sell"),(AA285-SUMIF(C$4:C284,C285,AC$4:AC285))/AB285,0),"")</f>
        <v>-22.416666666666668</v>
      </c>
      <c r="W285" s="24" t="str">
        <f t="shared" si="36"/>
        <v/>
      </c>
      <c r="X285" s="25" t="str">
        <f t="shared" si="35"/>
        <v>iShares MSCI CDN_ACB</v>
      </c>
      <c r="Y285" s="10" t="str">
        <f>IF(S286&lt;&gt;eRRSP_Tx_Table[[#This Row],[Year]],SUMIFS($W$4:$W285,$S$4:$S285,eRRSP_Tx_Table[[#This Row],[Year]],$W$4:$W285,"&gt;0"),"")</f>
        <v/>
      </c>
      <c r="Z285" s="10" t="str">
        <f>IF(S286&lt;&gt;eRRSP_Tx_Table[[#This Row],[Year]],SUMIFS($W$4:$W285,$S$4:$S285,eRRSP_Tx_Table[[#This Row],[Year]],$W$4:$W285,"&lt;0"),"")</f>
        <v/>
      </c>
      <c r="AA285" s="3">
        <f>(SUMIF($U$4:$U285,CONCATENATE("Buy",$C285),$N$4:$N285)+SUMIF($U$4:$U285,CONCATENATE("ReinvDiv",$C285),$N$4:$N285))</f>
        <v>-6725</v>
      </c>
      <c r="AB285" s="3">
        <f>(SUMIF($U$4:$U285,CONCATENATE("Buy",$C285),$F$4:$F285)+SUMIF($U$4:$U285,CONCATENATE("ReinvDiv",$C285),$F$4:$F285)+SUMIF($U$4:$U285,CONCATENATE("StkSplit",$C285),$F$4:$F285)-SUMIF($U$4:$U285,CONCATENATE("Sell",$C285),$F$4:$F285))</f>
        <v>300</v>
      </c>
      <c r="AC285" s="3">
        <f>IF(B285="Sell",F285*INDEX(V:V,LOOKUP(2,1/(X$4:X284=CONCATENATE(C285,"_ACB")),ROW(V$4:V284))),0)</f>
        <v>0</v>
      </c>
    </row>
    <row r="286" spans="1:29" x14ac:dyDescent="0.25">
      <c r="A286" s="20">
        <v>38420</v>
      </c>
      <c r="B286" t="s">
        <v>40</v>
      </c>
      <c r="C286" t="s">
        <v>54</v>
      </c>
      <c r="D286" s="3">
        <v>1547.93</v>
      </c>
      <c r="E286">
        <v>23.495647999999999</v>
      </c>
      <c r="F286" s="3">
        <v>67.317999999999998</v>
      </c>
      <c r="G286">
        <v>33.75</v>
      </c>
      <c r="M286" s="21">
        <f t="shared" si="40"/>
        <v>1581.68</v>
      </c>
      <c r="N286" s="8">
        <f t="shared" si="37"/>
        <v>1547.93</v>
      </c>
      <c r="O286" s="25">
        <f t="shared" si="38"/>
        <v>10742.470000000001</v>
      </c>
      <c r="P286" s="8">
        <f t="shared" si="41"/>
        <v>0</v>
      </c>
      <c r="Q286" s="4">
        <f>IF(AND(S286&gt;=[1]eRRSP_Rpt!$C$6,S286&lt;=[1]eRRSP_Rpt!$C$7),1,0)</f>
        <v>0</v>
      </c>
      <c r="R286" s="4"/>
      <c r="S286" s="4">
        <f t="shared" si="39"/>
        <v>2005</v>
      </c>
      <c r="T286" s="4"/>
      <c r="U286" s="4" t="str">
        <f t="shared" si="42"/>
        <v>SellHSBC Euro Growth</v>
      </c>
      <c r="V286" s="23">
        <f>IFERROR(IF(AND(AB286&gt;0,B286&lt;&gt;"Sell"),(AA286-SUMIF(C$4:C285,C286,AC$4:AC286))/AB286,0),"")</f>
        <v>0</v>
      </c>
      <c r="W286" s="24">
        <f t="shared" si="36"/>
        <v>47.930000000000064</v>
      </c>
      <c r="X286" s="25" t="str">
        <f t="shared" si="35"/>
        <v/>
      </c>
      <c r="Y286" s="10" t="str">
        <f>IF(S287&lt;&gt;eRRSP_Tx_Table[[#This Row],[Year]],SUMIFS($W$4:$W286,$S$4:$S286,eRRSP_Tx_Table[[#This Row],[Year]],$W$4:$W286,"&gt;0"),"")</f>
        <v/>
      </c>
      <c r="Z286" s="10" t="str">
        <f>IF(S287&lt;&gt;eRRSP_Tx_Table[[#This Row],[Year]],SUMIFS($W$4:$W286,$S$4:$S286,eRRSP_Tx_Table[[#This Row],[Year]],$W$4:$W286,"&lt;0"),"")</f>
        <v/>
      </c>
      <c r="AA286" s="3">
        <f>(SUMIF($U$4:$U286,CONCATENATE("Buy",$C286),$N$4:$N286)+SUMIF($U$4:$U286,CONCATENATE("ReinvDiv",$C286),$N$4:$N286))</f>
        <v>-1500</v>
      </c>
      <c r="AB286" s="3">
        <f>(SUMIF($U$4:$U286,CONCATENATE("Buy",$C286),$F$4:$F286)+SUMIF($U$4:$U286,CONCATENATE("ReinvDiv",$C286),$F$4:$F286)+SUMIF($U$4:$U286,CONCATENATE("StkSplit",$C286),$F$4:$F286)-SUMIF($U$4:$U286,CONCATENATE("Sell",$C286),$F$4:$F286))</f>
        <v>0</v>
      </c>
      <c r="AC286" s="3">
        <f>IF(B286="Sell",F286*INDEX(V:V,LOOKUP(2,1/(X$4:X285=CONCATENATE(C286,"_ACB")),ROW(V$4:V285))),0)</f>
        <v>-1500</v>
      </c>
    </row>
    <row r="287" spans="1:29" x14ac:dyDescent="0.25">
      <c r="A287" s="20">
        <v>38426</v>
      </c>
      <c r="B287" t="s">
        <v>41</v>
      </c>
      <c r="C287" t="s">
        <v>39</v>
      </c>
      <c r="D287" s="3">
        <v>4.2</v>
      </c>
      <c r="E287">
        <v>10.97</v>
      </c>
      <c r="F287" s="3">
        <v>0.38300000000000001</v>
      </c>
      <c r="M287" s="21">
        <f t="shared" si="40"/>
        <v>4.2</v>
      </c>
      <c r="N287" s="8">
        <f t="shared" si="37"/>
        <v>-4.2</v>
      </c>
      <c r="O287" s="25">
        <f t="shared" si="38"/>
        <v>10742.470000000001</v>
      </c>
      <c r="P287" s="8">
        <f t="shared" si="41"/>
        <v>0</v>
      </c>
      <c r="Q287" s="4">
        <f>IF(AND(S287&gt;=[1]eRRSP_Rpt!$C$6,S287&lt;=[1]eRRSP_Rpt!$C$7),1,0)</f>
        <v>0</v>
      </c>
      <c r="R287" s="4"/>
      <c r="S287" s="4">
        <f t="shared" si="39"/>
        <v>2005</v>
      </c>
      <c r="T287" s="4"/>
      <c r="U287" s="4" t="str">
        <f t="shared" si="42"/>
        <v>ReinvDivTrimark Income Growth</v>
      </c>
      <c r="V287" s="23">
        <f>IFERROR(IF(AND(AB287&gt;0,B287&lt;&gt;"Sell"),(AA287-SUMIF(C$4:C286,C287,AC$4:AC287))/AB287,0),"")</f>
        <v>-7.9974181426394066</v>
      </c>
      <c r="W287" s="24" t="str">
        <f t="shared" si="36"/>
        <v/>
      </c>
      <c r="X287" s="25" t="str">
        <f t="shared" si="35"/>
        <v>Trimark Income Growth_ACB</v>
      </c>
      <c r="Y287" s="10" t="str">
        <f>IF(S288&lt;&gt;eRRSP_Tx_Table[[#This Row],[Year]],SUMIFS($W$4:$W287,$S$4:$S287,eRRSP_Tx_Table[[#This Row],[Year]],$W$4:$W287,"&gt;0"),"")</f>
        <v/>
      </c>
      <c r="Z287" s="10" t="str">
        <f>IF(S288&lt;&gt;eRRSP_Tx_Table[[#This Row],[Year]],SUMIFS($W$4:$W287,$S$4:$S287,eRRSP_Tx_Table[[#This Row],[Year]],$W$4:$W287,"&lt;0"),"")</f>
        <v/>
      </c>
      <c r="AA287" s="3">
        <f>(SUMIF($U$4:$U287,CONCATENATE("Buy",$C287),$N$4:$N287)+SUMIF($U$4:$U287,CONCATENATE("ReinvDiv",$C287),$N$4:$N287))</f>
        <v>-2434.67</v>
      </c>
      <c r="AB287" s="3">
        <f>(SUMIF($U$4:$U287,CONCATENATE("Buy",$C287),$F$4:$F287)+SUMIF($U$4:$U287,CONCATENATE("ReinvDiv",$C287),$F$4:$F287)+SUMIF($U$4:$U287,CONCATENATE("StkSplit",$C287),$F$4:$F287)-SUMIF($U$4:$U287,CONCATENATE("Sell",$C287),$F$4:$F287))</f>
        <v>304.43200000000002</v>
      </c>
      <c r="AC287" s="3">
        <f>IF(B287="Sell",F287*INDEX(V:V,LOOKUP(2,1/(X$4:X286=CONCATENATE(C287,"_ACB")),ROW(V$4:V286))),0)</f>
        <v>0</v>
      </c>
    </row>
    <row r="288" spans="1:29" x14ac:dyDescent="0.25">
      <c r="A288" s="20">
        <v>38427</v>
      </c>
      <c r="B288" t="s">
        <v>43</v>
      </c>
      <c r="C288" t="s">
        <v>36</v>
      </c>
      <c r="D288" s="3">
        <v>4.0599999999999996</v>
      </c>
      <c r="M288" s="21">
        <f t="shared" si="40"/>
        <v>4.0599999999999996</v>
      </c>
      <c r="N288" s="8">
        <f t="shared" si="37"/>
        <v>4.0599999999999996</v>
      </c>
      <c r="O288" s="25">
        <f t="shared" si="38"/>
        <v>10746.53</v>
      </c>
      <c r="P288" s="8">
        <f t="shared" si="41"/>
        <v>0</v>
      </c>
      <c r="Q288" s="4">
        <f>IF(AND(S288&gt;=[1]eRRSP_Rpt!$C$6,S288&lt;=[1]eRRSP_Rpt!$C$7),1,0)</f>
        <v>0</v>
      </c>
      <c r="R288" s="4"/>
      <c r="S288" s="4">
        <f t="shared" si="39"/>
        <v>2005</v>
      </c>
      <c r="T288" s="4"/>
      <c r="U288" s="4" t="str">
        <f t="shared" si="42"/>
        <v>IntIncTDW</v>
      </c>
      <c r="V288" s="23">
        <f>IFERROR(IF(AND(AB288&gt;0,B288&lt;&gt;"Sell"),(AA288-SUMIF(C$4:C287,C288,AC$4:AC288))/AB288,0),"")</f>
        <v>0</v>
      </c>
      <c r="W288" s="24" t="str">
        <f t="shared" si="36"/>
        <v/>
      </c>
      <c r="X288" s="25" t="str">
        <f t="shared" si="35"/>
        <v/>
      </c>
      <c r="Y288" s="10" t="str">
        <f>IF(S289&lt;&gt;eRRSP_Tx_Table[[#This Row],[Year]],SUMIFS($W$4:$W288,$S$4:$S288,eRRSP_Tx_Table[[#This Row],[Year]],$W$4:$W288,"&gt;0"),"")</f>
        <v/>
      </c>
      <c r="Z288" s="10" t="str">
        <f>IF(S289&lt;&gt;eRRSP_Tx_Table[[#This Row],[Year]],SUMIFS($W$4:$W288,$S$4:$S288,eRRSP_Tx_Table[[#This Row],[Year]],$W$4:$W288,"&lt;0"),"")</f>
        <v/>
      </c>
      <c r="AA288" s="3">
        <f>(SUMIF($U$4:$U288,CONCATENATE("Buy",$C288),$N$4:$N288)+SUMIF($U$4:$U288,CONCATENATE("ReinvDiv",$C288),$N$4:$N288))</f>
        <v>0</v>
      </c>
      <c r="AB288" s="3">
        <f>(SUMIF($U$4:$U288,CONCATENATE("Buy",$C288),$F$4:$F288)+SUMIF($U$4:$U288,CONCATENATE("ReinvDiv",$C288),$F$4:$F288)+SUMIF($U$4:$U288,CONCATENATE("StkSplit",$C288),$F$4:$F288)-SUMIF($U$4:$U288,CONCATENATE("Sell",$C288),$F$4:$F288))</f>
        <v>0</v>
      </c>
      <c r="AC288" s="3">
        <f>IF(B288="Sell",F288*INDEX(V:V,LOOKUP(2,1/(X$4:X287=CONCATENATE(C288,"_ACB")),ROW(V$4:V287))),0)</f>
        <v>0</v>
      </c>
    </row>
    <row r="289" spans="1:29" x14ac:dyDescent="0.25">
      <c r="A289" s="20">
        <v>38441</v>
      </c>
      <c r="B289" t="s">
        <v>41</v>
      </c>
      <c r="C289" t="s">
        <v>62</v>
      </c>
      <c r="D289" s="3">
        <v>11.59</v>
      </c>
      <c r="E289">
        <v>15.01</v>
      </c>
      <c r="F289" s="3">
        <v>0.77200000000000002</v>
      </c>
      <c r="M289" s="21">
        <f t="shared" si="40"/>
        <v>11.59</v>
      </c>
      <c r="N289" s="8">
        <f t="shared" si="37"/>
        <v>-11.59</v>
      </c>
      <c r="O289" s="25">
        <f t="shared" si="38"/>
        <v>10746.53</v>
      </c>
      <c r="P289" s="8">
        <f t="shared" si="41"/>
        <v>0</v>
      </c>
      <c r="Q289" s="4">
        <f>IF(AND(S289&gt;=[1]eRRSP_Rpt!$C$6,S289&lt;=[1]eRRSP_Rpt!$C$7),1,0)</f>
        <v>0</v>
      </c>
      <c r="R289" s="4"/>
      <c r="S289" s="4">
        <f t="shared" si="39"/>
        <v>2005</v>
      </c>
      <c r="T289" s="4"/>
      <c r="U289" s="4" t="str">
        <f t="shared" si="42"/>
        <v>ReinvDivTD RR Bond</v>
      </c>
      <c r="V289" s="23">
        <f>IFERROR(IF(AND(AB289&gt;0,B289&lt;&gt;"Sell"),(AA289-SUMIF(C$4:C288,C289,AC$4:AC289))/AB289,0),"")</f>
        <v>-14.427538009458836</v>
      </c>
      <c r="W289" s="24" t="str">
        <f t="shared" si="36"/>
        <v/>
      </c>
      <c r="X289" s="25" t="str">
        <f t="shared" si="35"/>
        <v>TD RR Bond_ACB</v>
      </c>
      <c r="Y289" s="10" t="str">
        <f>IF(S290&lt;&gt;eRRSP_Tx_Table[[#This Row],[Year]],SUMIFS($W$4:$W289,$S$4:$S289,eRRSP_Tx_Table[[#This Row],[Year]],$W$4:$W289,"&gt;0"),"")</f>
        <v/>
      </c>
      <c r="Z289" s="10" t="str">
        <f>IF(S290&lt;&gt;eRRSP_Tx_Table[[#This Row],[Year]],SUMIFS($W$4:$W289,$S$4:$S289,eRRSP_Tx_Table[[#This Row],[Year]],$W$4:$W289,"&lt;0"),"")</f>
        <v/>
      </c>
      <c r="AA289" s="3">
        <f>(SUMIF($U$4:$U289,CONCATENATE("Buy",$C289),$N$4:$N289)+SUMIF($U$4:$U289,CONCATENATE("ReinvDiv",$C289),$N$4:$N289))</f>
        <v>-8410.49</v>
      </c>
      <c r="AB289" s="3">
        <f>(SUMIF($U$4:$U289,CONCATENATE("Buy",$C289),$F$4:$F289)+SUMIF($U$4:$U289,CONCATENATE("ReinvDiv",$C289),$F$4:$F289)+SUMIF($U$4:$U289,CONCATENATE("StkSplit",$C289),$F$4:$F289)-SUMIF($U$4:$U289,CONCATENATE("Sell",$C289),$F$4:$F289))</f>
        <v>582.947</v>
      </c>
      <c r="AC289" s="3">
        <f>IF(B289="Sell",F289*INDEX(V:V,LOOKUP(2,1/(X$4:X288=CONCATENATE(C289,"_ACB")),ROW(V$4:V288))),0)</f>
        <v>0</v>
      </c>
    </row>
    <row r="290" spans="1:29" x14ac:dyDescent="0.25">
      <c r="A290" s="20">
        <v>38457</v>
      </c>
      <c r="B290" t="s">
        <v>41</v>
      </c>
      <c r="C290" t="s">
        <v>39</v>
      </c>
      <c r="D290" s="3">
        <v>4.87</v>
      </c>
      <c r="E290">
        <v>10.89</v>
      </c>
      <c r="F290" s="3">
        <v>0.44700000000000001</v>
      </c>
      <c r="M290" s="21">
        <f t="shared" si="40"/>
        <v>4.87</v>
      </c>
      <c r="N290" s="8">
        <f t="shared" si="37"/>
        <v>-4.87</v>
      </c>
      <c r="O290" s="25">
        <f t="shared" si="38"/>
        <v>10746.53</v>
      </c>
      <c r="P290" s="8">
        <f t="shared" si="41"/>
        <v>0</v>
      </c>
      <c r="Q290" s="4">
        <f>IF(AND(S290&gt;=[1]eRRSP_Rpt!$C$6,S290&lt;=[1]eRRSP_Rpt!$C$7),1,0)</f>
        <v>0</v>
      </c>
      <c r="R290" s="4"/>
      <c r="S290" s="4">
        <f t="shared" si="39"/>
        <v>2005</v>
      </c>
      <c r="T290" s="4"/>
      <c r="U290" s="4" t="str">
        <f t="shared" si="42"/>
        <v>ReinvDivTrimark Income Growth</v>
      </c>
      <c r="V290" s="23">
        <f>IFERROR(IF(AND(AB290&gt;0,B290&lt;&gt;"Sell"),(AA290-SUMIF(C$4:C289,C290,AC$4:AC290))/AB290,0),"")</f>
        <v>-8.0016662348013465</v>
      </c>
      <c r="W290" s="24" t="str">
        <f t="shared" si="36"/>
        <v/>
      </c>
      <c r="X290" s="25" t="str">
        <f t="shared" si="35"/>
        <v>Trimark Income Growth_ACB</v>
      </c>
      <c r="Y290" s="10" t="str">
        <f>IF(S291&lt;&gt;eRRSP_Tx_Table[[#This Row],[Year]],SUMIFS($W$4:$W290,$S$4:$S290,eRRSP_Tx_Table[[#This Row],[Year]],$W$4:$W290,"&gt;0"),"")</f>
        <v/>
      </c>
      <c r="Z290" s="10" t="str">
        <f>IF(S291&lt;&gt;eRRSP_Tx_Table[[#This Row],[Year]],SUMIFS($W$4:$W290,$S$4:$S290,eRRSP_Tx_Table[[#This Row],[Year]],$W$4:$W290,"&lt;0"),"")</f>
        <v/>
      </c>
      <c r="AA290" s="3">
        <f>(SUMIF($U$4:$U290,CONCATENATE("Buy",$C290),$N$4:$N290)+SUMIF($U$4:$U290,CONCATENATE("ReinvDiv",$C290),$N$4:$N290))</f>
        <v>-2439.54</v>
      </c>
      <c r="AB290" s="3">
        <f>(SUMIF($U$4:$U290,CONCATENATE("Buy",$C290),$F$4:$F290)+SUMIF($U$4:$U290,CONCATENATE("ReinvDiv",$C290),$F$4:$F290)+SUMIF($U$4:$U290,CONCATENATE("StkSplit",$C290),$F$4:$F290)-SUMIF($U$4:$U290,CONCATENATE("Sell",$C290),$F$4:$F290))</f>
        <v>304.87900000000002</v>
      </c>
      <c r="AC290" s="3">
        <f>IF(B290="Sell",F290*INDEX(V:V,LOOKUP(2,1/(X$4:X289=CONCATENATE(C290,"_ACB")),ROW(V$4:V289))),0)</f>
        <v>0</v>
      </c>
    </row>
    <row r="291" spans="1:29" x14ac:dyDescent="0.25">
      <c r="A291" s="20">
        <v>38458</v>
      </c>
      <c r="B291" t="s">
        <v>43</v>
      </c>
      <c r="C291" t="s">
        <v>36</v>
      </c>
      <c r="D291" s="3">
        <v>2.2799999999999998</v>
      </c>
      <c r="M291" s="21">
        <f t="shared" si="40"/>
        <v>2.2799999999999998</v>
      </c>
      <c r="N291" s="8">
        <f t="shared" si="37"/>
        <v>2.2799999999999998</v>
      </c>
      <c r="O291" s="25">
        <f t="shared" si="38"/>
        <v>10748.810000000001</v>
      </c>
      <c r="P291" s="8">
        <f t="shared" si="41"/>
        <v>0</v>
      </c>
      <c r="Q291" s="4">
        <f>IF(AND(S291&gt;=[1]eRRSP_Rpt!$C$6,S291&lt;=[1]eRRSP_Rpt!$C$7),1,0)</f>
        <v>0</v>
      </c>
      <c r="R291" s="4"/>
      <c r="S291" s="4">
        <f t="shared" si="39"/>
        <v>2005</v>
      </c>
      <c r="T291" s="4"/>
      <c r="U291" s="4" t="str">
        <f t="shared" si="42"/>
        <v>IntIncTDW</v>
      </c>
      <c r="V291" s="23">
        <f>IFERROR(IF(AND(AB291&gt;0,B291&lt;&gt;"Sell"),(AA291-SUMIF(C$4:C290,C291,AC$4:AC291))/AB291,0),"")</f>
        <v>0</v>
      </c>
      <c r="W291" s="24" t="str">
        <f t="shared" si="36"/>
        <v/>
      </c>
      <c r="X291" s="25" t="str">
        <f t="shared" si="35"/>
        <v/>
      </c>
      <c r="Y291" s="10" t="str">
        <f>IF(S292&lt;&gt;eRRSP_Tx_Table[[#This Row],[Year]],SUMIFS($W$4:$W291,$S$4:$S291,eRRSP_Tx_Table[[#This Row],[Year]],$W$4:$W291,"&gt;0"),"")</f>
        <v/>
      </c>
      <c r="Z291" s="10" t="str">
        <f>IF(S292&lt;&gt;eRRSP_Tx_Table[[#This Row],[Year]],SUMIFS($W$4:$W291,$S$4:$S291,eRRSP_Tx_Table[[#This Row],[Year]],$W$4:$W291,"&lt;0"),"")</f>
        <v/>
      </c>
      <c r="AA291" s="3">
        <f>(SUMIF($U$4:$U291,CONCATENATE("Buy",$C291),$N$4:$N291)+SUMIF($U$4:$U291,CONCATENATE("ReinvDiv",$C291),$N$4:$N291))</f>
        <v>0</v>
      </c>
      <c r="AB291" s="3">
        <f>(SUMIF($U$4:$U291,CONCATENATE("Buy",$C291),$F$4:$F291)+SUMIF($U$4:$U291,CONCATENATE("ReinvDiv",$C291),$F$4:$F291)+SUMIF($U$4:$U291,CONCATENATE("StkSplit",$C291),$F$4:$F291)-SUMIF($U$4:$U291,CONCATENATE("Sell",$C291),$F$4:$F291))</f>
        <v>0</v>
      </c>
      <c r="AC291" s="3">
        <f>IF(B291="Sell",F291*INDEX(V:V,LOOKUP(2,1/(X$4:X290=CONCATENATE(C291,"_ACB")),ROW(V$4:V290))),0)</f>
        <v>0</v>
      </c>
    </row>
    <row r="292" spans="1:29" x14ac:dyDescent="0.25">
      <c r="A292" s="20">
        <v>38472</v>
      </c>
      <c r="B292" t="s">
        <v>42</v>
      </c>
      <c r="C292" t="s">
        <v>45</v>
      </c>
      <c r="D292" s="3">
        <v>8</v>
      </c>
      <c r="M292" s="21">
        <f t="shared" si="40"/>
        <v>8</v>
      </c>
      <c r="N292" s="8">
        <f t="shared" si="37"/>
        <v>8</v>
      </c>
      <c r="O292" s="25">
        <f t="shared" si="38"/>
        <v>10756.810000000001</v>
      </c>
      <c r="P292" s="8">
        <f t="shared" si="41"/>
        <v>0</v>
      </c>
      <c r="Q292" s="4">
        <f>IF(AND(S292&gt;=[1]eRRSP_Rpt!$C$6,S292&lt;=[1]eRRSP_Rpt!$C$7),1,0)</f>
        <v>0</v>
      </c>
      <c r="R292" s="4"/>
      <c r="S292" s="4">
        <f t="shared" si="39"/>
        <v>2005</v>
      </c>
      <c r="T292" s="4"/>
      <c r="U292" s="4" t="str">
        <f t="shared" si="42"/>
        <v>DivTD Bank</v>
      </c>
      <c r="V292" s="23">
        <f>IFERROR(IF(AND(AB292&gt;0,B292&lt;&gt;"Sell"),(AA292-SUMIF(C$4:C291,C292,AC$4:AC292))/AB292,0),"")</f>
        <v>-44.29</v>
      </c>
      <c r="W292" s="24" t="str">
        <f t="shared" si="36"/>
        <v/>
      </c>
      <c r="X292" s="25" t="str">
        <f t="shared" si="35"/>
        <v>TD Bank_ACB</v>
      </c>
      <c r="Y292" s="10" t="str">
        <f>IF(S293&lt;&gt;eRRSP_Tx_Table[[#This Row],[Year]],SUMIFS($W$4:$W292,$S$4:$S292,eRRSP_Tx_Table[[#This Row],[Year]],$W$4:$W292,"&gt;0"),"")</f>
        <v/>
      </c>
      <c r="Z292" s="10" t="str">
        <f>IF(S293&lt;&gt;eRRSP_Tx_Table[[#This Row],[Year]],SUMIFS($W$4:$W292,$S$4:$S292,eRRSP_Tx_Table[[#This Row],[Year]],$W$4:$W292,"&lt;0"),"")</f>
        <v/>
      </c>
      <c r="AA292" s="3">
        <f>(SUMIF($U$4:$U292,CONCATENATE("Buy",$C292),$N$4:$N292)+SUMIF($U$4:$U292,CONCATENATE("ReinvDiv",$C292),$N$4:$N292))</f>
        <v>-885.8</v>
      </c>
      <c r="AB292" s="3">
        <f>(SUMIF($U$4:$U292,CONCATENATE("Buy",$C292),$F$4:$F292)+SUMIF($U$4:$U292,CONCATENATE("ReinvDiv",$C292),$F$4:$F292)+SUMIF($U$4:$U292,CONCATENATE("StkSplit",$C292),$F$4:$F292)-SUMIF($U$4:$U292,CONCATENATE("Sell",$C292),$F$4:$F292))</f>
        <v>20</v>
      </c>
      <c r="AC292" s="3">
        <f>IF(B292="Sell",F292*INDEX(V:V,LOOKUP(2,1/(X$4:X291=CONCATENATE(C292,"_ACB")),ROW(V$4:V291))),0)</f>
        <v>0</v>
      </c>
    </row>
    <row r="293" spans="1:29" x14ac:dyDescent="0.25">
      <c r="A293" s="20">
        <v>38485</v>
      </c>
      <c r="B293" t="s">
        <v>41</v>
      </c>
      <c r="C293" t="s">
        <v>39</v>
      </c>
      <c r="D293" s="3">
        <v>4.21</v>
      </c>
      <c r="E293">
        <v>10.77</v>
      </c>
      <c r="F293" s="3">
        <v>0.39100000000000001</v>
      </c>
      <c r="M293" s="21">
        <f t="shared" si="40"/>
        <v>4.21</v>
      </c>
      <c r="N293" s="8">
        <f t="shared" si="37"/>
        <v>-4.21</v>
      </c>
      <c r="O293" s="25">
        <f t="shared" si="38"/>
        <v>10756.810000000001</v>
      </c>
      <c r="P293" s="8">
        <f t="shared" si="41"/>
        <v>0</v>
      </c>
      <c r="Q293" s="4">
        <f>IF(AND(S293&gt;=[1]eRRSP_Rpt!$C$6,S293&lt;=[1]eRRSP_Rpt!$C$7),1,0)</f>
        <v>0</v>
      </c>
      <c r="R293" s="4"/>
      <c r="S293" s="4">
        <f t="shared" si="39"/>
        <v>2005</v>
      </c>
      <c r="T293" s="4"/>
      <c r="U293" s="4" t="str">
        <f t="shared" si="42"/>
        <v>ReinvDivTrimark Income Growth</v>
      </c>
      <c r="V293" s="23">
        <f>IFERROR(IF(AND(AB293&gt;0,B293&lt;&gt;"Sell"),(AA293-SUMIF(C$4:C292,C293,AC$4:AC293))/AB293,0),"")</f>
        <v>-8.0052085039473262</v>
      </c>
      <c r="W293" s="24" t="str">
        <f t="shared" si="36"/>
        <v/>
      </c>
      <c r="X293" s="25" t="str">
        <f t="shared" si="35"/>
        <v>Trimark Income Growth_ACB</v>
      </c>
      <c r="Y293" s="10" t="str">
        <f>IF(S294&lt;&gt;eRRSP_Tx_Table[[#This Row],[Year]],SUMIFS($W$4:$W293,$S$4:$S293,eRRSP_Tx_Table[[#This Row],[Year]],$W$4:$W293,"&gt;0"),"")</f>
        <v/>
      </c>
      <c r="Z293" s="10" t="str">
        <f>IF(S294&lt;&gt;eRRSP_Tx_Table[[#This Row],[Year]],SUMIFS($W$4:$W293,$S$4:$S293,eRRSP_Tx_Table[[#This Row],[Year]],$W$4:$W293,"&lt;0"),"")</f>
        <v/>
      </c>
      <c r="AA293" s="3">
        <f>(SUMIF($U$4:$U293,CONCATENATE("Buy",$C293),$N$4:$N293)+SUMIF($U$4:$U293,CONCATENATE("ReinvDiv",$C293),$N$4:$N293))</f>
        <v>-2443.75</v>
      </c>
      <c r="AB293" s="3">
        <f>(SUMIF($U$4:$U293,CONCATENATE("Buy",$C293),$F$4:$F293)+SUMIF($U$4:$U293,CONCATENATE("ReinvDiv",$C293),$F$4:$F293)+SUMIF($U$4:$U293,CONCATENATE("StkSplit",$C293),$F$4:$F293)-SUMIF($U$4:$U293,CONCATENATE("Sell",$C293),$F$4:$F293))</f>
        <v>305.27</v>
      </c>
      <c r="AC293" s="3">
        <f>IF(B293="Sell",F293*INDEX(V:V,LOOKUP(2,1/(X$4:X292=CONCATENATE(C293,"_ACB")),ROW(V$4:V292))),0)</f>
        <v>0</v>
      </c>
    </row>
    <row r="294" spans="1:29" x14ac:dyDescent="0.25">
      <c r="A294" s="20">
        <v>38488</v>
      </c>
      <c r="B294" t="s">
        <v>43</v>
      </c>
      <c r="C294" t="s">
        <v>36</v>
      </c>
      <c r="D294" s="3">
        <v>2.2000000000000002</v>
      </c>
      <c r="M294" s="21">
        <f t="shared" si="40"/>
        <v>2.2000000000000002</v>
      </c>
      <c r="N294" s="8">
        <f t="shared" si="37"/>
        <v>2.2000000000000002</v>
      </c>
      <c r="O294" s="25">
        <f t="shared" si="38"/>
        <v>10759.010000000002</v>
      </c>
      <c r="P294" s="8">
        <f t="shared" si="41"/>
        <v>0</v>
      </c>
      <c r="Q294" s="4">
        <f>IF(AND(S294&gt;=[1]eRRSP_Rpt!$C$6,S294&lt;=[1]eRRSP_Rpt!$C$7),1,0)</f>
        <v>0</v>
      </c>
      <c r="R294" s="4"/>
      <c r="S294" s="4">
        <f t="shared" si="39"/>
        <v>2005</v>
      </c>
      <c r="T294" s="4"/>
      <c r="U294" s="4" t="str">
        <f t="shared" si="42"/>
        <v>IntIncTDW</v>
      </c>
      <c r="V294" s="23">
        <f>IFERROR(IF(AND(AB294&gt;0,B294&lt;&gt;"Sell"),(AA294-SUMIF(C$4:C293,C294,AC$4:AC294))/AB294,0),"")</f>
        <v>0</v>
      </c>
      <c r="W294" s="24" t="str">
        <f t="shared" si="36"/>
        <v/>
      </c>
      <c r="X294" s="25" t="str">
        <f t="shared" si="35"/>
        <v/>
      </c>
      <c r="Y294" s="10" t="str">
        <f>IF(S295&lt;&gt;eRRSP_Tx_Table[[#This Row],[Year]],SUMIFS($W$4:$W294,$S$4:$S294,eRRSP_Tx_Table[[#This Row],[Year]],$W$4:$W294,"&gt;0"),"")</f>
        <v/>
      </c>
      <c r="Z294" s="10" t="str">
        <f>IF(S295&lt;&gt;eRRSP_Tx_Table[[#This Row],[Year]],SUMIFS($W$4:$W294,$S$4:$S294,eRRSP_Tx_Table[[#This Row],[Year]],$W$4:$W294,"&lt;0"),"")</f>
        <v/>
      </c>
      <c r="AA294" s="3">
        <f>(SUMIF($U$4:$U294,CONCATENATE("Buy",$C294),$N$4:$N294)+SUMIF($U$4:$U294,CONCATENATE("ReinvDiv",$C294),$N$4:$N294))</f>
        <v>0</v>
      </c>
      <c r="AB294" s="3">
        <f>(SUMIF($U$4:$U294,CONCATENATE("Buy",$C294),$F$4:$F294)+SUMIF($U$4:$U294,CONCATENATE("ReinvDiv",$C294),$F$4:$F294)+SUMIF($U$4:$U294,CONCATENATE("StkSplit",$C294),$F$4:$F294)-SUMIF($U$4:$U294,CONCATENATE("Sell",$C294),$F$4:$F294))</f>
        <v>0</v>
      </c>
      <c r="AC294" s="3">
        <f>IF(B294="Sell",F294*INDEX(V:V,LOOKUP(2,1/(X$4:X293=CONCATENATE(C294,"_ACB")),ROW(V$4:V293))),0)</f>
        <v>0</v>
      </c>
    </row>
    <row r="295" spans="1:29" x14ac:dyDescent="0.25">
      <c r="A295" s="20">
        <v>38503</v>
      </c>
      <c r="B295" t="s">
        <v>76</v>
      </c>
      <c r="C295" t="s">
        <v>33</v>
      </c>
      <c r="F295" s="3">
        <f>L295-(L295/K295)</f>
        <v>57</v>
      </c>
      <c r="K295">
        <v>2</v>
      </c>
      <c r="L295">
        <f>(SUMIF($U$4:$U294,CONCATENATE("Buy",C295),$F$4:$F294)+SUMIF($U$4:$U294,CONCATENATE("StkSplit",C295),$F$4:$F294)-SUMIF($U$4:$U294,CONCATENATE("Sell",C295),$F$4:$F294)+SUMIF($U$4:$U294,CONCATENATE("ReinvDiv",C295),$F$4:$F294))*K295</f>
        <v>114</v>
      </c>
      <c r="M295" s="21">
        <f t="shared" si="40"/>
        <v>0</v>
      </c>
      <c r="N295" s="8">
        <f t="shared" si="37"/>
        <v>0</v>
      </c>
      <c r="O295" s="25">
        <f t="shared" si="38"/>
        <v>10759.010000000002</v>
      </c>
      <c r="P295" s="8">
        <f t="shared" si="41"/>
        <v>0</v>
      </c>
      <c r="Q295" s="4">
        <f>IF(AND(S295&gt;=[1]eRRSP_Rpt!$C$6,S295&lt;=[1]eRRSP_Rpt!$C$7),1,0)</f>
        <v>0</v>
      </c>
      <c r="R295" s="4"/>
      <c r="S295" s="4">
        <f t="shared" si="39"/>
        <v>2005</v>
      </c>
      <c r="T295" s="4"/>
      <c r="U295" s="4" t="str">
        <f t="shared" si="42"/>
        <v>StkSplitEnbridge</v>
      </c>
      <c r="V295" s="23">
        <f>IFERROR(IF(AND(AB295&gt;0,B295&lt;&gt;"Sell"),(AA295-SUMIF(C$4:C294,C295,AC$4:AC295))/AB295,0),"")</f>
        <v>-12.859027777777779</v>
      </c>
      <c r="W295" s="24" t="str">
        <f t="shared" si="36"/>
        <v/>
      </c>
      <c r="X295" s="25" t="str">
        <f t="shared" si="35"/>
        <v>Enbridge_ACB</v>
      </c>
      <c r="Y295" s="10" t="str">
        <f>IF(S296&lt;&gt;eRRSP_Tx_Table[[#This Row],[Year]],SUMIFS($W$4:$W295,$S$4:$S295,eRRSP_Tx_Table[[#This Row],[Year]],$W$4:$W295,"&gt;0"),"")</f>
        <v/>
      </c>
      <c r="Z295" s="10" t="str">
        <f>IF(S296&lt;&gt;eRRSP_Tx_Table[[#This Row],[Year]],SUMIFS($W$4:$W295,$S$4:$S295,eRRSP_Tx_Table[[#This Row],[Year]],$W$4:$W295,"&lt;0"),"")</f>
        <v/>
      </c>
      <c r="AA295" s="3">
        <f>(SUMIF($U$4:$U295,CONCATENATE("Buy",$C295),$N$4:$N295)+SUMIF($U$4:$U295,CONCATENATE("ReinvDiv",$C295),$N$4:$N295))</f>
        <v>-1851.7</v>
      </c>
      <c r="AB295" s="3">
        <f>(SUMIF($U$4:$U295,CONCATENATE("Buy",$C295),$F$4:$F295)+SUMIF($U$4:$U295,CONCATENATE("ReinvDiv",$C295),$F$4:$F295)+SUMIF($U$4:$U295,CONCATENATE("StkSplit",$C295),$F$4:$F295)-SUMIF($U$4:$U295,CONCATENATE("Sell",$C295),$F$4:$F295))</f>
        <v>114</v>
      </c>
      <c r="AC295" s="3">
        <f>IF(B295="Sell",F295*INDEX(V:V,LOOKUP(2,1/(X$4:X294=CONCATENATE(C295,"_ACB")),ROW(V$4:V294))),0)</f>
        <v>0</v>
      </c>
    </row>
    <row r="296" spans="1:29" x14ac:dyDescent="0.25">
      <c r="A296" s="20">
        <v>38503</v>
      </c>
      <c r="B296" t="s">
        <v>30</v>
      </c>
      <c r="M296" s="21">
        <f t="shared" si="40"/>
        <v>0</v>
      </c>
      <c r="N296" s="8">
        <f t="shared" si="37"/>
        <v>0</v>
      </c>
      <c r="O296" s="25">
        <f t="shared" si="38"/>
        <v>10759.010000000002</v>
      </c>
      <c r="P296" s="8">
        <f t="shared" si="41"/>
        <v>0</v>
      </c>
      <c r="Q296" s="4">
        <f>IF(AND(S296&gt;=[1]eRRSP_Rpt!$C$6,S296&lt;=[1]eRRSP_Rpt!$C$7),1,0)</f>
        <v>0</v>
      </c>
      <c r="R296" s="4"/>
      <c r="S296" s="4">
        <f t="shared" si="39"/>
        <v>2005</v>
      </c>
      <c r="T296" s="4"/>
      <c r="U296" s="4" t="str">
        <f t="shared" si="42"/>
        <v>Cash</v>
      </c>
      <c r="V296" s="23">
        <f>IFERROR(IF(AND(AB296&gt;0,B296&lt;&gt;"Sell"),(AA296-SUMIF(C$4:C295,C296,AC$4:AC296))/AB296,0),"")</f>
        <v>0</v>
      </c>
      <c r="W296" s="24" t="str">
        <f t="shared" si="36"/>
        <v/>
      </c>
      <c r="X296" s="25" t="str">
        <f t="shared" si="35"/>
        <v/>
      </c>
      <c r="Y296" s="10" t="str">
        <f>IF(S297&lt;&gt;eRRSP_Tx_Table[[#This Row],[Year]],SUMIFS($W$4:$W296,$S$4:$S296,eRRSP_Tx_Table[[#This Row],[Year]],$W$4:$W296,"&gt;0"),"")</f>
        <v/>
      </c>
      <c r="Z296" s="10" t="str">
        <f>IF(S297&lt;&gt;eRRSP_Tx_Table[[#This Row],[Year]],SUMIFS($W$4:$W296,$S$4:$S296,eRRSP_Tx_Table[[#This Row],[Year]],$W$4:$W296,"&lt;0"),"")</f>
        <v/>
      </c>
      <c r="AA296" s="3">
        <f>(SUMIF($U$4:$U296,CONCATENATE("Buy",$C296),$N$4:$N296)+SUMIF($U$4:$U296,CONCATENATE("ReinvDiv",$C296),$N$4:$N296))</f>
        <v>0</v>
      </c>
      <c r="AB296" s="3">
        <f>(SUMIF($U$4:$U296,CONCATENATE("Buy",$C296),$F$4:$F296)+SUMIF($U$4:$U296,CONCATENATE("ReinvDiv",$C296),$F$4:$F296)+SUMIF($U$4:$U296,CONCATENATE("StkSplit",$C296),$F$4:$F296)-SUMIF($U$4:$U296,CONCATENATE("Sell",$C296),$F$4:$F296))</f>
        <v>0</v>
      </c>
      <c r="AC296" s="3">
        <f>IF(B296="Sell",F296*INDEX(V:V,LOOKUP(2,1/(X$4:X295=CONCATENATE(C296,"_ACB")),ROW(V$4:V295))),0)</f>
        <v>0</v>
      </c>
    </row>
    <row r="297" spans="1:29" x14ac:dyDescent="0.25">
      <c r="A297" s="20">
        <v>38504</v>
      </c>
      <c r="B297" t="s">
        <v>42</v>
      </c>
      <c r="C297" t="s">
        <v>33</v>
      </c>
      <c r="D297" s="3">
        <v>28.5</v>
      </c>
      <c r="M297" s="21">
        <f t="shared" si="40"/>
        <v>28.5</v>
      </c>
      <c r="N297" s="8">
        <f t="shared" si="37"/>
        <v>28.5</v>
      </c>
      <c r="O297" s="25">
        <f t="shared" si="38"/>
        <v>10787.510000000002</v>
      </c>
      <c r="P297" s="8">
        <f t="shared" si="41"/>
        <v>0</v>
      </c>
      <c r="Q297" s="4">
        <f>IF(AND(S297&gt;=[1]eRRSP_Rpt!$C$6,S297&lt;=[1]eRRSP_Rpt!$C$7),1,0)</f>
        <v>0</v>
      </c>
      <c r="R297" s="4"/>
      <c r="S297" s="4">
        <f t="shared" si="39"/>
        <v>2005</v>
      </c>
      <c r="T297" s="4"/>
      <c r="U297" s="4" t="str">
        <f t="shared" si="42"/>
        <v>DivEnbridge</v>
      </c>
      <c r="V297" s="23">
        <f>IFERROR(IF(AND(AB297&gt;0,B297&lt;&gt;"Sell"),(AA297-SUMIF(C$4:C296,C297,AC$4:AC297))/AB297,0),"")</f>
        <v>-12.859027777777779</v>
      </c>
      <c r="W297" s="24" t="str">
        <f t="shared" si="36"/>
        <v/>
      </c>
      <c r="X297" s="25" t="str">
        <f t="shared" si="35"/>
        <v>Enbridge_ACB</v>
      </c>
      <c r="Y297" s="10" t="str">
        <f>IF(S298&lt;&gt;eRRSP_Tx_Table[[#This Row],[Year]],SUMIFS($W$4:$W297,$S$4:$S297,eRRSP_Tx_Table[[#This Row],[Year]],$W$4:$W297,"&gt;0"),"")</f>
        <v/>
      </c>
      <c r="Z297" s="10" t="str">
        <f>IF(S298&lt;&gt;eRRSP_Tx_Table[[#This Row],[Year]],SUMIFS($W$4:$W297,$S$4:$S297,eRRSP_Tx_Table[[#This Row],[Year]],$W$4:$W297,"&lt;0"),"")</f>
        <v/>
      </c>
      <c r="AA297" s="3">
        <f>(SUMIF($U$4:$U297,CONCATENATE("Buy",$C297),$N$4:$N297)+SUMIF($U$4:$U297,CONCATENATE("ReinvDiv",$C297),$N$4:$N297))</f>
        <v>-1851.7</v>
      </c>
      <c r="AB297" s="3">
        <f>(SUMIF($U$4:$U297,CONCATENATE("Buy",$C297),$F$4:$F297)+SUMIF($U$4:$U297,CONCATENATE("ReinvDiv",$C297),$F$4:$F297)+SUMIF($U$4:$U297,CONCATENATE("StkSplit",$C297),$F$4:$F297)-SUMIF($U$4:$U297,CONCATENATE("Sell",$C297),$F$4:$F297))</f>
        <v>114</v>
      </c>
      <c r="AC297" s="3">
        <f>IF(B297="Sell",F297*INDEX(V:V,LOOKUP(2,1/(X$4:X296=CONCATENATE(C297,"_ACB")),ROW(V$4:V296))),0)</f>
        <v>0</v>
      </c>
    </row>
    <row r="298" spans="1:29" x14ac:dyDescent="0.25">
      <c r="A298" s="20">
        <v>38518</v>
      </c>
      <c r="B298" t="s">
        <v>41</v>
      </c>
      <c r="C298" t="s">
        <v>39</v>
      </c>
      <c r="D298" s="3">
        <v>8.7899999999999991</v>
      </c>
      <c r="E298">
        <v>10.95</v>
      </c>
      <c r="F298" s="3">
        <v>0.80300000000000005</v>
      </c>
      <c r="M298" s="21">
        <f t="shared" si="40"/>
        <v>8.7899999999999991</v>
      </c>
      <c r="N298" s="8">
        <f t="shared" si="37"/>
        <v>-8.7899999999999991</v>
      </c>
      <c r="O298" s="25">
        <f t="shared" si="38"/>
        <v>10787.510000000002</v>
      </c>
      <c r="P298" s="8">
        <f t="shared" si="41"/>
        <v>0</v>
      </c>
      <c r="Q298" s="4">
        <f>IF(AND(S298&gt;=[1]eRRSP_Rpt!$C$6,S298&lt;=[1]eRRSP_Rpt!$C$7),1,0)</f>
        <v>0</v>
      </c>
      <c r="R298" s="4"/>
      <c r="S298" s="4">
        <f t="shared" si="39"/>
        <v>2005</v>
      </c>
      <c r="T298" s="4"/>
      <c r="U298" s="4" t="str">
        <f t="shared" si="42"/>
        <v>ReinvDivTrimark Income Growth</v>
      </c>
      <c r="V298" s="23">
        <f>IFERROR(IF(AND(AB298&gt;0,B298&lt;&gt;"Sell"),(AA298-SUMIF(C$4:C297,C298,AC$4:AC298))/AB298,0),"")</f>
        <v>-8.012925021155084</v>
      </c>
      <c r="W298" s="24" t="str">
        <f t="shared" si="36"/>
        <v/>
      </c>
      <c r="X298" s="25" t="str">
        <f t="shared" si="35"/>
        <v>Trimark Income Growth_ACB</v>
      </c>
      <c r="Y298" s="10" t="str">
        <f>IF(S299&lt;&gt;eRRSP_Tx_Table[[#This Row],[Year]],SUMIFS($W$4:$W298,$S$4:$S298,eRRSP_Tx_Table[[#This Row],[Year]],$W$4:$W298,"&gt;0"),"")</f>
        <v/>
      </c>
      <c r="Z298" s="10" t="str">
        <f>IF(S299&lt;&gt;eRRSP_Tx_Table[[#This Row],[Year]],SUMIFS($W$4:$W298,$S$4:$S298,eRRSP_Tx_Table[[#This Row],[Year]],$W$4:$W298,"&lt;0"),"")</f>
        <v/>
      </c>
      <c r="AA298" s="3">
        <f>(SUMIF($U$4:$U298,CONCATENATE("Buy",$C298),$N$4:$N298)+SUMIF($U$4:$U298,CONCATENATE("ReinvDiv",$C298),$N$4:$N298))</f>
        <v>-2452.54</v>
      </c>
      <c r="AB298" s="3">
        <f>(SUMIF($U$4:$U298,CONCATENATE("Buy",$C298),$F$4:$F298)+SUMIF($U$4:$U298,CONCATENATE("ReinvDiv",$C298),$F$4:$F298)+SUMIF($U$4:$U298,CONCATENATE("StkSplit",$C298),$F$4:$F298)-SUMIF($U$4:$U298,CONCATENATE("Sell",$C298),$F$4:$F298))</f>
        <v>306.07299999999998</v>
      </c>
      <c r="AC298" s="3">
        <f>IF(B298="Sell",F298*INDEX(V:V,LOOKUP(2,1/(X$4:X297=CONCATENATE(C298,"_ACB")),ROW(V$4:V297))),0)</f>
        <v>0</v>
      </c>
    </row>
    <row r="299" spans="1:29" x14ac:dyDescent="0.25">
      <c r="A299" s="20">
        <v>38519</v>
      </c>
      <c r="B299" t="s">
        <v>43</v>
      </c>
      <c r="C299" t="s">
        <v>36</v>
      </c>
      <c r="D299" s="3">
        <v>2.2799999999999998</v>
      </c>
      <c r="M299" s="21">
        <f t="shared" si="40"/>
        <v>2.2799999999999998</v>
      </c>
      <c r="N299" s="8">
        <f t="shared" si="37"/>
        <v>2.2799999999999998</v>
      </c>
      <c r="O299" s="25">
        <f t="shared" si="38"/>
        <v>10789.790000000003</v>
      </c>
      <c r="P299" s="8">
        <f t="shared" si="41"/>
        <v>0</v>
      </c>
      <c r="Q299" s="4">
        <f>IF(AND(S299&gt;=[1]eRRSP_Rpt!$C$6,S299&lt;=[1]eRRSP_Rpt!$C$7),1,0)</f>
        <v>0</v>
      </c>
      <c r="R299" s="4"/>
      <c r="S299" s="4">
        <f t="shared" si="39"/>
        <v>2005</v>
      </c>
      <c r="T299" s="4"/>
      <c r="U299" s="4" t="str">
        <f t="shared" si="42"/>
        <v>IntIncTDW</v>
      </c>
      <c r="V299" s="23">
        <f>IFERROR(IF(AND(AB299&gt;0,B299&lt;&gt;"Sell"),(AA299-SUMIF(C$4:C298,C299,AC$4:AC299))/AB299,0),"")</f>
        <v>0</v>
      </c>
      <c r="W299" s="24" t="str">
        <f t="shared" si="36"/>
        <v/>
      </c>
      <c r="X299" s="25" t="str">
        <f t="shared" si="35"/>
        <v/>
      </c>
      <c r="Y299" s="10" t="str">
        <f>IF(S300&lt;&gt;eRRSP_Tx_Table[[#This Row],[Year]],SUMIFS($W$4:$W299,$S$4:$S299,eRRSP_Tx_Table[[#This Row],[Year]],$W$4:$W299,"&gt;0"),"")</f>
        <v/>
      </c>
      <c r="Z299" s="10" t="str">
        <f>IF(S300&lt;&gt;eRRSP_Tx_Table[[#This Row],[Year]],SUMIFS($W$4:$W299,$S$4:$S299,eRRSP_Tx_Table[[#This Row],[Year]],$W$4:$W299,"&lt;0"),"")</f>
        <v/>
      </c>
      <c r="AA299" s="3">
        <f>(SUMIF($U$4:$U299,CONCATENATE("Buy",$C299),$N$4:$N299)+SUMIF($U$4:$U299,CONCATENATE("ReinvDiv",$C299),$N$4:$N299))</f>
        <v>0</v>
      </c>
      <c r="AB299" s="3">
        <f>(SUMIF($U$4:$U299,CONCATENATE("Buy",$C299),$F$4:$F299)+SUMIF($U$4:$U299,CONCATENATE("ReinvDiv",$C299),$F$4:$F299)+SUMIF($U$4:$U299,CONCATENATE("StkSplit",$C299),$F$4:$F299)-SUMIF($U$4:$U299,CONCATENATE("Sell",$C299),$F$4:$F299))</f>
        <v>0</v>
      </c>
      <c r="AC299" s="3">
        <f>IF(B299="Sell",F299*INDEX(V:V,LOOKUP(2,1/(X$4:X298=CONCATENATE(C299,"_ACB")),ROW(V$4:V298))),0)</f>
        <v>0</v>
      </c>
    </row>
    <row r="300" spans="1:29" x14ac:dyDescent="0.25">
      <c r="A300" s="20">
        <v>38533</v>
      </c>
      <c r="B300" t="s">
        <v>42</v>
      </c>
      <c r="C300" t="s">
        <v>72</v>
      </c>
      <c r="D300" s="3">
        <v>132.49</v>
      </c>
      <c r="M300" s="21">
        <f t="shared" si="40"/>
        <v>132.49</v>
      </c>
      <c r="N300" s="8">
        <f t="shared" si="37"/>
        <v>132.49</v>
      </c>
      <c r="O300" s="25">
        <f t="shared" si="38"/>
        <v>10922.280000000002</v>
      </c>
      <c r="P300" s="8">
        <f t="shared" si="41"/>
        <v>0</v>
      </c>
      <c r="Q300" s="4">
        <f>IF(AND(S300&gt;=[1]eRRSP_Rpt!$C$6,S300&lt;=[1]eRRSP_Rpt!$C$7),1,0)</f>
        <v>0</v>
      </c>
      <c r="R300" s="4"/>
      <c r="S300" s="4">
        <f t="shared" si="39"/>
        <v>2005</v>
      </c>
      <c r="T300" s="4"/>
      <c r="U300" s="4" t="str">
        <f t="shared" si="42"/>
        <v>DivIunits GOC 5Yr Bond</v>
      </c>
      <c r="V300" s="23">
        <f>IFERROR(IF(AND(AB300&gt;0,B300&lt;&gt;"Sell"),(AA300-SUMIF(C$4:C299,C300,AC$4:AC300))/AB300,0),"")</f>
        <v>-28.945</v>
      </c>
      <c r="W300" s="24" t="str">
        <f t="shared" si="36"/>
        <v/>
      </c>
      <c r="X300" s="25" t="str">
        <f t="shared" si="35"/>
        <v>Iunits GOC 5Yr Bond_ACB</v>
      </c>
      <c r="Y300" s="10" t="str">
        <f>IF(S301&lt;&gt;eRRSP_Tx_Table[[#This Row],[Year]],SUMIFS($W$4:$W300,$S$4:$S300,eRRSP_Tx_Table[[#This Row],[Year]],$W$4:$W300,"&gt;0"),"")</f>
        <v/>
      </c>
      <c r="Z300" s="10" t="str">
        <f>IF(S301&lt;&gt;eRRSP_Tx_Table[[#This Row],[Year]],SUMIFS($W$4:$W300,$S$4:$S300,eRRSP_Tx_Table[[#This Row],[Year]],$W$4:$W300,"&lt;0"),"")</f>
        <v/>
      </c>
      <c r="AA300" s="3">
        <f>(SUMIF($U$4:$U300,CONCATENATE("Buy",$C300),$N$4:$N300)+SUMIF($U$4:$U300,CONCATENATE("ReinvDiv",$C300),$N$4:$N300))</f>
        <v>-5789</v>
      </c>
      <c r="AB300" s="3">
        <f>(SUMIF($U$4:$U300,CONCATENATE("Buy",$C300),$F$4:$F300)+SUMIF($U$4:$U300,CONCATENATE("ReinvDiv",$C300),$F$4:$F300)+SUMIF($U$4:$U300,CONCATENATE("StkSplit",$C300),$F$4:$F300)-SUMIF($U$4:$U300,CONCATENATE("Sell",$C300),$F$4:$F300))</f>
        <v>200</v>
      </c>
      <c r="AC300" s="3">
        <f>IF(B300="Sell",F300*INDEX(V:V,LOOKUP(2,1/(X$4:X299=CONCATENATE(C300,"_ACB")),ROW(V$4:V299))),0)</f>
        <v>0</v>
      </c>
    </row>
    <row r="301" spans="1:29" x14ac:dyDescent="0.25">
      <c r="A301" s="20">
        <v>38533</v>
      </c>
      <c r="B301" t="s">
        <v>41</v>
      </c>
      <c r="C301" t="s">
        <v>62</v>
      </c>
      <c r="D301" s="3">
        <v>99.03</v>
      </c>
      <c r="E301">
        <v>15.45</v>
      </c>
      <c r="F301" s="3">
        <v>6.41</v>
      </c>
      <c r="M301" s="21">
        <f t="shared" si="40"/>
        <v>99.03</v>
      </c>
      <c r="N301" s="8">
        <f t="shared" si="37"/>
        <v>-99.03</v>
      </c>
      <c r="O301" s="25">
        <f t="shared" si="38"/>
        <v>10922.280000000002</v>
      </c>
      <c r="P301" s="8">
        <f t="shared" si="41"/>
        <v>0</v>
      </c>
      <c r="Q301" s="4">
        <f>IF(AND(S301&gt;=[1]eRRSP_Rpt!$C$6,S301&lt;=[1]eRRSP_Rpt!$C$7),1,0)</f>
        <v>0</v>
      </c>
      <c r="R301" s="4"/>
      <c r="S301" s="4">
        <f t="shared" si="39"/>
        <v>2005</v>
      </c>
      <c r="T301" s="4"/>
      <c r="U301" s="4" t="str">
        <f t="shared" si="42"/>
        <v>ReinvDivTD RR Bond</v>
      </c>
      <c r="V301" s="23">
        <f>IFERROR(IF(AND(AB301&gt;0,B301&lt;&gt;"Sell"),(AA301-SUMIF(C$4:C300,C301,AC$4:AC301))/AB301,0),"")</f>
        <v>-14.438650936529134</v>
      </c>
      <c r="W301" s="24" t="str">
        <f t="shared" si="36"/>
        <v/>
      </c>
      <c r="X301" s="25" t="str">
        <f t="shared" si="35"/>
        <v>TD RR Bond_ACB</v>
      </c>
      <c r="Y301" s="10" t="str">
        <f>IF(S302&lt;&gt;eRRSP_Tx_Table[[#This Row],[Year]],SUMIFS($W$4:$W301,$S$4:$S301,eRRSP_Tx_Table[[#This Row],[Year]],$W$4:$W301,"&gt;0"),"")</f>
        <v/>
      </c>
      <c r="Z301" s="10" t="str">
        <f>IF(S302&lt;&gt;eRRSP_Tx_Table[[#This Row],[Year]],SUMIFS($W$4:$W301,$S$4:$S301,eRRSP_Tx_Table[[#This Row],[Year]],$W$4:$W301,"&lt;0"),"")</f>
        <v/>
      </c>
      <c r="AA301" s="3">
        <f>(SUMIF($U$4:$U301,CONCATENATE("Buy",$C301),$N$4:$N301)+SUMIF($U$4:$U301,CONCATENATE("ReinvDiv",$C301),$N$4:$N301))</f>
        <v>-8509.52</v>
      </c>
      <c r="AB301" s="3">
        <f>(SUMIF($U$4:$U301,CONCATENATE("Buy",$C301),$F$4:$F301)+SUMIF($U$4:$U301,CONCATENATE("ReinvDiv",$C301),$F$4:$F301)+SUMIF($U$4:$U301,CONCATENATE("StkSplit",$C301),$F$4:$F301)-SUMIF($U$4:$U301,CONCATENATE("Sell",$C301),$F$4:$F301))</f>
        <v>589.35699999999997</v>
      </c>
      <c r="AC301" s="3">
        <f>IF(B301="Sell",F301*INDEX(V:V,LOOKUP(2,1/(X$4:X300=CONCATENATE(C301,"_ACB")),ROW(V$4:V300))),0)</f>
        <v>0</v>
      </c>
    </row>
    <row r="302" spans="1:29" x14ac:dyDescent="0.25">
      <c r="A302" s="20">
        <v>38548</v>
      </c>
      <c r="B302" t="s">
        <v>41</v>
      </c>
      <c r="C302" t="s">
        <v>39</v>
      </c>
      <c r="D302" s="3">
        <v>5.1100000000000003</v>
      </c>
      <c r="E302">
        <v>11.08</v>
      </c>
      <c r="F302" s="3">
        <v>0.46100000000000002</v>
      </c>
      <c r="M302" s="21">
        <f t="shared" si="40"/>
        <v>5.1100000000000003</v>
      </c>
      <c r="N302" s="8">
        <f t="shared" si="37"/>
        <v>-5.1100000000000003</v>
      </c>
      <c r="O302" s="25">
        <f t="shared" si="38"/>
        <v>10922.280000000002</v>
      </c>
      <c r="P302" s="8">
        <f t="shared" si="41"/>
        <v>0</v>
      </c>
      <c r="Q302" s="4">
        <f>IF(AND(S302&gt;=[1]eRRSP_Rpt!$C$6,S302&lt;=[1]eRRSP_Rpt!$C$7),1,0)</f>
        <v>0</v>
      </c>
      <c r="R302" s="4"/>
      <c r="S302" s="4">
        <f t="shared" si="39"/>
        <v>2005</v>
      </c>
      <c r="T302" s="4"/>
      <c r="U302" s="4" t="str">
        <f t="shared" si="42"/>
        <v>ReinvDivTrimark Income Growth</v>
      </c>
      <c r="V302" s="23">
        <f>IFERROR(IF(AND(AB302&gt;0,B302&lt;&gt;"Sell"),(AA302-SUMIF(C$4:C301,C302,AC$4:AC302))/AB302,0),"")</f>
        <v>-8.017544546445091</v>
      </c>
      <c r="W302" s="24" t="str">
        <f t="shared" si="36"/>
        <v/>
      </c>
      <c r="X302" s="25" t="str">
        <f t="shared" si="35"/>
        <v>Trimark Income Growth_ACB</v>
      </c>
      <c r="Y302" s="10" t="str">
        <f>IF(S303&lt;&gt;eRRSP_Tx_Table[[#This Row],[Year]],SUMIFS($W$4:$W302,$S$4:$S302,eRRSP_Tx_Table[[#This Row],[Year]],$W$4:$W302,"&gt;0"),"")</f>
        <v/>
      </c>
      <c r="Z302" s="10" t="str">
        <f>IF(S303&lt;&gt;eRRSP_Tx_Table[[#This Row],[Year]],SUMIFS($W$4:$W302,$S$4:$S302,eRRSP_Tx_Table[[#This Row],[Year]],$W$4:$W302,"&lt;0"),"")</f>
        <v/>
      </c>
      <c r="AA302" s="3">
        <f>(SUMIF($U$4:$U302,CONCATENATE("Buy",$C302),$N$4:$N302)+SUMIF($U$4:$U302,CONCATENATE("ReinvDiv",$C302),$N$4:$N302))</f>
        <v>-2457.6499999999996</v>
      </c>
      <c r="AB302" s="3">
        <f>(SUMIF($U$4:$U302,CONCATENATE("Buy",$C302),$F$4:$F302)+SUMIF($U$4:$U302,CONCATENATE("ReinvDiv",$C302),$F$4:$F302)+SUMIF($U$4:$U302,CONCATENATE("StkSplit",$C302),$F$4:$F302)-SUMIF($U$4:$U302,CONCATENATE("Sell",$C302),$F$4:$F302))</f>
        <v>306.53399999999999</v>
      </c>
      <c r="AC302" s="3">
        <f>IF(B302="Sell",F302*INDEX(V:V,LOOKUP(2,1/(X$4:X301=CONCATENATE(C302,"_ACB")),ROW(V$4:V301))),0)</f>
        <v>0</v>
      </c>
    </row>
    <row r="303" spans="1:29" x14ac:dyDescent="0.25">
      <c r="A303" s="20">
        <v>38549</v>
      </c>
      <c r="B303" t="s">
        <v>43</v>
      </c>
      <c r="C303" t="s">
        <v>36</v>
      </c>
      <c r="D303" s="3">
        <v>2.23</v>
      </c>
      <c r="M303" s="21">
        <f t="shared" si="40"/>
        <v>2.23</v>
      </c>
      <c r="N303" s="8">
        <f t="shared" si="37"/>
        <v>2.23</v>
      </c>
      <c r="O303" s="25">
        <f t="shared" si="38"/>
        <v>10924.510000000002</v>
      </c>
      <c r="P303" s="8">
        <f t="shared" si="41"/>
        <v>0</v>
      </c>
      <c r="Q303" s="4">
        <f>IF(AND(S303&gt;=[1]eRRSP_Rpt!$C$6,S303&lt;=[1]eRRSP_Rpt!$C$7),1,0)</f>
        <v>0</v>
      </c>
      <c r="R303" s="4"/>
      <c r="S303" s="4">
        <f t="shared" si="39"/>
        <v>2005</v>
      </c>
      <c r="T303" s="4"/>
      <c r="U303" s="4" t="str">
        <f t="shared" si="42"/>
        <v>IntIncTDW</v>
      </c>
      <c r="V303" s="23">
        <f>IFERROR(IF(AND(AB303&gt;0,B303&lt;&gt;"Sell"),(AA303-SUMIF(C$4:C302,C303,AC$4:AC303))/AB303,0),"")</f>
        <v>0</v>
      </c>
      <c r="W303" s="24" t="str">
        <f t="shared" si="36"/>
        <v/>
      </c>
      <c r="X303" s="25" t="str">
        <f t="shared" si="35"/>
        <v/>
      </c>
      <c r="Y303" s="10" t="str">
        <f>IF(S304&lt;&gt;eRRSP_Tx_Table[[#This Row],[Year]],SUMIFS($W$4:$W303,$S$4:$S303,eRRSP_Tx_Table[[#This Row],[Year]],$W$4:$W303,"&gt;0"),"")</f>
        <v/>
      </c>
      <c r="Z303" s="10" t="str">
        <f>IF(S304&lt;&gt;eRRSP_Tx_Table[[#This Row],[Year]],SUMIFS($W$4:$W303,$S$4:$S303,eRRSP_Tx_Table[[#This Row],[Year]],$W$4:$W303,"&lt;0"),"")</f>
        <v/>
      </c>
      <c r="AA303" s="3">
        <f>(SUMIF($U$4:$U303,CONCATENATE("Buy",$C303),$N$4:$N303)+SUMIF($U$4:$U303,CONCATENATE("ReinvDiv",$C303),$N$4:$N303))</f>
        <v>0</v>
      </c>
      <c r="AB303" s="3">
        <f>(SUMIF($U$4:$U303,CONCATENATE("Buy",$C303),$F$4:$F303)+SUMIF($U$4:$U303,CONCATENATE("ReinvDiv",$C303),$F$4:$F303)+SUMIF($U$4:$U303,CONCATENATE("StkSplit",$C303),$F$4:$F303)-SUMIF($U$4:$U303,CONCATENATE("Sell",$C303),$F$4:$F303))</f>
        <v>0</v>
      </c>
      <c r="AC303" s="3">
        <f>IF(B303="Sell",F303*INDEX(V:V,LOOKUP(2,1/(X$4:X302=CONCATENATE(C303,"_ACB")),ROW(V$4:V302))),0)</f>
        <v>0</v>
      </c>
    </row>
    <row r="304" spans="1:29" x14ac:dyDescent="0.25">
      <c r="A304" s="20">
        <v>38564</v>
      </c>
      <c r="B304" t="s">
        <v>42</v>
      </c>
      <c r="C304" t="s">
        <v>45</v>
      </c>
      <c r="D304" s="3">
        <v>8</v>
      </c>
      <c r="M304" s="21">
        <f t="shared" si="40"/>
        <v>8</v>
      </c>
      <c r="N304" s="8">
        <f t="shared" si="37"/>
        <v>8</v>
      </c>
      <c r="O304" s="25">
        <f t="shared" si="38"/>
        <v>10932.510000000002</v>
      </c>
      <c r="P304" s="8">
        <f t="shared" si="41"/>
        <v>0</v>
      </c>
      <c r="Q304" s="4">
        <f>IF(AND(S304&gt;=[1]eRRSP_Rpt!$C$6,S304&lt;=[1]eRRSP_Rpt!$C$7),1,0)</f>
        <v>0</v>
      </c>
      <c r="R304" s="4"/>
      <c r="S304" s="4">
        <f t="shared" si="39"/>
        <v>2005</v>
      </c>
      <c r="T304" s="4"/>
      <c r="U304" s="4" t="str">
        <f t="shared" si="42"/>
        <v>DivTD Bank</v>
      </c>
      <c r="V304" s="23">
        <f>IFERROR(IF(AND(AB304&gt;0,B304&lt;&gt;"Sell"),(AA304-SUMIF(C$4:C303,C304,AC$4:AC304))/AB304,0),"")</f>
        <v>-44.29</v>
      </c>
      <c r="W304" s="24" t="str">
        <f t="shared" si="36"/>
        <v/>
      </c>
      <c r="X304" s="25" t="str">
        <f t="shared" si="35"/>
        <v>TD Bank_ACB</v>
      </c>
      <c r="Y304" s="10" t="str">
        <f>IF(S305&lt;&gt;eRRSP_Tx_Table[[#This Row],[Year]],SUMIFS($W$4:$W304,$S$4:$S304,eRRSP_Tx_Table[[#This Row],[Year]],$W$4:$W304,"&gt;0"),"")</f>
        <v/>
      </c>
      <c r="Z304" s="10" t="str">
        <f>IF(S305&lt;&gt;eRRSP_Tx_Table[[#This Row],[Year]],SUMIFS($W$4:$W304,$S$4:$S304,eRRSP_Tx_Table[[#This Row],[Year]],$W$4:$W304,"&lt;0"),"")</f>
        <v/>
      </c>
      <c r="AA304" s="3">
        <f>(SUMIF($U$4:$U304,CONCATENATE("Buy",$C304),$N$4:$N304)+SUMIF($U$4:$U304,CONCATENATE("ReinvDiv",$C304),$N$4:$N304))</f>
        <v>-885.8</v>
      </c>
      <c r="AB304" s="3">
        <f>(SUMIF($U$4:$U304,CONCATENATE("Buy",$C304),$F$4:$F304)+SUMIF($U$4:$U304,CONCATENATE("ReinvDiv",$C304),$F$4:$F304)+SUMIF($U$4:$U304,CONCATENATE("StkSplit",$C304),$F$4:$F304)-SUMIF($U$4:$U304,CONCATENATE("Sell",$C304),$F$4:$F304))</f>
        <v>20</v>
      </c>
      <c r="AC304" s="3">
        <f>IF(B304="Sell",F304*INDEX(V:V,LOOKUP(2,1/(X$4:X303=CONCATENATE(C304,"_ACB")),ROW(V$4:V303))),0)</f>
        <v>0</v>
      </c>
    </row>
    <row r="305" spans="1:29" x14ac:dyDescent="0.25">
      <c r="A305" s="20">
        <v>38579</v>
      </c>
      <c r="B305" t="s">
        <v>41</v>
      </c>
      <c r="C305" t="s">
        <v>39</v>
      </c>
      <c r="D305" s="3">
        <v>2.91</v>
      </c>
      <c r="E305">
        <v>11.15</v>
      </c>
      <c r="F305" s="3">
        <v>0.26100000000000001</v>
      </c>
      <c r="M305" s="21">
        <f t="shared" si="40"/>
        <v>2.91</v>
      </c>
      <c r="N305" s="8">
        <f t="shared" si="37"/>
        <v>-2.91</v>
      </c>
      <c r="O305" s="25">
        <f t="shared" si="38"/>
        <v>10932.510000000002</v>
      </c>
      <c r="P305" s="8">
        <f t="shared" si="41"/>
        <v>0</v>
      </c>
      <c r="Q305" s="4">
        <f>IF(AND(S305&gt;=[1]eRRSP_Rpt!$C$6,S305&lt;=[1]eRRSP_Rpt!$C$7),1,0)</f>
        <v>0</v>
      </c>
      <c r="R305" s="4"/>
      <c r="S305" s="4">
        <f t="shared" si="39"/>
        <v>2005</v>
      </c>
      <c r="T305" s="4"/>
      <c r="U305" s="4" t="str">
        <f t="shared" si="42"/>
        <v>ReinvDivTrimark Income Growth</v>
      </c>
      <c r="V305" s="23">
        <f>IFERROR(IF(AND(AB305&gt;0,B305&lt;&gt;"Sell"),(AA305-SUMIF(C$4:C304,C305,AC$4:AC305))/AB305,0),"")</f>
        <v>-8.0202089343046659</v>
      </c>
      <c r="W305" s="24" t="str">
        <f t="shared" si="36"/>
        <v/>
      </c>
      <c r="X305" s="25" t="str">
        <f t="shared" si="35"/>
        <v>Trimark Income Growth_ACB</v>
      </c>
      <c r="Y305" s="10" t="str">
        <f>IF(S306&lt;&gt;eRRSP_Tx_Table[[#This Row],[Year]],SUMIFS($W$4:$W305,$S$4:$S305,eRRSP_Tx_Table[[#This Row],[Year]],$W$4:$W305,"&gt;0"),"")</f>
        <v/>
      </c>
      <c r="Z305" s="10" t="str">
        <f>IF(S306&lt;&gt;eRRSP_Tx_Table[[#This Row],[Year]],SUMIFS($W$4:$W305,$S$4:$S305,eRRSP_Tx_Table[[#This Row],[Year]],$W$4:$W305,"&lt;0"),"")</f>
        <v/>
      </c>
      <c r="AA305" s="3">
        <f>(SUMIF($U$4:$U305,CONCATENATE("Buy",$C305),$N$4:$N305)+SUMIF($U$4:$U305,CONCATENATE("ReinvDiv",$C305),$N$4:$N305))</f>
        <v>-2460.56</v>
      </c>
      <c r="AB305" s="3">
        <f>(SUMIF($U$4:$U305,CONCATENATE("Buy",$C305),$F$4:$F305)+SUMIF($U$4:$U305,CONCATENATE("ReinvDiv",$C305),$F$4:$F305)+SUMIF($U$4:$U305,CONCATENATE("StkSplit",$C305),$F$4:$F305)-SUMIF($U$4:$U305,CONCATENATE("Sell",$C305),$F$4:$F305))</f>
        <v>306.79500000000002</v>
      </c>
      <c r="AC305" s="3">
        <f>IF(B305="Sell",F305*INDEX(V:V,LOOKUP(2,1/(X$4:X304=CONCATENATE(C305,"_ACB")),ROW(V$4:V304))),0)</f>
        <v>0</v>
      </c>
    </row>
    <row r="306" spans="1:29" x14ac:dyDescent="0.25">
      <c r="A306" s="20">
        <v>38580</v>
      </c>
      <c r="B306" t="s">
        <v>43</v>
      </c>
      <c r="C306" t="s">
        <v>36</v>
      </c>
      <c r="D306" s="3">
        <v>2.3199999999999998</v>
      </c>
      <c r="M306" s="21">
        <f t="shared" si="40"/>
        <v>2.3199999999999998</v>
      </c>
      <c r="N306" s="8">
        <f t="shared" si="37"/>
        <v>2.3199999999999998</v>
      </c>
      <c r="O306" s="25">
        <f t="shared" si="38"/>
        <v>10934.830000000002</v>
      </c>
      <c r="P306" s="8">
        <f t="shared" si="41"/>
        <v>0</v>
      </c>
      <c r="Q306" s="4">
        <f>IF(AND(S306&gt;=[1]eRRSP_Rpt!$C$6,S306&lt;=[1]eRRSP_Rpt!$C$7),1,0)</f>
        <v>0</v>
      </c>
      <c r="R306" s="4"/>
      <c r="S306" s="4">
        <f t="shared" si="39"/>
        <v>2005</v>
      </c>
      <c r="T306" s="4"/>
      <c r="U306" s="4" t="str">
        <f t="shared" si="42"/>
        <v>IntIncTDW</v>
      </c>
      <c r="V306" s="23">
        <f>IFERROR(IF(AND(AB306&gt;0,B306&lt;&gt;"Sell"),(AA306-SUMIF(C$4:C305,C306,AC$4:AC306))/AB306,0),"")</f>
        <v>0</v>
      </c>
      <c r="W306" s="24" t="str">
        <f t="shared" si="36"/>
        <v/>
      </c>
      <c r="X306" s="25" t="str">
        <f t="shared" si="35"/>
        <v/>
      </c>
      <c r="Y306" s="10" t="str">
        <f>IF(S307&lt;&gt;eRRSP_Tx_Table[[#This Row],[Year]],SUMIFS($W$4:$W306,$S$4:$S306,eRRSP_Tx_Table[[#This Row],[Year]],$W$4:$W306,"&gt;0"),"")</f>
        <v/>
      </c>
      <c r="Z306" s="10" t="str">
        <f>IF(S307&lt;&gt;eRRSP_Tx_Table[[#This Row],[Year]],SUMIFS($W$4:$W306,$S$4:$S306,eRRSP_Tx_Table[[#This Row],[Year]],$W$4:$W306,"&lt;0"),"")</f>
        <v/>
      </c>
      <c r="AA306" s="3">
        <f>(SUMIF($U$4:$U306,CONCATENATE("Buy",$C306),$N$4:$N306)+SUMIF($U$4:$U306,CONCATENATE("ReinvDiv",$C306),$N$4:$N306))</f>
        <v>0</v>
      </c>
      <c r="AB306" s="3">
        <f>(SUMIF($U$4:$U306,CONCATENATE("Buy",$C306),$F$4:$F306)+SUMIF($U$4:$U306,CONCATENATE("ReinvDiv",$C306),$F$4:$F306)+SUMIF($U$4:$U306,CONCATENATE("StkSplit",$C306),$F$4:$F306)-SUMIF($U$4:$U306,CONCATENATE("Sell",$C306),$F$4:$F306))</f>
        <v>0</v>
      </c>
      <c r="AC306" s="3">
        <f>IF(B306="Sell",F306*INDEX(V:V,LOOKUP(2,1/(X$4:X305=CONCATENATE(C306,"_ACB")),ROW(V$4:V305))),0)</f>
        <v>0</v>
      </c>
    </row>
    <row r="307" spans="1:29" x14ac:dyDescent="0.25">
      <c r="A307" s="20">
        <v>38581</v>
      </c>
      <c r="B307" t="s">
        <v>41</v>
      </c>
      <c r="C307" t="s">
        <v>73</v>
      </c>
      <c r="D307" s="3">
        <v>629.6</v>
      </c>
      <c r="E307">
        <v>3.88</v>
      </c>
      <c r="F307" s="3">
        <v>162.268</v>
      </c>
      <c r="M307" s="21">
        <f t="shared" si="40"/>
        <v>629.6</v>
      </c>
      <c r="N307" s="8">
        <f t="shared" si="37"/>
        <v>-629.6</v>
      </c>
      <c r="O307" s="25">
        <f t="shared" si="38"/>
        <v>10934.830000000002</v>
      </c>
      <c r="P307" s="8">
        <f t="shared" si="41"/>
        <v>0</v>
      </c>
      <c r="Q307" s="4">
        <f>IF(AND(S307&gt;=[1]eRRSP_Rpt!$C$6,S307&lt;=[1]eRRSP_Rpt!$C$7),1,0)</f>
        <v>0</v>
      </c>
      <c r="R307" s="4"/>
      <c r="S307" s="4">
        <f t="shared" si="39"/>
        <v>2005</v>
      </c>
      <c r="T307" s="4"/>
      <c r="U307" s="4" t="str">
        <f t="shared" si="42"/>
        <v>ReinvDivMutual Beacon RSP</v>
      </c>
      <c r="V307" s="23">
        <f>IFERROR(IF(AND(AB307&gt;0,B307&lt;&gt;"Sell"),(AA307-SUMIF(C$4:C306,C307,AC$4:AC307))/AB307,0),"")</f>
        <v>-4.9178243078465256</v>
      </c>
      <c r="W307" s="24" t="str">
        <f t="shared" si="36"/>
        <v/>
      </c>
      <c r="X307" s="25" t="str">
        <f t="shared" si="35"/>
        <v>Mutual Beacon RSP_ACB</v>
      </c>
      <c r="Y307" s="10" t="str">
        <f>IF(S308&lt;&gt;eRRSP_Tx_Table[[#This Row],[Year]],SUMIFS($W$4:$W307,$S$4:$S307,eRRSP_Tx_Table[[#This Row],[Year]],$W$4:$W307,"&gt;0"),"")</f>
        <v/>
      </c>
      <c r="Z307" s="10" t="str">
        <f>IF(S308&lt;&gt;eRRSP_Tx_Table[[#This Row],[Year]],SUMIFS($W$4:$W307,$S$4:$S307,eRRSP_Tx_Table[[#This Row],[Year]],$W$4:$W307,"&lt;0"),"")</f>
        <v/>
      </c>
      <c r="AA307" s="3">
        <f>(SUMIF($U$4:$U307,CONCATENATE("Buy",$C307),$N$4:$N307)+SUMIF($U$4:$U307,CONCATENATE("ReinvDiv",$C307),$N$4:$N307))</f>
        <v>-2629.6</v>
      </c>
      <c r="AB307" s="3">
        <f>(SUMIF($U$4:$U307,CONCATENATE("Buy",$C307),$F$4:$F307)+SUMIF($U$4:$U307,CONCATENATE("ReinvDiv",$C307),$F$4:$F307)+SUMIF($U$4:$U307,CONCATENATE("StkSplit",$C307),$F$4:$F307)-SUMIF($U$4:$U307,CONCATENATE("Sell",$C307),$F$4:$F307))</f>
        <v>534.70799999999997</v>
      </c>
      <c r="AC307" s="3">
        <f>IF(B307="Sell",F307*INDEX(V:V,LOOKUP(2,1/(X$4:X306=CONCATENATE(C307,"_ACB")),ROW(V$4:V306))),0)</f>
        <v>0</v>
      </c>
    </row>
    <row r="308" spans="1:29" x14ac:dyDescent="0.25">
      <c r="A308" s="20">
        <v>38588</v>
      </c>
      <c r="B308" t="s">
        <v>40</v>
      </c>
      <c r="C308" t="s">
        <v>73</v>
      </c>
      <c r="D308" s="3">
        <v>2079.21</v>
      </c>
      <c r="E308">
        <v>3.888496</v>
      </c>
      <c r="F308" s="3">
        <v>534.70799999999997</v>
      </c>
      <c r="M308" s="21">
        <f t="shared" si="40"/>
        <v>2079.21</v>
      </c>
      <c r="N308" s="8">
        <f t="shared" si="37"/>
        <v>2079.21</v>
      </c>
      <c r="O308" s="25">
        <f t="shared" si="38"/>
        <v>13014.04</v>
      </c>
      <c r="P308" s="8">
        <f t="shared" si="41"/>
        <v>0</v>
      </c>
      <c r="Q308" s="4">
        <f>IF(AND(S308&gt;=[1]eRRSP_Rpt!$C$6,S308&lt;=[1]eRRSP_Rpt!$C$7),1,0)</f>
        <v>0</v>
      </c>
      <c r="R308" s="4"/>
      <c r="S308" s="4">
        <f t="shared" si="39"/>
        <v>2005</v>
      </c>
      <c r="T308" s="4"/>
      <c r="U308" s="4" t="str">
        <f t="shared" si="42"/>
        <v>SellMutual Beacon RSP</v>
      </c>
      <c r="V308" s="23">
        <f>IFERROR(IF(AND(AB308&gt;0,B308&lt;&gt;"Sell"),(AA308-SUMIF(C$4:C307,C308,AC$4:AC308))/AB308,0),"")</f>
        <v>0</v>
      </c>
      <c r="W308" s="24">
        <f t="shared" si="36"/>
        <v>-550.38999999999987</v>
      </c>
      <c r="X308" s="25" t="str">
        <f t="shared" si="35"/>
        <v/>
      </c>
      <c r="Y308" s="10" t="str">
        <f>IF(S309&lt;&gt;eRRSP_Tx_Table[[#This Row],[Year]],SUMIFS($W$4:$W308,$S$4:$S308,eRRSP_Tx_Table[[#This Row],[Year]],$W$4:$W308,"&gt;0"),"")</f>
        <v/>
      </c>
      <c r="Z308" s="10" t="str">
        <f>IF(S309&lt;&gt;eRRSP_Tx_Table[[#This Row],[Year]],SUMIFS($W$4:$W308,$S$4:$S308,eRRSP_Tx_Table[[#This Row],[Year]],$W$4:$W308,"&lt;0"),"")</f>
        <v/>
      </c>
      <c r="AA308" s="3">
        <f>(SUMIF($U$4:$U308,CONCATENATE("Buy",$C308),$N$4:$N308)+SUMIF($U$4:$U308,CONCATENATE("ReinvDiv",$C308),$N$4:$N308))</f>
        <v>-2629.6</v>
      </c>
      <c r="AB308" s="3">
        <f>(SUMIF($U$4:$U308,CONCATENATE("Buy",$C308),$F$4:$F308)+SUMIF($U$4:$U308,CONCATENATE("ReinvDiv",$C308),$F$4:$F308)+SUMIF($U$4:$U308,CONCATENATE("StkSplit",$C308),$F$4:$F308)-SUMIF($U$4:$U308,CONCATENATE("Sell",$C308),$F$4:$F308))</f>
        <v>0</v>
      </c>
      <c r="AC308" s="3">
        <f>IF(B308="Sell",F308*INDEX(V:V,LOOKUP(2,1/(X$4:X307=CONCATENATE(C308,"_ACB")),ROW(V$4:V307))),0)</f>
        <v>-2629.6</v>
      </c>
    </row>
    <row r="309" spans="1:29" x14ac:dyDescent="0.25">
      <c r="A309" s="20">
        <v>38588</v>
      </c>
      <c r="B309" t="s">
        <v>32</v>
      </c>
      <c r="C309" t="s">
        <v>77</v>
      </c>
      <c r="D309" s="3">
        <v>2079.21</v>
      </c>
      <c r="E309">
        <v>6.81</v>
      </c>
      <c r="F309" s="3">
        <v>305.31700000000001</v>
      </c>
      <c r="M309" s="21">
        <f t="shared" si="40"/>
        <v>2079.21</v>
      </c>
      <c r="N309" s="8">
        <f t="shared" si="37"/>
        <v>-2079.21</v>
      </c>
      <c r="O309" s="25">
        <f t="shared" si="38"/>
        <v>10934.830000000002</v>
      </c>
      <c r="P309" s="8">
        <f t="shared" si="41"/>
        <v>0</v>
      </c>
      <c r="Q309" s="4">
        <f>IF(AND(S309&gt;=[1]eRRSP_Rpt!$C$6,S309&lt;=[1]eRRSP_Rpt!$C$7),1,0)</f>
        <v>0</v>
      </c>
      <c r="R309" s="4"/>
      <c r="S309" s="4">
        <f t="shared" si="39"/>
        <v>2005</v>
      </c>
      <c r="T309" s="4"/>
      <c r="U309" s="4" t="str">
        <f t="shared" si="42"/>
        <v>BuyMutual Beacon</v>
      </c>
      <c r="V309" s="23">
        <f>IFERROR(IF(AND(AB309&gt;0,B309&lt;&gt;"Sell"),(AA309-SUMIF(C$4:C308,C309,AC$4:AC309))/AB309,0),"")</f>
        <v>-6.8100040285997832</v>
      </c>
      <c r="W309" s="24" t="str">
        <f t="shared" si="36"/>
        <v/>
      </c>
      <c r="X309" s="25" t="str">
        <f t="shared" si="35"/>
        <v>Mutual Beacon_ACB</v>
      </c>
      <c r="Y309" s="10" t="str">
        <f>IF(S310&lt;&gt;eRRSP_Tx_Table[[#This Row],[Year]],SUMIFS($W$4:$W309,$S$4:$S309,eRRSP_Tx_Table[[#This Row],[Year]],$W$4:$W309,"&gt;0"),"")</f>
        <v/>
      </c>
      <c r="Z309" s="10" t="str">
        <f>IF(S310&lt;&gt;eRRSP_Tx_Table[[#This Row],[Year]],SUMIFS($W$4:$W309,$S$4:$S309,eRRSP_Tx_Table[[#This Row],[Year]],$W$4:$W309,"&lt;0"),"")</f>
        <v/>
      </c>
      <c r="AA309" s="3">
        <f>(SUMIF($U$4:$U309,CONCATENATE("Buy",$C309),$N$4:$N309)+SUMIF($U$4:$U309,CONCATENATE("ReinvDiv",$C309),$N$4:$N309))</f>
        <v>-2079.21</v>
      </c>
      <c r="AB309" s="3">
        <f>(SUMIF($U$4:$U309,CONCATENATE("Buy",$C309),$F$4:$F309)+SUMIF($U$4:$U309,CONCATENATE("ReinvDiv",$C309),$F$4:$F309)+SUMIF($U$4:$U309,CONCATENATE("StkSplit",$C309),$F$4:$F309)-SUMIF($U$4:$U309,CONCATENATE("Sell",$C309),$F$4:$F309))</f>
        <v>305.31700000000001</v>
      </c>
      <c r="AC309" s="3">
        <f>IF(B309="Sell",F309*INDEX(V:V,LOOKUP(2,1/(X$4:X308=CONCATENATE(C309,"_ACB")),ROW(V$4:V308))),0)</f>
        <v>0</v>
      </c>
    </row>
    <row r="310" spans="1:29" x14ac:dyDescent="0.25">
      <c r="A310" s="20">
        <v>38596</v>
      </c>
      <c r="B310" t="s">
        <v>42</v>
      </c>
      <c r="C310" t="s">
        <v>33</v>
      </c>
      <c r="D310" s="3">
        <v>28.5</v>
      </c>
      <c r="M310" s="21">
        <f t="shared" si="40"/>
        <v>28.5</v>
      </c>
      <c r="N310" s="8">
        <f t="shared" si="37"/>
        <v>28.5</v>
      </c>
      <c r="O310" s="25">
        <f t="shared" si="38"/>
        <v>10963.330000000002</v>
      </c>
      <c r="P310" s="8">
        <f t="shared" si="41"/>
        <v>0</v>
      </c>
      <c r="Q310" s="4">
        <f>IF(AND(S310&gt;=[1]eRRSP_Rpt!$C$6,S310&lt;=[1]eRRSP_Rpt!$C$7),1,0)</f>
        <v>0</v>
      </c>
      <c r="R310" s="4"/>
      <c r="S310" s="4">
        <f t="shared" si="39"/>
        <v>2005</v>
      </c>
      <c r="T310" s="4"/>
      <c r="U310" s="4" t="str">
        <f t="shared" si="42"/>
        <v>DivEnbridge</v>
      </c>
      <c r="V310" s="23">
        <f>IFERROR(IF(AND(AB310&gt;0,B310&lt;&gt;"Sell"),(AA310-SUMIF(C$4:C309,C310,AC$4:AC310))/AB310,0),"")</f>
        <v>-12.859027777777779</v>
      </c>
      <c r="W310" s="24" t="str">
        <f t="shared" si="36"/>
        <v/>
      </c>
      <c r="X310" s="25" t="str">
        <f t="shared" si="35"/>
        <v>Enbridge_ACB</v>
      </c>
      <c r="Y310" s="10" t="str">
        <f>IF(S311&lt;&gt;eRRSP_Tx_Table[[#This Row],[Year]],SUMIFS($W$4:$W310,$S$4:$S310,eRRSP_Tx_Table[[#This Row],[Year]],$W$4:$W310,"&gt;0"),"")</f>
        <v/>
      </c>
      <c r="Z310" s="10" t="str">
        <f>IF(S311&lt;&gt;eRRSP_Tx_Table[[#This Row],[Year]],SUMIFS($W$4:$W310,$S$4:$S310,eRRSP_Tx_Table[[#This Row],[Year]],$W$4:$W310,"&lt;0"),"")</f>
        <v/>
      </c>
      <c r="AA310" s="3">
        <f>(SUMIF($U$4:$U310,CONCATENATE("Buy",$C310),$N$4:$N310)+SUMIF($U$4:$U310,CONCATENATE("ReinvDiv",$C310),$N$4:$N310))</f>
        <v>-1851.7</v>
      </c>
      <c r="AB310" s="3">
        <f>(SUMIF($U$4:$U310,CONCATENATE("Buy",$C310),$F$4:$F310)+SUMIF($U$4:$U310,CONCATENATE("ReinvDiv",$C310),$F$4:$F310)+SUMIF($U$4:$U310,CONCATENATE("StkSplit",$C310),$F$4:$F310)-SUMIF($U$4:$U310,CONCATENATE("Sell",$C310),$F$4:$F310))</f>
        <v>114</v>
      </c>
      <c r="AC310" s="3">
        <f>IF(B310="Sell",F310*INDEX(V:V,LOOKUP(2,1/(X$4:X309=CONCATENATE(C310,"_ACB")),ROW(V$4:V309))),0)</f>
        <v>0</v>
      </c>
    </row>
    <row r="311" spans="1:29" x14ac:dyDescent="0.25">
      <c r="A311" s="20">
        <v>38610</v>
      </c>
      <c r="B311" t="s">
        <v>41</v>
      </c>
      <c r="C311" t="s">
        <v>39</v>
      </c>
      <c r="D311" s="3">
        <v>6.47</v>
      </c>
      <c r="E311">
        <v>11.21</v>
      </c>
      <c r="F311" s="3">
        <v>0.57699999999999996</v>
      </c>
      <c r="M311" s="21">
        <f t="shared" si="40"/>
        <v>6.47</v>
      </c>
      <c r="N311" s="8">
        <f t="shared" si="37"/>
        <v>-6.47</v>
      </c>
      <c r="O311" s="25">
        <f t="shared" si="38"/>
        <v>10963.330000000002</v>
      </c>
      <c r="P311" s="8">
        <f t="shared" si="41"/>
        <v>0</v>
      </c>
      <c r="Q311" s="4">
        <f>IF(AND(S311&gt;=[1]eRRSP_Rpt!$C$6,S311&lt;=[1]eRRSP_Rpt!$C$7),1,0)</f>
        <v>0</v>
      </c>
      <c r="R311" s="4"/>
      <c r="S311" s="4">
        <f t="shared" si="39"/>
        <v>2005</v>
      </c>
      <c r="T311" s="4"/>
      <c r="U311" s="4" t="str">
        <f t="shared" si="42"/>
        <v>ReinvDivTrimark Income Growth</v>
      </c>
      <c r="V311" s="23">
        <f>IFERROR(IF(AND(AB311&gt;0,B311&lt;&gt;"Sell"),(AA311-SUMIF(C$4:C310,C311,AC$4:AC311))/AB311,0),"")</f>
        <v>-8.0262027770909512</v>
      </c>
      <c r="W311" s="24" t="str">
        <f t="shared" si="36"/>
        <v/>
      </c>
      <c r="X311" s="25" t="str">
        <f t="shared" si="35"/>
        <v>Trimark Income Growth_ACB</v>
      </c>
      <c r="Y311" s="10" t="str">
        <f>IF(S312&lt;&gt;eRRSP_Tx_Table[[#This Row],[Year]],SUMIFS($W$4:$W311,$S$4:$S311,eRRSP_Tx_Table[[#This Row],[Year]],$W$4:$W311,"&gt;0"),"")</f>
        <v/>
      </c>
      <c r="Z311" s="10" t="str">
        <f>IF(S312&lt;&gt;eRRSP_Tx_Table[[#This Row],[Year]],SUMIFS($W$4:$W311,$S$4:$S311,eRRSP_Tx_Table[[#This Row],[Year]],$W$4:$W311,"&lt;0"),"")</f>
        <v/>
      </c>
      <c r="AA311" s="3">
        <f>(SUMIF($U$4:$U311,CONCATENATE("Buy",$C311),$N$4:$N311)+SUMIF($U$4:$U311,CONCATENATE("ReinvDiv",$C311),$N$4:$N311))</f>
        <v>-2467.0299999999997</v>
      </c>
      <c r="AB311" s="3">
        <f>(SUMIF($U$4:$U311,CONCATENATE("Buy",$C311),$F$4:$F311)+SUMIF($U$4:$U311,CONCATENATE("ReinvDiv",$C311),$F$4:$F311)+SUMIF($U$4:$U311,CONCATENATE("StkSplit",$C311),$F$4:$F311)-SUMIF($U$4:$U311,CONCATENATE("Sell",$C311),$F$4:$F311))</f>
        <v>307.37200000000001</v>
      </c>
      <c r="AC311" s="3">
        <f>IF(B311="Sell",F311*INDEX(V:V,LOOKUP(2,1/(X$4:X310=CONCATENATE(C311,"_ACB")),ROW(V$4:V310))),0)</f>
        <v>0</v>
      </c>
    </row>
    <row r="312" spans="1:29" x14ac:dyDescent="0.25">
      <c r="A312" s="20">
        <v>38611</v>
      </c>
      <c r="B312" t="s">
        <v>43</v>
      </c>
      <c r="C312" t="s">
        <v>36</v>
      </c>
      <c r="D312" s="3">
        <v>2.92</v>
      </c>
      <c r="M312" s="21">
        <f t="shared" si="40"/>
        <v>2.92</v>
      </c>
      <c r="N312" s="8">
        <f t="shared" si="37"/>
        <v>2.92</v>
      </c>
      <c r="O312" s="25">
        <f t="shared" si="38"/>
        <v>10966.250000000002</v>
      </c>
      <c r="P312" s="8">
        <f t="shared" si="41"/>
        <v>0</v>
      </c>
      <c r="Q312" s="4">
        <f>IF(AND(S312&gt;=[1]eRRSP_Rpt!$C$6,S312&lt;=[1]eRRSP_Rpt!$C$7),1,0)</f>
        <v>0</v>
      </c>
      <c r="R312" s="4"/>
      <c r="S312" s="4">
        <f t="shared" si="39"/>
        <v>2005</v>
      </c>
      <c r="T312" s="4"/>
      <c r="U312" s="4" t="str">
        <f t="shared" si="42"/>
        <v>IntIncTDW</v>
      </c>
      <c r="V312" s="23">
        <f>IFERROR(IF(AND(AB312&gt;0,B312&lt;&gt;"Sell"),(AA312-SUMIF(C$4:C311,C312,AC$4:AC312))/AB312,0),"")</f>
        <v>0</v>
      </c>
      <c r="W312" s="24" t="str">
        <f t="shared" si="36"/>
        <v/>
      </c>
      <c r="X312" s="25" t="str">
        <f t="shared" si="35"/>
        <v/>
      </c>
      <c r="Y312" s="10" t="str">
        <f>IF(S313&lt;&gt;eRRSP_Tx_Table[[#This Row],[Year]],SUMIFS($W$4:$W312,$S$4:$S312,eRRSP_Tx_Table[[#This Row],[Year]],$W$4:$W312,"&gt;0"),"")</f>
        <v/>
      </c>
      <c r="Z312" s="10" t="str">
        <f>IF(S313&lt;&gt;eRRSP_Tx_Table[[#This Row],[Year]],SUMIFS($W$4:$W312,$S$4:$S312,eRRSP_Tx_Table[[#This Row],[Year]],$W$4:$W312,"&lt;0"),"")</f>
        <v/>
      </c>
      <c r="AA312" s="3">
        <f>(SUMIF($U$4:$U312,CONCATENATE("Buy",$C312),$N$4:$N312)+SUMIF($U$4:$U312,CONCATENATE("ReinvDiv",$C312),$N$4:$N312))</f>
        <v>0</v>
      </c>
      <c r="AB312" s="3">
        <f>(SUMIF($U$4:$U312,CONCATENATE("Buy",$C312),$F$4:$F312)+SUMIF($U$4:$U312,CONCATENATE("ReinvDiv",$C312),$F$4:$F312)+SUMIF($U$4:$U312,CONCATENATE("StkSplit",$C312),$F$4:$F312)-SUMIF($U$4:$U312,CONCATENATE("Sell",$C312),$F$4:$F312))</f>
        <v>0</v>
      </c>
      <c r="AC312" s="3">
        <f>IF(B312="Sell",F312*INDEX(V:V,LOOKUP(2,1/(X$4:X311=CONCATENATE(C312,"_ACB")),ROW(V$4:V311))),0)</f>
        <v>0</v>
      </c>
    </row>
    <row r="313" spans="1:29" x14ac:dyDescent="0.25">
      <c r="A313" s="20">
        <v>38624</v>
      </c>
      <c r="B313" t="s">
        <v>41</v>
      </c>
      <c r="C313" t="s">
        <v>62</v>
      </c>
      <c r="D313" s="3">
        <v>76.849999999999994</v>
      </c>
      <c r="E313">
        <v>15.82</v>
      </c>
      <c r="F313" s="3">
        <v>4.8579999999999997</v>
      </c>
      <c r="M313" s="21">
        <f t="shared" si="40"/>
        <v>76.849999999999994</v>
      </c>
      <c r="N313" s="8">
        <f t="shared" si="37"/>
        <v>-76.849999999999994</v>
      </c>
      <c r="O313" s="25">
        <f t="shared" si="38"/>
        <v>10966.250000000002</v>
      </c>
      <c r="P313" s="8">
        <f t="shared" si="41"/>
        <v>0</v>
      </c>
      <c r="Q313" s="4">
        <f>IF(AND(S313&gt;=[1]eRRSP_Rpt!$C$6,S313&lt;=[1]eRRSP_Rpt!$C$7),1,0)</f>
        <v>0</v>
      </c>
      <c r="R313" s="4"/>
      <c r="S313" s="4">
        <f t="shared" si="39"/>
        <v>2005</v>
      </c>
      <c r="T313" s="4"/>
      <c r="U313" s="4" t="str">
        <f t="shared" si="42"/>
        <v>ReinvDivTD RR Bond</v>
      </c>
      <c r="V313" s="23">
        <f>IFERROR(IF(AND(AB313&gt;0,B313&lt;&gt;"Sell"),(AA313-SUMIF(C$4:C312,C313,AC$4:AC313))/AB313,0),"")</f>
        <v>-14.449938153698577</v>
      </c>
      <c r="W313" s="24" t="str">
        <f t="shared" si="36"/>
        <v/>
      </c>
      <c r="X313" s="25" t="str">
        <f t="shared" si="35"/>
        <v>TD RR Bond_ACB</v>
      </c>
      <c r="Y313" s="10" t="str">
        <f>IF(S314&lt;&gt;eRRSP_Tx_Table[[#This Row],[Year]],SUMIFS($W$4:$W313,$S$4:$S313,eRRSP_Tx_Table[[#This Row],[Year]],$W$4:$W313,"&gt;0"),"")</f>
        <v/>
      </c>
      <c r="Z313" s="10" t="str">
        <f>IF(S314&lt;&gt;eRRSP_Tx_Table[[#This Row],[Year]],SUMIFS($W$4:$W313,$S$4:$S313,eRRSP_Tx_Table[[#This Row],[Year]],$W$4:$W313,"&lt;0"),"")</f>
        <v/>
      </c>
      <c r="AA313" s="3">
        <f>(SUMIF($U$4:$U313,CONCATENATE("Buy",$C313),$N$4:$N313)+SUMIF($U$4:$U313,CONCATENATE("ReinvDiv",$C313),$N$4:$N313))</f>
        <v>-8586.3700000000008</v>
      </c>
      <c r="AB313" s="3">
        <f>(SUMIF($U$4:$U313,CONCATENATE("Buy",$C313),$F$4:$F313)+SUMIF($U$4:$U313,CONCATENATE("ReinvDiv",$C313),$F$4:$F313)+SUMIF($U$4:$U313,CONCATENATE("StkSplit",$C313),$F$4:$F313)-SUMIF($U$4:$U313,CONCATENATE("Sell",$C313),$F$4:$F313))</f>
        <v>594.21500000000003</v>
      </c>
      <c r="AC313" s="3">
        <f>IF(B313="Sell",F313*INDEX(V:V,LOOKUP(2,1/(X$4:X312=CONCATENATE(C313,"_ACB")),ROW(V$4:V312))),0)</f>
        <v>0</v>
      </c>
    </row>
    <row r="314" spans="1:29" x14ac:dyDescent="0.25">
      <c r="A314" s="20">
        <v>38630</v>
      </c>
      <c r="B314" t="s">
        <v>30</v>
      </c>
      <c r="C314" t="s">
        <v>31</v>
      </c>
      <c r="D314" s="3">
        <v>3791</v>
      </c>
      <c r="M314" s="21">
        <f t="shared" si="40"/>
        <v>3791</v>
      </c>
      <c r="N314" s="8">
        <f t="shared" si="37"/>
        <v>3791</v>
      </c>
      <c r="O314" s="25">
        <f t="shared" si="38"/>
        <v>14757.250000000002</v>
      </c>
      <c r="P314" s="8">
        <f t="shared" si="41"/>
        <v>3791</v>
      </c>
      <c r="Q314" s="4">
        <f>IF(AND(S314&gt;=[1]eRRSP_Rpt!$C$6,S314&lt;=[1]eRRSP_Rpt!$C$7),1,0)</f>
        <v>0</v>
      </c>
      <c r="R314" s="4"/>
      <c r="S314" s="4">
        <f t="shared" si="39"/>
        <v>2005</v>
      </c>
      <c r="T314" s="4"/>
      <c r="U314" s="4" t="str">
        <f t="shared" si="42"/>
        <v>CashContribution</v>
      </c>
      <c r="V314" s="23">
        <f>IFERROR(IF(AND(AB314&gt;0,B314&lt;&gt;"Sell"),(AA314-SUMIF(C$4:C313,C314,AC$4:AC314))/AB314,0),"")</f>
        <v>0</v>
      </c>
      <c r="W314" s="24" t="str">
        <f t="shared" si="36"/>
        <v/>
      </c>
      <c r="X314" s="25" t="str">
        <f t="shared" si="35"/>
        <v/>
      </c>
      <c r="Y314" s="10" t="str">
        <f>IF(S315&lt;&gt;eRRSP_Tx_Table[[#This Row],[Year]],SUMIFS($W$4:$W314,$S$4:$S314,eRRSP_Tx_Table[[#This Row],[Year]],$W$4:$W314,"&gt;0"),"")</f>
        <v/>
      </c>
      <c r="Z314" s="10" t="str">
        <f>IF(S315&lt;&gt;eRRSP_Tx_Table[[#This Row],[Year]],SUMIFS($W$4:$W314,$S$4:$S314,eRRSP_Tx_Table[[#This Row],[Year]],$W$4:$W314,"&lt;0"),"")</f>
        <v/>
      </c>
      <c r="AA314" s="3">
        <f>(SUMIF($U$4:$U314,CONCATENATE("Buy",$C314),$N$4:$N314)+SUMIF($U$4:$U314,CONCATENATE("ReinvDiv",$C314),$N$4:$N314))</f>
        <v>0</v>
      </c>
      <c r="AB314" s="3">
        <f>(SUMIF($U$4:$U314,CONCATENATE("Buy",$C314),$F$4:$F314)+SUMIF($U$4:$U314,CONCATENATE("ReinvDiv",$C314),$F$4:$F314)+SUMIF($U$4:$U314,CONCATENATE("StkSplit",$C314),$F$4:$F314)-SUMIF($U$4:$U314,CONCATENATE("Sell",$C314),$F$4:$F314))</f>
        <v>0</v>
      </c>
      <c r="AC314" s="3">
        <f>IF(B314="Sell",F314*INDEX(V:V,LOOKUP(2,1/(X$4:X313=CONCATENATE(C314,"_ACB")),ROW(V$4:V313))),0)</f>
        <v>0</v>
      </c>
    </row>
    <row r="315" spans="1:29" x14ac:dyDescent="0.25">
      <c r="A315" s="20">
        <v>38639</v>
      </c>
      <c r="B315" t="s">
        <v>41</v>
      </c>
      <c r="C315" t="s">
        <v>50</v>
      </c>
      <c r="D315" s="3">
        <v>63.23</v>
      </c>
      <c r="E315">
        <v>5.55</v>
      </c>
      <c r="F315" s="3">
        <v>11.393000000000001</v>
      </c>
      <c r="M315" s="21">
        <f t="shared" si="40"/>
        <v>63.23</v>
      </c>
      <c r="N315" s="8">
        <f t="shared" si="37"/>
        <v>-63.23</v>
      </c>
      <c r="O315" s="25">
        <f t="shared" si="38"/>
        <v>14757.250000000002</v>
      </c>
      <c r="P315" s="8">
        <f t="shared" si="41"/>
        <v>0</v>
      </c>
      <c r="Q315" s="4">
        <f>IF(AND(S315&gt;=[1]eRRSP_Rpt!$C$6,S315&lt;=[1]eRRSP_Rpt!$C$7),1,0)</f>
        <v>0</v>
      </c>
      <c r="R315" s="4"/>
      <c r="S315" s="4">
        <f t="shared" si="39"/>
        <v>2005</v>
      </c>
      <c r="T315" s="4"/>
      <c r="U315" s="4" t="str">
        <f t="shared" si="42"/>
        <v>ReinvDivTalvest Global Health Care RSP</v>
      </c>
      <c r="V315" s="23">
        <f>IFERROR(IF(AND(AB315&gt;0,B315&lt;&gt;"Sell"),(AA315-SUMIF(C$4:C314,C315,AC$4:AC315))/AB315,0),"")</f>
        <v>-5.6996823277833402</v>
      </c>
      <c r="W315" s="24" t="str">
        <f t="shared" si="36"/>
        <v/>
      </c>
      <c r="X315" s="25" t="str">
        <f t="shared" si="35"/>
        <v>Talvest Global Health Care RSP_ACB</v>
      </c>
      <c r="Y315" s="10" t="str">
        <f>IF(S316&lt;&gt;eRRSP_Tx_Table[[#This Row],[Year]],SUMIFS($W$4:$W315,$S$4:$S315,eRRSP_Tx_Table[[#This Row],[Year]],$W$4:$W315,"&gt;0"),"")</f>
        <v/>
      </c>
      <c r="Z315" s="10" t="str">
        <f>IF(S316&lt;&gt;eRRSP_Tx_Table[[#This Row],[Year]],SUMIFS($W$4:$W315,$S$4:$S315,eRRSP_Tx_Table[[#This Row],[Year]],$W$4:$W315,"&lt;0"),"")</f>
        <v/>
      </c>
      <c r="AA315" s="3">
        <f>(SUMIF($U$4:$U315,CONCATENATE("Buy",$C315),$N$4:$N315)+SUMIF($U$4:$U315,CONCATENATE("ReinvDiv",$C315),$N$4:$N315))</f>
        <v>-1844.44</v>
      </c>
      <c r="AB315" s="3">
        <f>(SUMIF($U$4:$U315,CONCATENATE("Buy",$C315),$F$4:$F315)+SUMIF($U$4:$U315,CONCATENATE("ReinvDiv",$C315),$F$4:$F315)+SUMIF($U$4:$U315,CONCATENATE("StkSplit",$C315),$F$4:$F315)-SUMIF($U$4:$U315,CONCATENATE("Sell",$C315),$F$4:$F315))</f>
        <v>323.60399999999998</v>
      </c>
      <c r="AC315" s="3">
        <f>IF(B315="Sell",F315*INDEX(V:V,LOOKUP(2,1/(X$4:X314=CONCATENATE(C315,"_ACB")),ROW(V$4:V314))),0)</f>
        <v>0</v>
      </c>
    </row>
    <row r="316" spans="1:29" x14ac:dyDescent="0.25">
      <c r="A316" s="20">
        <v>38639</v>
      </c>
      <c r="B316" t="s">
        <v>41</v>
      </c>
      <c r="C316" t="s">
        <v>39</v>
      </c>
      <c r="D316" s="3">
        <v>4.33</v>
      </c>
      <c r="E316">
        <v>10.85</v>
      </c>
      <c r="F316" s="3">
        <v>0.39900000000000002</v>
      </c>
      <c r="M316" s="21">
        <f t="shared" si="40"/>
        <v>4.33</v>
      </c>
      <c r="N316" s="8">
        <f t="shared" si="37"/>
        <v>-4.33</v>
      </c>
      <c r="O316" s="25">
        <f t="shared" si="38"/>
        <v>14757.250000000002</v>
      </c>
      <c r="P316" s="8">
        <f t="shared" si="41"/>
        <v>0</v>
      </c>
      <c r="Q316" s="4">
        <f>IF(AND(S316&gt;=[1]eRRSP_Rpt!$C$6,S316&lt;=[1]eRRSP_Rpt!$C$7),1,0)</f>
        <v>0</v>
      </c>
      <c r="R316" s="4"/>
      <c r="S316" s="4">
        <f t="shared" si="39"/>
        <v>2005</v>
      </c>
      <c r="T316" s="4"/>
      <c r="U316" s="4" t="str">
        <f t="shared" si="42"/>
        <v>ReinvDivTrimark Income Growth</v>
      </c>
      <c r="V316" s="23">
        <f>IFERROR(IF(AND(AB316&gt;0,B316&lt;&gt;"Sell"),(AA316-SUMIF(C$4:C315,C316,AC$4:AC316))/AB316,0),"")</f>
        <v>-8.0298663616779997</v>
      </c>
      <c r="W316" s="24" t="str">
        <f t="shared" si="36"/>
        <v/>
      </c>
      <c r="X316" s="25" t="str">
        <f t="shared" si="35"/>
        <v>Trimark Income Growth_ACB</v>
      </c>
      <c r="Y316" s="10" t="str">
        <f>IF(S317&lt;&gt;eRRSP_Tx_Table[[#This Row],[Year]],SUMIFS($W$4:$W316,$S$4:$S316,eRRSP_Tx_Table[[#This Row],[Year]],$W$4:$W316,"&gt;0"),"")</f>
        <v/>
      </c>
      <c r="Z316" s="10" t="str">
        <f>IF(S317&lt;&gt;eRRSP_Tx_Table[[#This Row],[Year]],SUMIFS($W$4:$W316,$S$4:$S316,eRRSP_Tx_Table[[#This Row],[Year]],$W$4:$W316,"&lt;0"),"")</f>
        <v/>
      </c>
      <c r="AA316" s="3">
        <f>(SUMIF($U$4:$U316,CONCATENATE("Buy",$C316),$N$4:$N316)+SUMIF($U$4:$U316,CONCATENATE("ReinvDiv",$C316),$N$4:$N316))</f>
        <v>-2471.3599999999997</v>
      </c>
      <c r="AB316" s="3">
        <f>(SUMIF($U$4:$U316,CONCATENATE("Buy",$C316),$F$4:$F316)+SUMIF($U$4:$U316,CONCATENATE("ReinvDiv",$C316),$F$4:$F316)+SUMIF($U$4:$U316,CONCATENATE("StkSplit",$C316),$F$4:$F316)-SUMIF($U$4:$U316,CONCATENATE("Sell",$C316),$F$4:$F316))</f>
        <v>307.77100000000002</v>
      </c>
      <c r="AC316" s="3">
        <f>IF(B316="Sell",F316*INDEX(V:V,LOOKUP(2,1/(X$4:X315=CONCATENATE(C316,"_ACB")),ROW(V$4:V315))),0)</f>
        <v>0</v>
      </c>
    </row>
    <row r="317" spans="1:29" x14ac:dyDescent="0.25">
      <c r="A317" s="20">
        <v>38641</v>
      </c>
      <c r="B317" t="s">
        <v>43</v>
      </c>
      <c r="C317" t="s">
        <v>36</v>
      </c>
      <c r="D317" s="3">
        <v>5.07</v>
      </c>
      <c r="M317" s="21">
        <f t="shared" si="40"/>
        <v>5.07</v>
      </c>
      <c r="N317" s="8">
        <f t="shared" si="37"/>
        <v>5.07</v>
      </c>
      <c r="O317" s="25">
        <f t="shared" si="38"/>
        <v>14762.320000000002</v>
      </c>
      <c r="P317" s="8">
        <f t="shared" si="41"/>
        <v>0</v>
      </c>
      <c r="Q317" s="4">
        <f>IF(AND(S317&gt;=[1]eRRSP_Rpt!$C$6,S317&lt;=[1]eRRSP_Rpt!$C$7),1,0)</f>
        <v>0</v>
      </c>
      <c r="R317" s="4"/>
      <c r="S317" s="4">
        <f t="shared" si="39"/>
        <v>2005</v>
      </c>
      <c r="T317" s="4"/>
      <c r="U317" s="4" t="str">
        <f t="shared" si="42"/>
        <v>IntIncTDW</v>
      </c>
      <c r="V317" s="23">
        <f>IFERROR(IF(AND(AB317&gt;0,B317&lt;&gt;"Sell"),(AA317-SUMIF(C$4:C316,C317,AC$4:AC317))/AB317,0),"")</f>
        <v>0</v>
      </c>
      <c r="W317" s="24" t="str">
        <f t="shared" si="36"/>
        <v/>
      </c>
      <c r="X317" s="25" t="str">
        <f t="shared" si="35"/>
        <v/>
      </c>
      <c r="Y317" s="10" t="str">
        <f>IF(S318&lt;&gt;eRRSP_Tx_Table[[#This Row],[Year]],SUMIFS($W$4:$W317,$S$4:$S317,eRRSP_Tx_Table[[#This Row],[Year]],$W$4:$W317,"&gt;0"),"")</f>
        <v/>
      </c>
      <c r="Z317" s="10" t="str">
        <f>IF(S318&lt;&gt;eRRSP_Tx_Table[[#This Row],[Year]],SUMIFS($W$4:$W317,$S$4:$S317,eRRSP_Tx_Table[[#This Row],[Year]],$W$4:$W317,"&lt;0"),"")</f>
        <v/>
      </c>
      <c r="AA317" s="3">
        <f>(SUMIF($U$4:$U317,CONCATENATE("Buy",$C317),$N$4:$N317)+SUMIF($U$4:$U317,CONCATENATE("ReinvDiv",$C317),$N$4:$N317))</f>
        <v>0</v>
      </c>
      <c r="AB317" s="3">
        <f>(SUMIF($U$4:$U317,CONCATENATE("Buy",$C317),$F$4:$F317)+SUMIF($U$4:$U317,CONCATENATE("ReinvDiv",$C317),$F$4:$F317)+SUMIF($U$4:$U317,CONCATENATE("StkSplit",$C317),$F$4:$F317)-SUMIF($U$4:$U317,CONCATENATE("Sell",$C317),$F$4:$F317))</f>
        <v>0</v>
      </c>
      <c r="AC317" s="3">
        <f>IF(B317="Sell",F317*INDEX(V:V,LOOKUP(2,1/(X$4:X316=CONCATENATE(C317,"_ACB")),ROW(V$4:V316))),0)</f>
        <v>0</v>
      </c>
    </row>
    <row r="318" spans="1:29" x14ac:dyDescent="0.25">
      <c r="A318" s="20">
        <v>38653</v>
      </c>
      <c r="B318" t="s">
        <v>40</v>
      </c>
      <c r="C318" t="s">
        <v>50</v>
      </c>
      <c r="D318" s="3">
        <v>1763.6</v>
      </c>
      <c r="E318">
        <v>5.4498600000000001</v>
      </c>
      <c r="F318" s="3">
        <v>323.60399999999998</v>
      </c>
      <c r="M318" s="8">
        <f t="shared" si="40"/>
        <v>1763.6</v>
      </c>
      <c r="N318" s="8">
        <f t="shared" si="37"/>
        <v>1763.6</v>
      </c>
      <c r="O318" s="25">
        <f t="shared" si="38"/>
        <v>16525.920000000002</v>
      </c>
      <c r="P318" s="8">
        <f t="shared" si="41"/>
        <v>0</v>
      </c>
      <c r="Q318" s="4">
        <f>IF(AND(S318&gt;=[1]eRRSP_Rpt!$C$6,S318&lt;=[1]eRRSP_Rpt!$C$7),1,0)</f>
        <v>0</v>
      </c>
      <c r="R318" s="4"/>
      <c r="S318" s="4">
        <f t="shared" si="39"/>
        <v>2005</v>
      </c>
      <c r="T318" s="4"/>
      <c r="U318" s="4" t="str">
        <f t="shared" si="42"/>
        <v>SellTalvest Global Health Care RSP</v>
      </c>
      <c r="V318" s="23">
        <f>IFERROR(IF(AND(AB318&gt;0,B318&lt;&gt;"Sell"),(AA318-SUMIF(C$4:C317,C318,AC$4:AC318))/AB318,0),"")</f>
        <v>0</v>
      </c>
      <c r="W318" s="24">
        <f t="shared" si="36"/>
        <v>-80.839999999999918</v>
      </c>
      <c r="X318" s="25" t="str">
        <f t="shared" si="35"/>
        <v/>
      </c>
      <c r="Y318" s="10" t="str">
        <f>IF(S319&lt;&gt;eRRSP_Tx_Table[[#This Row],[Year]],SUMIFS($W$4:$W318,$S$4:$S318,eRRSP_Tx_Table[[#This Row],[Year]],$W$4:$W318,"&gt;0"),"")</f>
        <v/>
      </c>
      <c r="Z318" s="10" t="str">
        <f>IF(S319&lt;&gt;eRRSP_Tx_Table[[#This Row],[Year]],SUMIFS($W$4:$W318,$S$4:$S318,eRRSP_Tx_Table[[#This Row],[Year]],$W$4:$W318,"&lt;0"),"")</f>
        <v/>
      </c>
      <c r="AA318" s="3">
        <f>(SUMIF($U$4:$U318,CONCATENATE("Buy",$C318),$N$4:$N318)+SUMIF($U$4:$U318,CONCATENATE("ReinvDiv",$C318),$N$4:$N318))</f>
        <v>-1844.44</v>
      </c>
      <c r="AB318" s="3">
        <f>(SUMIF($U$4:$U318,CONCATENATE("Buy",$C318),$F$4:$F318)+SUMIF($U$4:$U318,CONCATENATE("ReinvDiv",$C318),$F$4:$F318)+SUMIF($U$4:$U318,CONCATENATE("StkSplit",$C318),$F$4:$F318)-SUMIF($U$4:$U318,CONCATENATE("Sell",$C318),$F$4:$F318))</f>
        <v>0</v>
      </c>
      <c r="AC318" s="3">
        <f>IF(B318="Sell",F318*INDEX(V:V,LOOKUP(2,1/(X$4:X317=CONCATENATE(C318,"_ACB")),ROW(V$4:V317))),0)</f>
        <v>-1844.4399999999998</v>
      </c>
    </row>
    <row r="319" spans="1:29" x14ac:dyDescent="0.25">
      <c r="A319" s="20">
        <v>38653</v>
      </c>
      <c r="B319" t="s">
        <v>32</v>
      </c>
      <c r="C319" t="s">
        <v>78</v>
      </c>
      <c r="D319" s="3">
        <v>1763.6</v>
      </c>
      <c r="E319">
        <v>15.792254</v>
      </c>
      <c r="F319" s="3">
        <v>111.675</v>
      </c>
      <c r="M319" s="21">
        <f t="shared" si="40"/>
        <v>1763.6</v>
      </c>
      <c r="N319" s="8">
        <f t="shared" si="37"/>
        <v>-1763.6</v>
      </c>
      <c r="O319" s="25">
        <f t="shared" si="38"/>
        <v>14762.320000000002</v>
      </c>
      <c r="P319" s="8">
        <f t="shared" si="41"/>
        <v>0</v>
      </c>
      <c r="Q319" s="4">
        <f>IF(AND(S319&gt;=[1]eRRSP_Rpt!$C$6,S319&lt;=[1]eRRSP_Rpt!$C$7),1,0)</f>
        <v>0</v>
      </c>
      <c r="R319" s="4"/>
      <c r="S319" s="4">
        <f t="shared" si="39"/>
        <v>2005</v>
      </c>
      <c r="T319" s="4"/>
      <c r="U319" s="4" t="str">
        <f t="shared" si="42"/>
        <v>BuyTalvest Global Health Care</v>
      </c>
      <c r="V319" s="23">
        <f>IFERROR(IF(AND(AB319&gt;0,B319&lt;&gt;"Sell"),(AA319-SUMIF(C$4:C318,C319,AC$4:AC319))/AB319,0),"")</f>
        <v>-15.792254309379897</v>
      </c>
      <c r="W319" s="24" t="str">
        <f t="shared" si="36"/>
        <v/>
      </c>
      <c r="X319" s="25" t="str">
        <f t="shared" si="35"/>
        <v>Talvest Global Health Care_ACB</v>
      </c>
      <c r="Y319" s="10" t="str">
        <f>IF(S320&lt;&gt;eRRSP_Tx_Table[[#This Row],[Year]],SUMIFS($W$4:$W319,$S$4:$S319,eRRSP_Tx_Table[[#This Row],[Year]],$W$4:$W319,"&gt;0"),"")</f>
        <v/>
      </c>
      <c r="Z319" s="10" t="str">
        <f>IF(S320&lt;&gt;eRRSP_Tx_Table[[#This Row],[Year]],SUMIFS($W$4:$W319,$S$4:$S319,eRRSP_Tx_Table[[#This Row],[Year]],$W$4:$W319,"&lt;0"),"")</f>
        <v/>
      </c>
      <c r="AA319" s="3">
        <f>(SUMIF($U$4:$U319,CONCATENATE("Buy",$C319),$N$4:$N319)+SUMIF($U$4:$U319,CONCATENATE("ReinvDiv",$C319),$N$4:$N319))</f>
        <v>-1763.6</v>
      </c>
      <c r="AB319" s="3">
        <f>(SUMIF($U$4:$U319,CONCATENATE("Buy",$C319),$F$4:$F319)+SUMIF($U$4:$U319,CONCATENATE("ReinvDiv",$C319),$F$4:$F319)+SUMIF($U$4:$U319,CONCATENATE("StkSplit",$C319),$F$4:$F319)-SUMIF($U$4:$U319,CONCATENATE("Sell",$C319),$F$4:$F319))</f>
        <v>111.675</v>
      </c>
      <c r="AC319" s="3">
        <f>IF(B319="Sell",F319*INDEX(V:V,LOOKUP(2,1/(X$4:X318=CONCATENATE(C319,"_ACB")),ROW(V$4:V318))),0)</f>
        <v>0</v>
      </c>
    </row>
    <row r="320" spans="1:29" x14ac:dyDescent="0.25">
      <c r="A320" s="20">
        <v>38656</v>
      </c>
      <c r="B320" t="s">
        <v>42</v>
      </c>
      <c r="C320" t="s">
        <v>45</v>
      </c>
      <c r="D320" s="3">
        <v>8.4</v>
      </c>
      <c r="M320" s="21">
        <f t="shared" si="40"/>
        <v>8.4</v>
      </c>
      <c r="N320" s="8">
        <f t="shared" si="37"/>
        <v>8.4</v>
      </c>
      <c r="O320" s="25">
        <f t="shared" si="38"/>
        <v>14770.720000000001</v>
      </c>
      <c r="P320" s="8">
        <f t="shared" si="41"/>
        <v>0</v>
      </c>
      <c r="Q320" s="4">
        <f>IF(AND(S320&gt;=[1]eRRSP_Rpt!$C$6,S320&lt;=[1]eRRSP_Rpt!$C$7),1,0)</f>
        <v>0</v>
      </c>
      <c r="R320" s="4"/>
      <c r="S320" s="4">
        <f t="shared" si="39"/>
        <v>2005</v>
      </c>
      <c r="T320" s="4"/>
      <c r="U320" s="4" t="str">
        <f t="shared" si="42"/>
        <v>DivTD Bank</v>
      </c>
      <c r="V320" s="23">
        <f>IFERROR(IF(AND(AB320&gt;0,B320&lt;&gt;"Sell"),(AA320-SUMIF(C$4:C319,C320,AC$4:AC320))/AB320,0),"")</f>
        <v>-44.29</v>
      </c>
      <c r="W320" s="24" t="str">
        <f t="shared" si="36"/>
        <v/>
      </c>
      <c r="X320" s="25" t="str">
        <f t="shared" si="35"/>
        <v>TD Bank_ACB</v>
      </c>
      <c r="Y320" s="10" t="str">
        <f>IF(S321&lt;&gt;eRRSP_Tx_Table[[#This Row],[Year]],SUMIFS($W$4:$W320,$S$4:$S320,eRRSP_Tx_Table[[#This Row],[Year]],$W$4:$W320,"&gt;0"),"")</f>
        <v/>
      </c>
      <c r="Z320" s="10" t="str">
        <f>IF(S321&lt;&gt;eRRSP_Tx_Table[[#This Row],[Year]],SUMIFS($W$4:$W320,$S$4:$S320,eRRSP_Tx_Table[[#This Row],[Year]],$W$4:$W320,"&lt;0"),"")</f>
        <v/>
      </c>
      <c r="AA320" s="3">
        <f>(SUMIF($U$4:$U320,CONCATENATE("Buy",$C320),$N$4:$N320)+SUMIF($U$4:$U320,CONCATENATE("ReinvDiv",$C320),$N$4:$N320))</f>
        <v>-885.8</v>
      </c>
      <c r="AB320" s="3">
        <f>(SUMIF($U$4:$U320,CONCATENATE("Buy",$C320),$F$4:$F320)+SUMIF($U$4:$U320,CONCATENATE("ReinvDiv",$C320),$F$4:$F320)+SUMIF($U$4:$U320,CONCATENATE("StkSplit",$C320),$F$4:$F320)-SUMIF($U$4:$U320,CONCATENATE("Sell",$C320),$F$4:$F320))</f>
        <v>20</v>
      </c>
      <c r="AC320" s="3">
        <f>IF(B320="Sell",F320*INDEX(V:V,LOOKUP(2,1/(X$4:X319=CONCATENATE(C320,"_ACB")),ROW(V$4:V319))),0)</f>
        <v>0</v>
      </c>
    </row>
    <row r="321" spans="1:29" x14ac:dyDescent="0.25">
      <c r="A321" s="20">
        <v>38671</v>
      </c>
      <c r="B321" t="s">
        <v>41</v>
      </c>
      <c r="C321" t="s">
        <v>39</v>
      </c>
      <c r="D321" s="3">
        <v>2.89</v>
      </c>
      <c r="E321">
        <v>10.82</v>
      </c>
      <c r="F321" s="3">
        <v>0.26700000000000002</v>
      </c>
      <c r="M321" s="21">
        <f t="shared" si="40"/>
        <v>2.89</v>
      </c>
      <c r="N321" s="8">
        <f t="shared" si="37"/>
        <v>-2.89</v>
      </c>
      <c r="O321" s="25">
        <f t="shared" si="38"/>
        <v>14770.720000000001</v>
      </c>
      <c r="P321" s="8">
        <f t="shared" si="41"/>
        <v>0</v>
      </c>
      <c r="Q321" s="4">
        <f>IF(AND(S321&gt;=[1]eRRSP_Rpt!$C$6,S321&lt;=[1]eRRSP_Rpt!$C$7),1,0)</f>
        <v>0</v>
      </c>
      <c r="R321" s="4"/>
      <c r="S321" s="4">
        <f t="shared" si="39"/>
        <v>2005</v>
      </c>
      <c r="T321" s="4"/>
      <c r="U321" s="4" t="str">
        <f t="shared" si="42"/>
        <v>ReinvDivTrimark Income Growth</v>
      </c>
      <c r="V321" s="23">
        <f>IFERROR(IF(AND(AB321&gt;0,B321&lt;&gt;"Sell"),(AA321-SUMIF(C$4:C320,C321,AC$4:AC321))/AB321,0),"")</f>
        <v>-8.0322882241801334</v>
      </c>
      <c r="W321" s="24" t="str">
        <f t="shared" si="36"/>
        <v/>
      </c>
      <c r="X321" s="25" t="str">
        <f t="shared" si="35"/>
        <v>Trimark Income Growth_ACB</v>
      </c>
      <c r="Y321" s="10" t="str">
        <f>IF(S322&lt;&gt;eRRSP_Tx_Table[[#This Row],[Year]],SUMIFS($W$4:$W321,$S$4:$S321,eRRSP_Tx_Table[[#This Row],[Year]],$W$4:$W321,"&gt;0"),"")</f>
        <v/>
      </c>
      <c r="Z321" s="10" t="str">
        <f>IF(S322&lt;&gt;eRRSP_Tx_Table[[#This Row],[Year]],SUMIFS($W$4:$W321,$S$4:$S321,eRRSP_Tx_Table[[#This Row],[Year]],$W$4:$W321,"&lt;0"),"")</f>
        <v/>
      </c>
      <c r="AA321" s="3">
        <f>(SUMIF($U$4:$U321,CONCATENATE("Buy",$C321),$N$4:$N321)+SUMIF($U$4:$U321,CONCATENATE("ReinvDiv",$C321),$N$4:$N321))</f>
        <v>-2474.25</v>
      </c>
      <c r="AB321" s="3">
        <f>(SUMIF($U$4:$U321,CONCATENATE("Buy",$C321),$F$4:$F321)+SUMIF($U$4:$U321,CONCATENATE("ReinvDiv",$C321),$F$4:$F321)+SUMIF($U$4:$U321,CONCATENATE("StkSplit",$C321),$F$4:$F321)-SUMIF($U$4:$U321,CONCATENATE("Sell",$C321),$F$4:$F321))</f>
        <v>308.03800000000001</v>
      </c>
      <c r="AC321" s="3">
        <f>IF(B321="Sell",F321*INDEX(V:V,LOOKUP(2,1/(X$4:X320=CONCATENATE(C321,"_ACB")),ROW(V$4:V320))),0)</f>
        <v>0</v>
      </c>
    </row>
    <row r="322" spans="1:29" x14ac:dyDescent="0.25">
      <c r="A322" s="20">
        <v>38672</v>
      </c>
      <c r="B322" t="s">
        <v>43</v>
      </c>
      <c r="C322" t="s">
        <v>36</v>
      </c>
      <c r="D322" s="3">
        <v>9.1</v>
      </c>
      <c r="M322" s="21">
        <f t="shared" si="40"/>
        <v>9.1</v>
      </c>
      <c r="N322" s="8">
        <f t="shared" si="37"/>
        <v>9.1</v>
      </c>
      <c r="O322" s="25">
        <f t="shared" si="38"/>
        <v>14779.820000000002</v>
      </c>
      <c r="P322" s="8">
        <f t="shared" si="41"/>
        <v>0</v>
      </c>
      <c r="Q322" s="4">
        <f>IF(AND(S322&gt;=[1]eRRSP_Rpt!$C$6,S322&lt;=[1]eRRSP_Rpt!$C$7),1,0)</f>
        <v>0</v>
      </c>
      <c r="R322" s="4"/>
      <c r="S322" s="4">
        <f t="shared" si="39"/>
        <v>2005</v>
      </c>
      <c r="T322" s="4"/>
      <c r="U322" s="4" t="str">
        <f t="shared" si="42"/>
        <v>IntIncTDW</v>
      </c>
      <c r="V322" s="23">
        <f>IFERROR(IF(AND(AB322&gt;0,B322&lt;&gt;"Sell"),(AA322-SUMIF(C$4:C321,C322,AC$4:AC322))/AB322,0),"")</f>
        <v>0</v>
      </c>
      <c r="W322" s="24" t="str">
        <f t="shared" si="36"/>
        <v/>
      </c>
      <c r="X322" s="25" t="str">
        <f t="shared" si="35"/>
        <v/>
      </c>
      <c r="Y322" s="10" t="str">
        <f>IF(S323&lt;&gt;eRRSP_Tx_Table[[#This Row],[Year]],SUMIFS($W$4:$W322,$S$4:$S322,eRRSP_Tx_Table[[#This Row],[Year]],$W$4:$W322,"&gt;0"),"")</f>
        <v/>
      </c>
      <c r="Z322" s="10" t="str">
        <f>IF(S323&lt;&gt;eRRSP_Tx_Table[[#This Row],[Year]],SUMIFS($W$4:$W322,$S$4:$S322,eRRSP_Tx_Table[[#This Row],[Year]],$W$4:$W322,"&lt;0"),"")</f>
        <v/>
      </c>
      <c r="AA322" s="3">
        <f>(SUMIF($U$4:$U322,CONCATENATE("Buy",$C322),$N$4:$N322)+SUMIF($U$4:$U322,CONCATENATE("ReinvDiv",$C322),$N$4:$N322))</f>
        <v>0</v>
      </c>
      <c r="AB322" s="3">
        <f>(SUMIF($U$4:$U322,CONCATENATE("Buy",$C322),$F$4:$F322)+SUMIF($U$4:$U322,CONCATENATE("ReinvDiv",$C322),$F$4:$F322)+SUMIF($U$4:$U322,CONCATENATE("StkSplit",$C322),$F$4:$F322)-SUMIF($U$4:$U322,CONCATENATE("Sell",$C322),$F$4:$F322))</f>
        <v>0</v>
      </c>
      <c r="AC322" s="3">
        <f>IF(B322="Sell",F322*INDEX(V:V,LOOKUP(2,1/(X$4:X321=CONCATENATE(C322,"_ACB")),ROW(V$4:V321))),0)</f>
        <v>0</v>
      </c>
    </row>
    <row r="323" spans="1:29" x14ac:dyDescent="0.25">
      <c r="A323" s="20">
        <v>38687</v>
      </c>
      <c r="B323" t="s">
        <v>42</v>
      </c>
      <c r="C323" t="s">
        <v>33</v>
      </c>
      <c r="D323" s="3">
        <v>32.770000000000003</v>
      </c>
      <c r="M323" s="21">
        <f t="shared" si="40"/>
        <v>32.770000000000003</v>
      </c>
      <c r="N323" s="8">
        <f t="shared" si="37"/>
        <v>32.770000000000003</v>
      </c>
      <c r="O323" s="25">
        <f t="shared" si="38"/>
        <v>14812.590000000002</v>
      </c>
      <c r="P323" s="8">
        <f t="shared" si="41"/>
        <v>0</v>
      </c>
      <c r="Q323" s="4">
        <f>IF(AND(S323&gt;=[1]eRRSP_Rpt!$C$6,S323&lt;=[1]eRRSP_Rpt!$C$7),1,0)</f>
        <v>0</v>
      </c>
      <c r="R323" s="4"/>
      <c r="S323" s="4">
        <f t="shared" si="39"/>
        <v>2005</v>
      </c>
      <c r="T323" s="4"/>
      <c r="U323" s="4" t="str">
        <f t="shared" si="42"/>
        <v>DivEnbridge</v>
      </c>
      <c r="V323" s="23">
        <f>IFERROR(IF(AND(AB323&gt;0,B323&lt;&gt;"Sell"),(AA323-SUMIF(C$4:C322,C323,AC$4:AC323))/AB323,0),"")</f>
        <v>-12.859027777777779</v>
      </c>
      <c r="W323" s="24" t="str">
        <f t="shared" si="36"/>
        <v/>
      </c>
      <c r="X323" s="25" t="str">
        <f t="shared" si="35"/>
        <v>Enbridge_ACB</v>
      </c>
      <c r="Y323" s="10" t="str">
        <f>IF(S324&lt;&gt;eRRSP_Tx_Table[[#This Row],[Year]],SUMIFS($W$4:$W323,$S$4:$S323,eRRSP_Tx_Table[[#This Row],[Year]],$W$4:$W323,"&gt;0"),"")</f>
        <v/>
      </c>
      <c r="Z323" s="10" t="str">
        <f>IF(S324&lt;&gt;eRRSP_Tx_Table[[#This Row],[Year]],SUMIFS($W$4:$W323,$S$4:$S323,eRRSP_Tx_Table[[#This Row],[Year]],$W$4:$W323,"&lt;0"),"")</f>
        <v/>
      </c>
      <c r="AA323" s="3">
        <f>(SUMIF($U$4:$U323,CONCATENATE("Buy",$C323),$N$4:$N323)+SUMIF($U$4:$U323,CONCATENATE("ReinvDiv",$C323),$N$4:$N323))</f>
        <v>-1851.7</v>
      </c>
      <c r="AB323" s="3">
        <f>(SUMIF($U$4:$U323,CONCATENATE("Buy",$C323),$F$4:$F323)+SUMIF($U$4:$U323,CONCATENATE("ReinvDiv",$C323),$F$4:$F323)+SUMIF($U$4:$U323,CONCATENATE("StkSplit",$C323),$F$4:$F323)-SUMIF($U$4:$U323,CONCATENATE("Sell",$C323),$F$4:$F323))</f>
        <v>114</v>
      </c>
      <c r="AC323" s="3">
        <f>IF(B323="Sell",F323*INDEX(V:V,LOOKUP(2,1/(X$4:X322=CONCATENATE(C323,"_ACB")),ROW(V$4:V322))),0)</f>
        <v>0</v>
      </c>
    </row>
    <row r="324" spans="1:29" x14ac:dyDescent="0.25">
      <c r="A324" s="20">
        <v>38702</v>
      </c>
      <c r="B324" t="s">
        <v>43</v>
      </c>
      <c r="C324" t="s">
        <v>36</v>
      </c>
      <c r="D324" s="3">
        <v>10.029999999999999</v>
      </c>
      <c r="M324" s="21">
        <f t="shared" si="40"/>
        <v>10.029999999999999</v>
      </c>
      <c r="N324" s="8">
        <f t="shared" si="37"/>
        <v>10.029999999999999</v>
      </c>
      <c r="O324" s="25">
        <f t="shared" si="38"/>
        <v>14822.620000000003</v>
      </c>
      <c r="P324" s="8">
        <f t="shared" si="41"/>
        <v>0</v>
      </c>
      <c r="Q324" s="4">
        <f>IF(AND(S324&gt;=[1]eRRSP_Rpt!$C$6,S324&lt;=[1]eRRSP_Rpt!$C$7),1,0)</f>
        <v>0</v>
      </c>
      <c r="R324" s="4"/>
      <c r="S324" s="4">
        <f t="shared" si="39"/>
        <v>2005</v>
      </c>
      <c r="T324" s="4"/>
      <c r="U324" s="4" t="str">
        <f t="shared" si="42"/>
        <v>IntIncTDW</v>
      </c>
      <c r="V324" s="23">
        <f>IFERROR(IF(AND(AB324&gt;0,B324&lt;&gt;"Sell"),(AA324-SUMIF(C$4:C323,C324,AC$4:AC324))/AB324,0),"")</f>
        <v>0</v>
      </c>
      <c r="W324" s="24" t="str">
        <f t="shared" si="36"/>
        <v/>
      </c>
      <c r="X324" s="25" t="str">
        <f t="shared" ref="X324:X387" si="43">IF(V324,CONCATENATE(C324,"_ACB"),"")</f>
        <v/>
      </c>
      <c r="Y324" s="10" t="str">
        <f>IF(S325&lt;&gt;eRRSP_Tx_Table[[#This Row],[Year]],SUMIFS($W$4:$W324,$S$4:$S324,eRRSP_Tx_Table[[#This Row],[Year]],$W$4:$W324,"&gt;0"),"")</f>
        <v/>
      </c>
      <c r="Z324" s="10" t="str">
        <f>IF(S325&lt;&gt;eRRSP_Tx_Table[[#This Row],[Year]],SUMIFS($W$4:$W324,$S$4:$S324,eRRSP_Tx_Table[[#This Row],[Year]],$W$4:$W324,"&lt;0"),"")</f>
        <v/>
      </c>
      <c r="AA324" s="3">
        <f>(SUMIF($U$4:$U324,CONCATENATE("Buy",$C324),$N$4:$N324)+SUMIF($U$4:$U324,CONCATENATE("ReinvDiv",$C324),$N$4:$N324))</f>
        <v>0</v>
      </c>
      <c r="AB324" s="3">
        <f>(SUMIF($U$4:$U324,CONCATENATE("Buy",$C324),$F$4:$F324)+SUMIF($U$4:$U324,CONCATENATE("ReinvDiv",$C324),$F$4:$F324)+SUMIF($U$4:$U324,CONCATENATE("StkSplit",$C324),$F$4:$F324)-SUMIF($U$4:$U324,CONCATENATE("Sell",$C324),$F$4:$F324))</f>
        <v>0</v>
      </c>
      <c r="AC324" s="3">
        <f>IF(B324="Sell",F324*INDEX(V:V,LOOKUP(2,1/(X$4:X323=CONCATENATE(C324,"_ACB")),ROW(V$4:V323))),0)</f>
        <v>0</v>
      </c>
    </row>
    <row r="325" spans="1:29" x14ac:dyDescent="0.25">
      <c r="A325" s="20">
        <v>38702</v>
      </c>
      <c r="B325" t="s">
        <v>42</v>
      </c>
      <c r="C325" t="s">
        <v>51</v>
      </c>
      <c r="D325" s="3">
        <v>188.1</v>
      </c>
      <c r="M325" s="21">
        <f t="shared" si="40"/>
        <v>188.1</v>
      </c>
      <c r="N325" s="8">
        <f t="shared" si="37"/>
        <v>188.1</v>
      </c>
      <c r="O325" s="25">
        <f t="shared" si="38"/>
        <v>15010.720000000003</v>
      </c>
      <c r="P325" s="8">
        <f t="shared" si="41"/>
        <v>0</v>
      </c>
      <c r="Q325" s="4">
        <f>IF(AND(S325&gt;=[1]eRRSP_Rpt!$C$6,S325&lt;=[1]eRRSP_Rpt!$C$7),1,0)</f>
        <v>0</v>
      </c>
      <c r="R325" s="4"/>
      <c r="S325" s="4">
        <f t="shared" si="39"/>
        <v>2005</v>
      </c>
      <c r="T325" s="4"/>
      <c r="U325" s="4" t="str">
        <f t="shared" si="42"/>
        <v>DivCIBC Energy Fund</v>
      </c>
      <c r="V325" s="23">
        <f>IFERROR(IF(AND(AB325&gt;0,B325&lt;&gt;"Sell"),(AA325-SUMIF(C$4:C324,C325,AC$4:AC325))/AB325,0),"")</f>
        <v>-14.868709296908298</v>
      </c>
      <c r="W325" s="24" t="str">
        <f t="shared" ref="W325:W388" si="44">IF(B325="Sell",N325+AC325,"")</f>
        <v/>
      </c>
      <c r="X325" s="25" t="str">
        <f t="shared" si="43"/>
        <v>CIBC Energy Fund_ACB</v>
      </c>
      <c r="Y325" s="10" t="str">
        <f>IF(S326&lt;&gt;eRRSP_Tx_Table[[#This Row],[Year]],SUMIFS($W$4:$W325,$S$4:$S325,eRRSP_Tx_Table[[#This Row],[Year]],$W$4:$W325,"&gt;0"),"")</f>
        <v/>
      </c>
      <c r="Z325" s="10" t="str">
        <f>IF(S326&lt;&gt;eRRSP_Tx_Table[[#This Row],[Year]],SUMIFS($W$4:$W325,$S$4:$S325,eRRSP_Tx_Table[[#This Row],[Year]],$W$4:$W325,"&lt;0"),"")</f>
        <v/>
      </c>
      <c r="AA325" s="3">
        <f>(SUMIF($U$4:$U325,CONCATENATE("Buy",$C325),$N$4:$N325)+SUMIF($U$4:$U325,CONCATENATE("ReinvDiv",$C325),$N$4:$N325))</f>
        <v>-1500</v>
      </c>
      <c r="AB325" s="3">
        <f>(SUMIF($U$4:$U325,CONCATENATE("Buy",$C325),$F$4:$F325)+SUMIF($U$4:$U325,CONCATENATE("ReinvDiv",$C325),$F$4:$F325)+SUMIF($U$4:$U325,CONCATENATE("StkSplit",$C325),$F$4:$F325)-SUMIF($U$4:$U325,CONCATENATE("Sell",$C325),$F$4:$F325))</f>
        <v>83.334000000000003</v>
      </c>
      <c r="AC325" s="3">
        <f>IF(B325="Sell",F325*INDEX(V:V,LOOKUP(2,1/(X$4:X324=CONCATENATE(C325,"_ACB")),ROW(V$4:V324))),0)</f>
        <v>0</v>
      </c>
    </row>
    <row r="326" spans="1:29" x14ac:dyDescent="0.25">
      <c r="A326" s="20">
        <v>38706</v>
      </c>
      <c r="B326" t="s">
        <v>41</v>
      </c>
      <c r="C326" t="s">
        <v>39</v>
      </c>
      <c r="D326" s="3">
        <v>47.32</v>
      </c>
      <c r="E326">
        <v>10.813528</v>
      </c>
      <c r="F326" s="3">
        <v>4.3760000000000003</v>
      </c>
      <c r="M326" s="21">
        <f t="shared" si="40"/>
        <v>47.32</v>
      </c>
      <c r="N326" s="8">
        <f t="shared" si="37"/>
        <v>-47.32</v>
      </c>
      <c r="O326" s="25">
        <f t="shared" si="38"/>
        <v>15010.720000000003</v>
      </c>
      <c r="P326" s="8">
        <f t="shared" si="41"/>
        <v>0</v>
      </c>
      <c r="Q326" s="4">
        <f>IF(AND(S326&gt;=[1]eRRSP_Rpt!$C$6,S326&lt;=[1]eRRSP_Rpt!$C$7),1,0)</f>
        <v>0</v>
      </c>
      <c r="R326" s="4"/>
      <c r="S326" s="4">
        <f t="shared" si="39"/>
        <v>2005</v>
      </c>
      <c r="T326" s="4"/>
      <c r="U326" s="4" t="str">
        <f t="shared" si="42"/>
        <v>ReinvDivTrimark Income Growth</v>
      </c>
      <c r="V326" s="23">
        <f>IFERROR(IF(AND(AB326&gt;0,B326&lt;&gt;"Sell"),(AA326-SUMIF(C$4:C325,C326,AC$4:AC326))/AB326,0),"")</f>
        <v>-8.071245206680878</v>
      </c>
      <c r="W326" s="24" t="str">
        <f t="shared" si="44"/>
        <v/>
      </c>
      <c r="X326" s="25" t="str">
        <f t="shared" si="43"/>
        <v>Trimark Income Growth_ACB</v>
      </c>
      <c r="Y326" s="10" t="str">
        <f>IF(S327&lt;&gt;eRRSP_Tx_Table[[#This Row],[Year]],SUMIFS($W$4:$W326,$S$4:$S326,eRRSP_Tx_Table[[#This Row],[Year]],$W$4:$W326,"&gt;0"),"")</f>
        <v/>
      </c>
      <c r="Z326" s="10" t="str">
        <f>IF(S327&lt;&gt;eRRSP_Tx_Table[[#This Row],[Year]],SUMIFS($W$4:$W326,$S$4:$S326,eRRSP_Tx_Table[[#This Row],[Year]],$W$4:$W326,"&lt;0"),"")</f>
        <v/>
      </c>
      <c r="AA326" s="3">
        <f>(SUMIF($U$4:$U326,CONCATENATE("Buy",$C326),$N$4:$N326)+SUMIF($U$4:$U326,CONCATENATE("ReinvDiv",$C326),$N$4:$N326))</f>
        <v>-2521.5699999999997</v>
      </c>
      <c r="AB326" s="3">
        <f>(SUMIF($U$4:$U326,CONCATENATE("Buy",$C326),$F$4:$F326)+SUMIF($U$4:$U326,CONCATENATE("ReinvDiv",$C326),$F$4:$F326)+SUMIF($U$4:$U326,CONCATENATE("StkSplit",$C326),$F$4:$F326)-SUMIF($U$4:$U326,CONCATENATE("Sell",$C326),$F$4:$F326))</f>
        <v>312.41399999999999</v>
      </c>
      <c r="AC326" s="3">
        <f>IF(B326="Sell",F326*INDEX(V:V,LOOKUP(2,1/(X$4:X325=CONCATENATE(C326,"_ACB")),ROW(V$4:V325))),0)</f>
        <v>0</v>
      </c>
    </row>
    <row r="327" spans="1:29" x14ac:dyDescent="0.25">
      <c r="A327" s="20">
        <v>38707</v>
      </c>
      <c r="B327" t="s">
        <v>41</v>
      </c>
      <c r="C327" t="s">
        <v>64</v>
      </c>
      <c r="D327" s="3">
        <v>25.2</v>
      </c>
      <c r="E327">
        <v>33.869999999999997</v>
      </c>
      <c r="F327" s="3">
        <v>0.74399999999999999</v>
      </c>
      <c r="M327" s="21">
        <f t="shared" si="40"/>
        <v>25.2</v>
      </c>
      <c r="N327" s="8">
        <f t="shared" si="37"/>
        <v>-25.2</v>
      </c>
      <c r="O327" s="25">
        <f t="shared" si="38"/>
        <v>15010.720000000003</v>
      </c>
      <c r="P327" s="8">
        <f t="shared" si="41"/>
        <v>0</v>
      </c>
      <c r="Q327" s="4">
        <f>IF(AND(S327&gt;=[1]eRRSP_Rpt!$C$6,S327&lt;=[1]eRRSP_Rpt!$C$7),1,0)</f>
        <v>0</v>
      </c>
      <c r="R327" s="4"/>
      <c r="S327" s="4">
        <f t="shared" si="39"/>
        <v>2005</v>
      </c>
      <c r="T327" s="4"/>
      <c r="U327" s="4" t="str">
        <f t="shared" si="42"/>
        <v>ReinvDivE&amp;P Growth Opp</v>
      </c>
      <c r="V327" s="23">
        <f>IFERROR(IF(AND(AB327&gt;0,B327&lt;&gt;"Sell"),(AA327-SUMIF(C$4:C326,C327,AC$4:AC327))/AB327,0),"")</f>
        <v>-21.989585846714245</v>
      </c>
      <c r="W327" s="24" t="str">
        <f t="shared" si="44"/>
        <v/>
      </c>
      <c r="X327" s="25" t="str">
        <f t="shared" si="43"/>
        <v>E&amp;P Growth Opp_ACB</v>
      </c>
      <c r="Y327" s="10" t="str">
        <f>IF(S328&lt;&gt;eRRSP_Tx_Table[[#This Row],[Year]],SUMIFS($W$4:$W327,$S$4:$S327,eRRSP_Tx_Table[[#This Row],[Year]],$W$4:$W327,"&gt;0"),"")</f>
        <v/>
      </c>
      <c r="Z327" s="10" t="str">
        <f>IF(S328&lt;&gt;eRRSP_Tx_Table[[#This Row],[Year]],SUMIFS($W$4:$W327,$S$4:$S327,eRRSP_Tx_Table[[#This Row],[Year]],$W$4:$W327,"&lt;0"),"")</f>
        <v/>
      </c>
      <c r="AA327" s="3">
        <f>(SUMIF($U$4:$U327,CONCATENATE("Buy",$C327),$N$4:$N327)+SUMIF($U$4:$U327,CONCATENATE("ReinvDiv",$C327),$N$4:$N327))</f>
        <v>-2825.2</v>
      </c>
      <c r="AB327" s="3">
        <f>(SUMIF($U$4:$U327,CONCATENATE("Buy",$C327),$F$4:$F327)+SUMIF($U$4:$U327,CONCATENATE("ReinvDiv",$C327),$F$4:$F327)+SUMIF($U$4:$U327,CONCATENATE("StkSplit",$C327),$F$4:$F327)-SUMIF($U$4:$U327,CONCATENATE("Sell",$C327),$F$4:$F327))</f>
        <v>128.47900000000001</v>
      </c>
      <c r="AC327" s="3">
        <f>IF(B327="Sell",F327*INDEX(V:V,LOOKUP(2,1/(X$4:X326=CONCATENATE(C327,"_ACB")),ROW(V$4:V326))),0)</f>
        <v>0</v>
      </c>
    </row>
    <row r="328" spans="1:29" x14ac:dyDescent="0.25">
      <c r="A328" s="20">
        <v>38707</v>
      </c>
      <c r="B328" t="s">
        <v>41</v>
      </c>
      <c r="C328" t="s">
        <v>74</v>
      </c>
      <c r="D328" s="3">
        <v>3.07</v>
      </c>
      <c r="E328">
        <v>8.32</v>
      </c>
      <c r="F328" s="3">
        <v>0.36899999999999999</v>
      </c>
      <c r="M328" s="21">
        <f t="shared" si="40"/>
        <v>3.07</v>
      </c>
      <c r="N328" s="8">
        <f t="shared" si="37"/>
        <v>-3.07</v>
      </c>
      <c r="O328" s="25">
        <f t="shared" si="38"/>
        <v>15010.720000000003</v>
      </c>
      <c r="P328" s="8">
        <f t="shared" si="41"/>
        <v>0</v>
      </c>
      <c r="Q328" s="4">
        <f>IF(AND(S328&gt;=[1]eRRSP_Rpt!$C$6,S328&lt;=[1]eRRSP_Rpt!$C$7),1,0)</f>
        <v>0</v>
      </c>
      <c r="R328" s="4"/>
      <c r="S328" s="4">
        <f t="shared" si="39"/>
        <v>2005</v>
      </c>
      <c r="T328" s="4"/>
      <c r="U328" s="4" t="str">
        <f t="shared" si="42"/>
        <v>ReinvDivTrimark Euro Plus</v>
      </c>
      <c r="V328" s="23">
        <f>IFERROR(IF(AND(AB328&gt;0,B328&lt;&gt;"Sell"),(AA328-SUMIF(C$4:C327,C328,AC$4:AC328))/AB328,0),"")</f>
        <v>-8.5476355070793968</v>
      </c>
      <c r="W328" s="24" t="str">
        <f t="shared" si="44"/>
        <v/>
      </c>
      <c r="X328" s="25" t="str">
        <f t="shared" si="43"/>
        <v>Trimark Euro Plus_ACB</v>
      </c>
      <c r="Y328" s="10" t="str">
        <f>IF(S329&lt;&gt;eRRSP_Tx_Table[[#This Row],[Year]],SUMIFS($W$4:$W328,$S$4:$S328,eRRSP_Tx_Table[[#This Row],[Year]],$W$4:$W328,"&gt;0"),"")</f>
        <v/>
      </c>
      <c r="Z328" s="10" t="str">
        <f>IF(S329&lt;&gt;eRRSP_Tx_Table[[#This Row],[Year]],SUMIFS($W$4:$W328,$S$4:$S328,eRRSP_Tx_Table[[#This Row],[Year]],$W$4:$W328,"&lt;0"),"")</f>
        <v/>
      </c>
      <c r="AA328" s="3">
        <f>(SUMIF($U$4:$U328,CONCATENATE("Buy",$C328),$N$4:$N328)+SUMIF($U$4:$U328,CONCATENATE("ReinvDiv",$C328),$N$4:$N328))</f>
        <v>-2003.07</v>
      </c>
      <c r="AB328" s="3">
        <f>(SUMIF($U$4:$U328,CONCATENATE("Buy",$C328),$F$4:$F328)+SUMIF($U$4:$U328,CONCATENATE("ReinvDiv",$C328),$F$4:$F328)+SUMIF($U$4:$U328,CONCATENATE("StkSplit",$C328),$F$4:$F328)-SUMIF($U$4:$U328,CONCATENATE("Sell",$C328),$F$4:$F328))</f>
        <v>234.34200000000001</v>
      </c>
      <c r="AC328" s="3">
        <f>IF(B328="Sell",F328*INDEX(V:V,LOOKUP(2,1/(X$4:X327=CONCATENATE(C328,"_ACB")),ROW(V$4:V327))),0)</f>
        <v>0</v>
      </c>
    </row>
    <row r="329" spans="1:29" x14ac:dyDescent="0.25">
      <c r="A329" s="20">
        <v>38707</v>
      </c>
      <c r="B329" t="s">
        <v>41</v>
      </c>
      <c r="C329" t="s">
        <v>77</v>
      </c>
      <c r="D329" s="3">
        <v>22.04</v>
      </c>
      <c r="E329">
        <v>6.7524509999999998</v>
      </c>
      <c r="F329" s="3">
        <v>3.2639999999999998</v>
      </c>
      <c r="M329" s="21">
        <f t="shared" si="40"/>
        <v>22.04</v>
      </c>
      <c r="N329" s="8">
        <f t="shared" si="37"/>
        <v>-22.04</v>
      </c>
      <c r="O329" s="25">
        <f t="shared" si="38"/>
        <v>15010.720000000003</v>
      </c>
      <c r="P329" s="8">
        <f t="shared" si="41"/>
        <v>0</v>
      </c>
      <c r="Q329" s="4">
        <f>IF(AND(S329&gt;=[1]eRRSP_Rpt!$C$6,S329&lt;=[1]eRRSP_Rpt!$C$7),1,0)</f>
        <v>0</v>
      </c>
      <c r="R329" s="4"/>
      <c r="S329" s="4">
        <f t="shared" si="39"/>
        <v>2005</v>
      </c>
      <c r="T329" s="4"/>
      <c r="U329" s="4" t="str">
        <f t="shared" si="42"/>
        <v>ReinvDivMutual Beacon</v>
      </c>
      <c r="V329" s="23">
        <f>IFERROR(IF(AND(AB329&gt;0,B329&lt;&gt;"Sell"),(AA329-SUMIF(C$4:C328,C329,AC$4:AC329))/AB329,0),"")</f>
        <v>-6.8093952641283808</v>
      </c>
      <c r="W329" s="24" t="str">
        <f t="shared" si="44"/>
        <v/>
      </c>
      <c r="X329" s="25" t="str">
        <f t="shared" si="43"/>
        <v>Mutual Beacon_ACB</v>
      </c>
      <c r="Y329" s="10" t="str">
        <f>IF(S330&lt;&gt;eRRSP_Tx_Table[[#This Row],[Year]],SUMIFS($W$4:$W329,$S$4:$S329,eRRSP_Tx_Table[[#This Row],[Year]],$W$4:$W329,"&gt;0"),"")</f>
        <v/>
      </c>
      <c r="Z329" s="10" t="str">
        <f>IF(S330&lt;&gt;eRRSP_Tx_Table[[#This Row],[Year]],SUMIFS($W$4:$W329,$S$4:$S329,eRRSP_Tx_Table[[#This Row],[Year]],$W$4:$W329,"&lt;0"),"")</f>
        <v/>
      </c>
      <c r="AA329" s="3">
        <f>(SUMIF($U$4:$U329,CONCATENATE("Buy",$C329),$N$4:$N329)+SUMIF($U$4:$U329,CONCATENATE("ReinvDiv",$C329),$N$4:$N329))</f>
        <v>-2101.25</v>
      </c>
      <c r="AB329" s="3">
        <f>(SUMIF($U$4:$U329,CONCATENATE("Buy",$C329),$F$4:$F329)+SUMIF($U$4:$U329,CONCATENATE("ReinvDiv",$C329),$F$4:$F329)+SUMIF($U$4:$U329,CONCATENATE("StkSplit",$C329),$F$4:$F329)-SUMIF($U$4:$U329,CONCATENATE("Sell",$C329),$F$4:$F329))</f>
        <v>308.58100000000002</v>
      </c>
      <c r="AC329" s="3">
        <f>IF(B329="Sell",F329*INDEX(V:V,LOOKUP(2,1/(X$4:X328=CONCATENATE(C329,"_ACB")),ROW(V$4:V328))),0)</f>
        <v>0</v>
      </c>
    </row>
    <row r="330" spans="1:29" x14ac:dyDescent="0.25">
      <c r="A330" s="20">
        <v>38708</v>
      </c>
      <c r="B330" t="s">
        <v>41</v>
      </c>
      <c r="C330" t="s">
        <v>62</v>
      </c>
      <c r="D330" s="3">
        <v>136.41</v>
      </c>
      <c r="E330">
        <v>15.969328000000001</v>
      </c>
      <c r="F330" s="3">
        <v>8.5419999999999998</v>
      </c>
      <c r="M330" s="21">
        <f t="shared" si="40"/>
        <v>136.41</v>
      </c>
      <c r="N330" s="8">
        <f t="shared" ref="N330:N393" si="45">IF(OR(B330="Buy",B330="ReinvDiv"),-M330-G330,M330-G330)</f>
        <v>-136.41</v>
      </c>
      <c r="O330" s="25">
        <f t="shared" si="38"/>
        <v>15010.720000000003</v>
      </c>
      <c r="P330" s="8">
        <f t="shared" si="41"/>
        <v>0</v>
      </c>
      <c r="Q330" s="4">
        <f>IF(AND(S330&gt;=[1]eRRSP_Rpt!$C$6,S330&lt;=[1]eRRSP_Rpt!$C$7),1,0)</f>
        <v>0</v>
      </c>
      <c r="R330" s="4"/>
      <c r="S330" s="4">
        <f t="shared" si="39"/>
        <v>2005</v>
      </c>
      <c r="T330" s="4"/>
      <c r="U330" s="4" t="str">
        <f t="shared" si="42"/>
        <v>ReinvDivTD RR Bond</v>
      </c>
      <c r="V330" s="23">
        <f>IFERROR(IF(AND(AB330&gt;0,B330&lt;&gt;"Sell"),(AA330-SUMIF(C$4:C329,C330,AC$4:AC330))/AB330,0),"")</f>
        <v>-14.471470260818206</v>
      </c>
      <c r="W330" s="24" t="str">
        <f t="shared" si="44"/>
        <v/>
      </c>
      <c r="X330" s="25" t="str">
        <f t="shared" si="43"/>
        <v>TD RR Bond_ACB</v>
      </c>
      <c r="Y330" s="10" t="str">
        <f>IF(S331&lt;&gt;eRRSP_Tx_Table[[#This Row],[Year]],SUMIFS($W$4:$W330,$S$4:$S330,eRRSP_Tx_Table[[#This Row],[Year]],$W$4:$W330,"&gt;0"),"")</f>
        <v/>
      </c>
      <c r="Z330" s="10" t="str">
        <f>IF(S331&lt;&gt;eRRSP_Tx_Table[[#This Row],[Year]],SUMIFS($W$4:$W330,$S$4:$S330,eRRSP_Tx_Table[[#This Row],[Year]],$W$4:$W330,"&lt;0"),"")</f>
        <v/>
      </c>
      <c r="AA330" s="3">
        <f>(SUMIF($U$4:$U330,CONCATENATE("Buy",$C330),$N$4:$N330)+SUMIF($U$4:$U330,CONCATENATE("ReinvDiv",$C330),$N$4:$N330))</f>
        <v>-8722.7800000000007</v>
      </c>
      <c r="AB330" s="3">
        <f>(SUMIF($U$4:$U330,CONCATENATE("Buy",$C330),$F$4:$F330)+SUMIF($U$4:$U330,CONCATENATE("ReinvDiv",$C330),$F$4:$F330)+SUMIF($U$4:$U330,CONCATENATE("StkSplit",$C330),$F$4:$F330)-SUMIF($U$4:$U330,CONCATENATE("Sell",$C330),$F$4:$F330))</f>
        <v>602.75700000000006</v>
      </c>
      <c r="AC330" s="3">
        <f>IF(B330="Sell",F330*INDEX(V:V,LOOKUP(2,1/(X$4:X329=CONCATENATE(C330,"_ACB")),ROW(V$4:V329))),0)</f>
        <v>0</v>
      </c>
    </row>
    <row r="331" spans="1:29" x14ac:dyDescent="0.25">
      <c r="A331" s="20">
        <v>38708</v>
      </c>
      <c r="B331" t="s">
        <v>41</v>
      </c>
      <c r="C331" t="s">
        <v>58</v>
      </c>
      <c r="D331" s="3">
        <v>36.4</v>
      </c>
      <c r="E331">
        <v>8.08</v>
      </c>
      <c r="F331" s="3">
        <v>4.5049999999999999</v>
      </c>
      <c r="M331" s="21">
        <f t="shared" si="40"/>
        <v>36.4</v>
      </c>
      <c r="N331" s="8">
        <f t="shared" si="45"/>
        <v>-36.4</v>
      </c>
      <c r="O331" s="25">
        <f>O330+IF(OR(B331="Cash",B331="Buy",B331="Sell",B331="Div",B331="Rebate",B331="Fees",B331="IntInc",B331="Tax",B331="Distr"),N331,0)</f>
        <v>15010.720000000003</v>
      </c>
      <c r="P331" s="8">
        <f t="shared" si="41"/>
        <v>0</v>
      </c>
      <c r="Q331" s="4">
        <f>IF(AND(S331&gt;=[1]eRRSP_Rpt!$C$6,S331&lt;=[1]eRRSP_Rpt!$C$7),1,0)</f>
        <v>0</v>
      </c>
      <c r="R331" s="4"/>
      <c r="S331" s="4">
        <f t="shared" si="39"/>
        <v>2005</v>
      </c>
      <c r="T331" s="4"/>
      <c r="U331" s="4" t="str">
        <f t="shared" si="42"/>
        <v>ReinvDivTD DJIA Index</v>
      </c>
      <c r="V331" s="23">
        <f>IFERROR(IF(AND(AB331&gt;0,B331&lt;&gt;"Sell"),(AA331-SUMIF(C$4:C330,C331,AC$4:AC331))/AB331,0),"")</f>
        <v>-11.0967034063139</v>
      </c>
      <c r="W331" s="24" t="str">
        <f t="shared" si="44"/>
        <v/>
      </c>
      <c r="X331" s="25" t="str">
        <f t="shared" si="43"/>
        <v>TD DJIA Index_ACB</v>
      </c>
      <c r="Y331" s="10" t="str">
        <f>IF(S332&lt;&gt;eRRSP_Tx_Table[[#This Row],[Year]],SUMIFS($W$4:$W331,$S$4:$S331,eRRSP_Tx_Table[[#This Row],[Year]],$W$4:$W331,"&gt;0"),"")</f>
        <v/>
      </c>
      <c r="Z331" s="10" t="str">
        <f>IF(S332&lt;&gt;eRRSP_Tx_Table[[#This Row],[Year]],SUMIFS($W$4:$W331,$S$4:$S331,eRRSP_Tx_Table[[#This Row],[Year]],$W$4:$W331,"&lt;0"),"")</f>
        <v/>
      </c>
      <c r="AA331" s="3">
        <f>(SUMIF($U$4:$U331,CONCATENATE("Buy",$C331),$N$4:$N331)+SUMIF($U$4:$U331,CONCATENATE("ReinvDiv",$C331),$N$4:$N331))</f>
        <v>-1112.5</v>
      </c>
      <c r="AB331" s="3">
        <f>(SUMIF($U$4:$U331,CONCATENATE("Buy",$C331),$F$4:$F331)+SUMIF($U$4:$U331,CONCATENATE("ReinvDiv",$C331),$F$4:$F331)+SUMIF($U$4:$U331,CONCATENATE("StkSplit",$C331),$F$4:$F331)-SUMIF($U$4:$U331,CONCATENATE("Sell",$C331),$F$4:$F331))</f>
        <v>100.255</v>
      </c>
      <c r="AC331" s="3">
        <f>IF(B331="Sell",F331*INDEX(V:V,LOOKUP(2,1/(X$4:X330=CONCATENATE(C331,"_ACB")),ROW(V$4:V330))),0)</f>
        <v>0</v>
      </c>
    </row>
    <row r="332" spans="1:29" x14ac:dyDescent="0.25">
      <c r="A332" s="20">
        <v>38716</v>
      </c>
      <c r="B332" t="s">
        <v>42</v>
      </c>
      <c r="C332" t="s">
        <v>72</v>
      </c>
      <c r="D332" s="3">
        <v>125.24</v>
      </c>
      <c r="M332" s="21">
        <f t="shared" si="40"/>
        <v>125.24</v>
      </c>
      <c r="N332" s="8">
        <f t="shared" si="45"/>
        <v>125.24</v>
      </c>
      <c r="O332" s="25">
        <f>O331+IF(OR(B332="Cash",B332="Buy",B332="Sell",B332="Div",B332="Rebate",B332="Fees",B332="IntInc",B332="Tax",B332="Distr"),N332,0)</f>
        <v>15135.960000000003</v>
      </c>
      <c r="P332" s="8">
        <f t="shared" si="41"/>
        <v>0</v>
      </c>
      <c r="Q332" s="4">
        <f>IF(AND(S332&gt;=[1]eRRSP_Rpt!$C$6,S332&lt;=[1]eRRSP_Rpt!$C$7),1,0)</f>
        <v>0</v>
      </c>
      <c r="R332" s="4"/>
      <c r="S332" s="4">
        <f t="shared" si="39"/>
        <v>2005</v>
      </c>
      <c r="T332" s="4"/>
      <c r="U332" s="4" t="str">
        <f t="shared" si="42"/>
        <v>DivIunits GOC 5Yr Bond</v>
      </c>
      <c r="V332" s="23">
        <f>IFERROR(IF(AND(AB332&gt;0,B332&lt;&gt;"Sell"),(AA332-SUMIF(C$4:C331,C332,AC$4:AC332))/AB332,0),"")</f>
        <v>-28.945</v>
      </c>
      <c r="W332" s="24" t="str">
        <f t="shared" si="44"/>
        <v/>
      </c>
      <c r="X332" s="25" t="str">
        <f t="shared" si="43"/>
        <v>Iunits GOC 5Yr Bond_ACB</v>
      </c>
      <c r="Y332" s="10" t="str">
        <f>IF(S333&lt;&gt;eRRSP_Tx_Table[[#This Row],[Year]],SUMIFS($W$4:$W332,$S$4:$S332,eRRSP_Tx_Table[[#This Row],[Year]],$W$4:$W332,"&gt;0"),"")</f>
        <v/>
      </c>
      <c r="Z332" s="10" t="str">
        <f>IF(S333&lt;&gt;eRRSP_Tx_Table[[#This Row],[Year]],SUMIFS($W$4:$W332,$S$4:$S332,eRRSP_Tx_Table[[#This Row],[Year]],$W$4:$W332,"&lt;0"),"")</f>
        <v/>
      </c>
      <c r="AA332" s="3">
        <f>(SUMIF($U$4:$U332,CONCATENATE("Buy",$C332),$N$4:$N332)+SUMIF($U$4:$U332,CONCATENATE("ReinvDiv",$C332),$N$4:$N332))</f>
        <v>-5789</v>
      </c>
      <c r="AB332" s="3">
        <f>(SUMIF($U$4:$U332,CONCATENATE("Buy",$C332),$F$4:$F332)+SUMIF($U$4:$U332,CONCATENATE("ReinvDiv",$C332),$F$4:$F332)+SUMIF($U$4:$U332,CONCATENATE("StkSplit",$C332),$F$4:$F332)-SUMIF($U$4:$U332,CONCATENATE("Sell",$C332),$F$4:$F332))</f>
        <v>200</v>
      </c>
      <c r="AC332" s="3">
        <f>IF(B332="Sell",F332*INDEX(V:V,LOOKUP(2,1/(X$4:X331=CONCATENATE(C332,"_ACB")),ROW(V$4:V331))),0)</f>
        <v>0</v>
      </c>
    </row>
    <row r="333" spans="1:29" x14ac:dyDescent="0.25">
      <c r="A333" s="20">
        <v>38716</v>
      </c>
      <c r="B333" t="s">
        <v>42</v>
      </c>
      <c r="C333" t="s">
        <v>75</v>
      </c>
      <c r="D333" s="3">
        <v>817.5</v>
      </c>
      <c r="M333" s="21">
        <f t="shared" si="40"/>
        <v>817.5</v>
      </c>
      <c r="N333" s="8">
        <f t="shared" si="45"/>
        <v>817.5</v>
      </c>
      <c r="O333" s="25">
        <f>O332+IF(OR(B333="Cash",B333="Buy",B333="Sell",B333="Div",B333="Rebate",B333="Fees",B333="IntInc",B333="Tax",B333="Distr"),N333,0)</f>
        <v>15953.460000000003</v>
      </c>
      <c r="P333" s="8">
        <f t="shared" si="41"/>
        <v>0</v>
      </c>
      <c r="Q333" s="4">
        <f>IF(AND(S333&gt;=[1]eRRSP_Rpt!$C$6,S333&lt;=[1]eRRSP_Rpt!$C$7),1,0)</f>
        <v>0</v>
      </c>
      <c r="R333" s="4"/>
      <c r="S333" s="4">
        <f t="shared" ref="S333:S398" si="46">YEAR(A333)</f>
        <v>2005</v>
      </c>
      <c r="T333" s="4"/>
      <c r="U333" s="4" t="str">
        <f t="shared" si="42"/>
        <v>DiviShares MSCI CDN</v>
      </c>
      <c r="V333" s="23">
        <f>IFERROR(IF(AND(AB333&gt;0,B333&lt;&gt;"Sell"),(AA333-SUMIF(C$4:C332,C333,AC$4:AC333))/AB333,0),"")</f>
        <v>-22.416666666666668</v>
      </c>
      <c r="W333" s="24" t="str">
        <f t="shared" si="44"/>
        <v/>
      </c>
      <c r="X333" s="25" t="str">
        <f t="shared" si="43"/>
        <v>iShares MSCI CDN_ACB</v>
      </c>
      <c r="Y333" s="10" t="str">
        <f>IF(S334&lt;&gt;eRRSP_Tx_Table[[#This Row],[Year]],SUMIFS($W$4:$W333,$S$4:$S333,eRRSP_Tx_Table[[#This Row],[Year]],$W$4:$W333,"&gt;0"),"")</f>
        <v/>
      </c>
      <c r="Z333" s="10" t="str">
        <f>IF(S334&lt;&gt;eRRSP_Tx_Table[[#This Row],[Year]],SUMIFS($W$4:$W333,$S$4:$S333,eRRSP_Tx_Table[[#This Row],[Year]],$W$4:$W333,"&lt;0"),"")</f>
        <v/>
      </c>
      <c r="AA333" s="3">
        <f>(SUMIF($U$4:$U333,CONCATENATE("Buy",$C333),$N$4:$N333)+SUMIF($U$4:$U333,CONCATENATE("ReinvDiv",$C333),$N$4:$N333))</f>
        <v>-6725</v>
      </c>
      <c r="AB333" s="3">
        <f>(SUMIF($U$4:$U333,CONCATENATE("Buy",$C333),$F$4:$F333)+SUMIF($U$4:$U333,CONCATENATE("ReinvDiv",$C333),$F$4:$F333)+SUMIF($U$4:$U333,CONCATENATE("StkSplit",$C333),$F$4:$F333)-SUMIF($U$4:$U333,CONCATENATE("Sell",$C333),$F$4:$F333))</f>
        <v>300</v>
      </c>
      <c r="AC333" s="3">
        <f>IF(B333="Sell",F333*INDEX(V:V,LOOKUP(2,1/(X$4:X332=CONCATENATE(C333,"_ACB")),ROW(V$4:V332))),0)</f>
        <v>0</v>
      </c>
    </row>
    <row r="334" spans="1:29" x14ac:dyDescent="0.25">
      <c r="A334" s="20">
        <v>38716</v>
      </c>
      <c r="B334" t="s">
        <v>41</v>
      </c>
      <c r="C334" t="s">
        <v>71</v>
      </c>
      <c r="D334" s="3">
        <v>306.7</v>
      </c>
      <c r="E334">
        <v>5.977392</v>
      </c>
      <c r="F334" s="3">
        <v>51.31</v>
      </c>
      <c r="M334" s="21">
        <f t="shared" si="40"/>
        <v>306.7</v>
      </c>
      <c r="N334" s="8">
        <f t="shared" si="45"/>
        <v>-306.7</v>
      </c>
      <c r="O334" s="25">
        <f>O333+IF(OR(B334="Cash",B334="Buy",B334="Sell",B334="Div",B334="Rebate",B334="Fees",B334="IntInc",B334="Tax",B334="Distr"),N334,0)</f>
        <v>15953.460000000003</v>
      </c>
      <c r="P334" s="8">
        <f t="shared" si="41"/>
        <v>0</v>
      </c>
      <c r="Q334" s="4">
        <f>IF(AND(S334&gt;=[1]eRRSP_Rpt!$C$6,S334&lt;=[1]eRRSP_Rpt!$C$7),1,0)</f>
        <v>0</v>
      </c>
      <c r="R334" s="4"/>
      <c r="S334" s="4">
        <f t="shared" si="46"/>
        <v>2005</v>
      </c>
      <c r="T334" s="4"/>
      <c r="U334" s="4" t="str">
        <f t="shared" si="42"/>
        <v>ReinvDivFront St SmallCap</v>
      </c>
      <c r="V334" s="23">
        <f>IFERROR(IF(AND(AB334&gt;0,B334&lt;&gt;"Sell"),(AA334-SUMIF(C$4:C333,C334,AC$4:AC334))/AB334,0),"")</f>
        <v>-4.7286502832176192</v>
      </c>
      <c r="W334" s="24" t="str">
        <f t="shared" si="44"/>
        <v/>
      </c>
      <c r="X334" s="25" t="str">
        <f t="shared" si="43"/>
        <v>Front St SmallCap_ACB</v>
      </c>
      <c r="Y334" s="10" t="str">
        <f>IF(S335&lt;&gt;eRRSP_Tx_Table[[#This Row],[Year]],SUMIFS($W$4:$W334,$S$4:$S334,eRRSP_Tx_Table[[#This Row],[Year]],$W$4:$W334,"&gt;0"),"")</f>
        <v/>
      </c>
      <c r="Z334" s="10" t="str">
        <f>IF(S335&lt;&gt;eRRSP_Tx_Table[[#This Row],[Year]],SUMIFS($W$4:$W334,$S$4:$S334,eRRSP_Tx_Table[[#This Row],[Year]],$W$4:$W334,"&lt;0"),"")</f>
        <v/>
      </c>
      <c r="AA334" s="3">
        <f>(SUMIF($U$4:$U334,CONCATENATE("Buy",$C334),$N$4:$N334)+SUMIF($U$4:$U334,CONCATENATE("ReinvDiv",$C334),$N$4:$N334))</f>
        <v>-8506.7000000000007</v>
      </c>
      <c r="AB334" s="3">
        <f>(SUMIF($U$4:$U334,CONCATENATE("Buy",$C334),$F$4:$F334)+SUMIF($U$4:$U334,CONCATENATE("ReinvDiv",$C334),$F$4:$F334)+SUMIF($U$4:$U334,CONCATENATE("StkSplit",$C334),$F$4:$F334)-SUMIF($U$4:$U334,CONCATENATE("Sell",$C334),$F$4:$F334))</f>
        <v>1798.97</v>
      </c>
      <c r="AC334" s="3">
        <f>IF(B334="Sell",F334*INDEX(V:V,LOOKUP(2,1/(X$4:X333=CONCATENATE(C334,"_ACB")),ROW(V$4:V333))),0)</f>
        <v>0</v>
      </c>
    </row>
    <row r="335" spans="1:29" x14ac:dyDescent="0.25">
      <c r="A335" s="20">
        <v>38716</v>
      </c>
      <c r="B335" t="s">
        <v>60</v>
      </c>
      <c r="C335" t="s">
        <v>75</v>
      </c>
      <c r="D335" s="3">
        <v>-817.5</v>
      </c>
      <c r="J335" t="s">
        <v>60</v>
      </c>
      <c r="M335" s="21">
        <f t="shared" si="40"/>
        <v>-817.5</v>
      </c>
      <c r="N335" s="8">
        <f t="shared" si="45"/>
        <v>-817.5</v>
      </c>
      <c r="O335" s="25">
        <f>O334+IF(OR(B335="Cash",B335="Buy",B335="Sell",B335="Div",B335="Rebate",B335="Fees",B335="IntInc",B335="Tax",B335="Distr"),N335,0)</f>
        <v>15135.960000000003</v>
      </c>
      <c r="P335" s="8">
        <f t="shared" si="41"/>
        <v>0</v>
      </c>
      <c r="Q335" s="4">
        <f>IF(AND(S335&gt;=[1]eRRSP_Rpt!$C$6,S335&lt;=[1]eRRSP_Rpt!$C$7),1,0)</f>
        <v>0</v>
      </c>
      <c r="R335" s="4"/>
      <c r="S335" s="4">
        <f t="shared" si="46"/>
        <v>2005</v>
      </c>
      <c r="T335" s="4"/>
      <c r="U335" s="4" t="str">
        <f t="shared" si="42"/>
        <v>TaxiShares MSCI CDN</v>
      </c>
      <c r="V335" s="23">
        <f>IFERROR(IF(AND(AB335&gt;0,B335&lt;&gt;"Sell"),(AA335-SUMIF(C$4:C334,C335,AC$4:AC335))/AB335,0),"")</f>
        <v>-22.416666666666668</v>
      </c>
      <c r="W335" s="24" t="str">
        <f t="shared" si="44"/>
        <v/>
      </c>
      <c r="X335" s="25" t="str">
        <f t="shared" si="43"/>
        <v>iShares MSCI CDN_ACB</v>
      </c>
      <c r="Y335" s="10" t="str">
        <f>IF(S336&lt;&gt;eRRSP_Tx_Table[[#This Row],[Year]],SUMIFS($W$4:$W335,$S$4:$S335,eRRSP_Tx_Table[[#This Row],[Year]],$W$4:$W335,"&gt;0"),"")</f>
        <v/>
      </c>
      <c r="Z335" s="10" t="str">
        <f>IF(S336&lt;&gt;eRRSP_Tx_Table[[#This Row],[Year]],SUMIFS($W$4:$W335,$S$4:$S335,eRRSP_Tx_Table[[#This Row],[Year]],$W$4:$W335,"&lt;0"),"")</f>
        <v/>
      </c>
      <c r="AA335" s="3">
        <f>(SUMIF($U$4:$U335,CONCATENATE("Buy",$C335),$N$4:$N335)+SUMIF($U$4:$U335,CONCATENATE("ReinvDiv",$C335),$N$4:$N335))</f>
        <v>-6725</v>
      </c>
      <c r="AB335" s="3">
        <f>(SUMIF($U$4:$U335,CONCATENATE("Buy",$C335),$F$4:$F335)+SUMIF($U$4:$U335,CONCATENATE("ReinvDiv",$C335),$F$4:$F335)+SUMIF($U$4:$U335,CONCATENATE("StkSplit",$C335),$F$4:$F335)-SUMIF($U$4:$U335,CONCATENATE("Sell",$C335),$F$4:$F335))</f>
        <v>300</v>
      </c>
      <c r="AC335" s="3">
        <f>IF(B335="Sell",F335*INDEX(V:V,LOOKUP(2,1/(X$4:X334=CONCATENATE(C335,"_ACB")),ROW(V$4:V334))),0)</f>
        <v>0</v>
      </c>
    </row>
    <row r="336" spans="1:29" ht="13.5" customHeight="1" x14ac:dyDescent="0.25">
      <c r="A336" s="32">
        <f>A265+364</f>
        <v>38717</v>
      </c>
      <c r="B336" s="33"/>
      <c r="C336" s="33"/>
      <c r="D336" s="34"/>
      <c r="E336" s="33"/>
      <c r="F336" s="34"/>
      <c r="G336" s="33"/>
      <c r="H336" s="33"/>
      <c r="I336" s="33"/>
      <c r="J336" s="33"/>
      <c r="K336" s="33"/>
      <c r="L336" s="33"/>
      <c r="M336" s="35"/>
      <c r="N336" s="8">
        <f t="shared" si="45"/>
        <v>0</v>
      </c>
      <c r="O336" s="36"/>
      <c r="P336" s="37">
        <v>-77399.070000000007</v>
      </c>
      <c r="Q336" s="4">
        <f>IF(AND(S336&gt;=[1]eRRSP_Rpt!$C$6,S336&lt;=[1]eRRSP_Rpt!$C$7),1,0)</f>
        <v>0</v>
      </c>
      <c r="R336" s="4" t="s">
        <v>34</v>
      </c>
      <c r="S336" s="4">
        <f>YEAR(A336)</f>
        <v>2005</v>
      </c>
      <c r="T336" s="22"/>
      <c r="U336" s="4"/>
      <c r="V336" s="23">
        <f>IFERROR(IF(AND(AB336&gt;0,B336&lt;&gt;"Sell"),(AA336-SUMIF(C$4:C335,C336,AC$4:AC336))/AB336,0),"")</f>
        <v>0</v>
      </c>
      <c r="W336" s="24" t="str">
        <f t="shared" si="44"/>
        <v/>
      </c>
      <c r="X336" s="25" t="str">
        <f t="shared" si="43"/>
        <v/>
      </c>
      <c r="Y336" s="10">
        <f>IF(S337&lt;&gt;eRRSP_Tx_Table[[#This Row],[Year]],SUMIFS($W$4:$W336,$S$4:$S336,eRRSP_Tx_Table[[#This Row],[Year]],$W$4:$W336,"&gt;0"),"")</f>
        <v>2042.2884989104648</v>
      </c>
      <c r="Z336" s="10">
        <f>IF(S337&lt;&gt;eRRSP_Tx_Table[[#This Row],[Year]],SUMIFS($W$4:$W336,$S$4:$S336,eRRSP_Tx_Table[[#This Row],[Year]],$W$4:$W336,"&lt;0"),"")</f>
        <v>-631.22999999999979</v>
      </c>
      <c r="AA336" s="3">
        <f>(SUMIF($U$4:$U336,CONCATENATE("Buy",$C336),$N$4:$N336)+SUMIF($U$4:$U336,CONCATENATE("ReinvDiv",$C336),$N$4:$N336))</f>
        <v>0</v>
      </c>
      <c r="AB336" s="3">
        <f>(SUMIF($U$4:$U336,CONCATENATE("Buy",$C336),$F$4:$F336)+SUMIF($U$4:$U336,CONCATENATE("ReinvDiv",$C336),$F$4:$F336)+SUMIF($U$4:$U336,CONCATENATE("StkSplit",$C336),$F$4:$F336)-SUMIF($U$4:$U336,CONCATENATE("Sell",$C336),$F$4:$F336))</f>
        <v>0</v>
      </c>
      <c r="AC336" s="3">
        <f>IF(B336="Sell",F336*INDEX(V:V,LOOKUP(2,1/(X$4:X335=CONCATENATE(C336,"_ACB")),ROW(V$4:V335))),0)</f>
        <v>0</v>
      </c>
    </row>
    <row r="337" spans="1:29" ht="13.5" customHeight="1" x14ac:dyDescent="0.25">
      <c r="A337" s="32">
        <f>A336+1</f>
        <v>38718</v>
      </c>
      <c r="B337" s="33"/>
      <c r="C337" s="33"/>
      <c r="D337" s="34"/>
      <c r="E337" s="33"/>
      <c r="F337" s="34"/>
      <c r="G337" s="33"/>
      <c r="H337" s="33"/>
      <c r="I337" s="33"/>
      <c r="J337" s="33"/>
      <c r="K337" s="33"/>
      <c r="L337" s="33"/>
      <c r="M337" s="35"/>
      <c r="N337" s="8">
        <f t="shared" si="45"/>
        <v>0</v>
      </c>
      <c r="O337" s="36"/>
      <c r="P337" s="37">
        <f>-P336</f>
        <v>77399.070000000007</v>
      </c>
      <c r="Q337" s="4">
        <f>IF(AND(S337&gt;=[1]eRRSP_Rpt!$C$6,S337&lt;=[1]eRRSP_Rpt!$C$7),1,0)</f>
        <v>0</v>
      </c>
      <c r="R337" s="4" t="s">
        <v>34</v>
      </c>
      <c r="S337" s="4">
        <f>YEAR(A337)</f>
        <v>2006</v>
      </c>
      <c r="T337" s="22"/>
      <c r="U337" s="4"/>
      <c r="V337" s="23">
        <f>IFERROR(IF(AND(AB337&gt;0,B337&lt;&gt;"Sell"),(AA337-SUMIF(C$4:C336,C337,AC$4:AC337))/AB337,0),"")</f>
        <v>0</v>
      </c>
      <c r="W337" s="24" t="str">
        <f t="shared" si="44"/>
        <v/>
      </c>
      <c r="X337" s="25" t="str">
        <f t="shared" si="43"/>
        <v/>
      </c>
      <c r="Y337" s="10" t="str">
        <f>IF(S338&lt;&gt;eRRSP_Tx_Table[[#This Row],[Year]],SUMIFS($W$4:$W337,$S$4:$S337,eRRSP_Tx_Table[[#This Row],[Year]],$W$4:$W337,"&gt;0"),"")</f>
        <v/>
      </c>
      <c r="Z337" s="10" t="str">
        <f>IF(S338&lt;&gt;eRRSP_Tx_Table[[#This Row],[Year]],SUMIFS($W$4:$W337,$S$4:$S337,eRRSP_Tx_Table[[#This Row],[Year]],$W$4:$W337,"&lt;0"),"")</f>
        <v/>
      </c>
      <c r="AA337" s="3">
        <f>(SUMIF($U$4:$U337,CONCATENATE("Buy",$C337),$N$4:$N337)+SUMIF($U$4:$U337,CONCATENATE("ReinvDiv",$C337),$N$4:$N337))</f>
        <v>0</v>
      </c>
      <c r="AB337" s="3">
        <f>(SUMIF($U$4:$U337,CONCATENATE("Buy",$C337),$F$4:$F337)+SUMIF($U$4:$U337,CONCATENATE("ReinvDiv",$C337),$F$4:$F337)+SUMIF($U$4:$U337,CONCATENATE("StkSplit",$C337),$F$4:$F337)-SUMIF($U$4:$U337,CONCATENATE("Sell",$C337),$F$4:$F337))</f>
        <v>0</v>
      </c>
      <c r="AC337" s="3">
        <f>IF(B337="Sell",F337*INDEX(V:V,LOOKUP(2,1/(X$4:X336=CONCATENATE(C337,"_ACB")),ROW(V$4:V336))),0)</f>
        <v>0</v>
      </c>
    </row>
    <row r="338" spans="1:29" x14ac:dyDescent="0.25">
      <c r="A338" s="20">
        <v>38730</v>
      </c>
      <c r="B338" t="s">
        <v>41</v>
      </c>
      <c r="C338" t="s">
        <v>39</v>
      </c>
      <c r="D338" s="3">
        <v>5.15</v>
      </c>
      <c r="E338">
        <v>11</v>
      </c>
      <c r="F338" s="3">
        <v>0.46800000000000003</v>
      </c>
      <c r="M338" s="21">
        <f t="shared" si="40"/>
        <v>5.15</v>
      </c>
      <c r="N338" s="8">
        <f t="shared" si="45"/>
        <v>-5.15</v>
      </c>
      <c r="O338" s="25">
        <f>O335+IF(OR(B338="Cash",B338="Buy",B338="Sell",B338="Div",B338="Rebate",B338="Fees",B338="IntInc",B338="Tax",B338="Distr"),N338,0)</f>
        <v>15135.960000000003</v>
      </c>
      <c r="P338" s="8">
        <f t="shared" si="41"/>
        <v>0</v>
      </c>
      <c r="Q338" s="4">
        <f>IF(AND(S338&gt;=[1]eRRSP_Rpt!$C$6,S338&lt;=[1]eRRSP_Rpt!$C$7),1,0)</f>
        <v>0</v>
      </c>
      <c r="R338" s="4"/>
      <c r="S338" s="4">
        <f t="shared" si="46"/>
        <v>2006</v>
      </c>
      <c r="T338" s="4"/>
      <c r="U338" s="4" t="str">
        <f t="shared" si="42"/>
        <v>ReinvDivTrimark Income Growth</v>
      </c>
      <c r="V338" s="23">
        <f>IFERROR(IF(AND(AB338&gt;0,B338&lt;&gt;"Sell"),(AA338-SUMIF(C$4:C337,C338,AC$4:AC338))/AB338,0),"")</f>
        <v>-8.0756323470190026</v>
      </c>
      <c r="W338" s="24" t="str">
        <f t="shared" si="44"/>
        <v/>
      </c>
      <c r="X338" s="25" t="str">
        <f t="shared" si="43"/>
        <v>Trimark Income Growth_ACB</v>
      </c>
      <c r="Y338" s="10" t="str">
        <f>IF(S339&lt;&gt;eRRSP_Tx_Table[[#This Row],[Year]],SUMIFS($W$4:$W338,$S$4:$S338,eRRSP_Tx_Table[[#This Row],[Year]],$W$4:$W338,"&gt;0"),"")</f>
        <v/>
      </c>
      <c r="Z338" s="10" t="str">
        <f>IF(S339&lt;&gt;eRRSP_Tx_Table[[#This Row],[Year]],SUMIFS($W$4:$W338,$S$4:$S338,eRRSP_Tx_Table[[#This Row],[Year]],$W$4:$W338,"&lt;0"),"")</f>
        <v/>
      </c>
      <c r="AA338" s="3">
        <f>(SUMIF($U$4:$U338,CONCATENATE("Buy",$C338),$N$4:$N338)+SUMIF($U$4:$U338,CONCATENATE("ReinvDiv",$C338),$N$4:$N338))</f>
        <v>-2526.7199999999998</v>
      </c>
      <c r="AB338" s="3">
        <f>(SUMIF($U$4:$U338,CONCATENATE("Buy",$C338),$F$4:$F338)+SUMIF($U$4:$U338,CONCATENATE("ReinvDiv",$C338),$F$4:$F338)+SUMIF($U$4:$U338,CONCATENATE("StkSplit",$C338),$F$4:$F338)-SUMIF($U$4:$U338,CONCATENATE("Sell",$C338),$F$4:$F338))</f>
        <v>312.88200000000001</v>
      </c>
      <c r="AC338" s="3">
        <f>IF(B338="Sell",F338*INDEX(V:V,LOOKUP(2,1/(X$4:X337=CONCATENATE(C338,"_ACB")),ROW(V$4:V337))),0)</f>
        <v>0</v>
      </c>
    </row>
    <row r="339" spans="1:29" x14ac:dyDescent="0.25">
      <c r="A339" s="20">
        <v>38733</v>
      </c>
      <c r="B339" t="s">
        <v>43</v>
      </c>
      <c r="C339" t="s">
        <v>36</v>
      </c>
      <c r="D339" s="3">
        <v>12.8</v>
      </c>
      <c r="M339" s="21">
        <f t="shared" ref="M339:M402" si="47">ROUND(IF(OR(B339="Buy",B339="Sell"),E339*F339,D339),2)</f>
        <v>12.8</v>
      </c>
      <c r="N339" s="8">
        <f t="shared" si="45"/>
        <v>12.8</v>
      </c>
      <c r="O339" s="25">
        <f t="shared" ref="O339:O402" si="48">O338+IF(OR(B339="Cash",B339="Buy",B339="Sell",B339="Div",B339="Rebate",B339="Fees",B339="IntInc",B339="Tax",B339="Distr"),N339,0)</f>
        <v>15148.760000000002</v>
      </c>
      <c r="P339" s="8">
        <f t="shared" ref="P339:P402" si="49">IF(OR($B339="Cash"),$N339,0)</f>
        <v>0</v>
      </c>
      <c r="Q339" s="4">
        <f>IF(AND(S339&gt;=[1]eRRSP_Rpt!$C$6,S339&lt;=[1]eRRSP_Rpt!$C$7),1,0)</f>
        <v>0</v>
      </c>
      <c r="R339" s="4"/>
      <c r="S339" s="4">
        <f t="shared" si="46"/>
        <v>2006</v>
      </c>
      <c r="T339" s="4"/>
      <c r="U339" s="4" t="str">
        <f t="shared" ref="U339:U402" si="50">CONCATENATE(B339,C339)</f>
        <v>IntIncTDW</v>
      </c>
      <c r="V339" s="23">
        <f>IFERROR(IF(AND(AB339&gt;0,B339&lt;&gt;"Sell"),(AA339-SUMIF(C$4:C338,C339,AC$4:AC339))/AB339,0),"")</f>
        <v>0</v>
      </c>
      <c r="W339" s="24" t="str">
        <f t="shared" si="44"/>
        <v/>
      </c>
      <c r="X339" s="25" t="str">
        <f t="shared" si="43"/>
        <v/>
      </c>
      <c r="Y339" s="10" t="str">
        <f>IF(S340&lt;&gt;eRRSP_Tx_Table[[#This Row],[Year]],SUMIFS($W$4:$W339,$S$4:$S339,eRRSP_Tx_Table[[#This Row],[Year]],$W$4:$W339,"&gt;0"),"")</f>
        <v/>
      </c>
      <c r="Z339" s="10" t="str">
        <f>IF(S340&lt;&gt;eRRSP_Tx_Table[[#This Row],[Year]],SUMIFS($W$4:$W339,$S$4:$S339,eRRSP_Tx_Table[[#This Row],[Year]],$W$4:$W339,"&lt;0"),"")</f>
        <v/>
      </c>
      <c r="AA339" s="3">
        <f>(SUMIF($U$4:$U339,CONCATENATE("Buy",$C339),$N$4:$N339)+SUMIF($U$4:$U339,CONCATENATE("ReinvDiv",$C339),$N$4:$N339))</f>
        <v>0</v>
      </c>
      <c r="AB339" s="3">
        <f>(SUMIF($U$4:$U339,CONCATENATE("Buy",$C339),$F$4:$F339)+SUMIF($U$4:$U339,CONCATENATE("ReinvDiv",$C339),$F$4:$F339)+SUMIF($U$4:$U339,CONCATENATE("StkSplit",$C339),$F$4:$F339)-SUMIF($U$4:$U339,CONCATENATE("Sell",$C339),$F$4:$F339))</f>
        <v>0</v>
      </c>
      <c r="AC339" s="3">
        <f>IF(B339="Sell",F339*INDEX(V:V,LOOKUP(2,1/(X$4:X338=CONCATENATE(C339,"_ACB")),ROW(V$4:V338))),0)</f>
        <v>0</v>
      </c>
    </row>
    <row r="340" spans="1:29" x14ac:dyDescent="0.25">
      <c r="A340" s="20">
        <v>38748</v>
      </c>
      <c r="B340" t="s">
        <v>42</v>
      </c>
      <c r="C340" t="s">
        <v>45</v>
      </c>
      <c r="D340" s="3">
        <v>8.4</v>
      </c>
      <c r="M340" s="21">
        <f t="shared" si="47"/>
        <v>8.4</v>
      </c>
      <c r="N340" s="8">
        <f t="shared" si="45"/>
        <v>8.4</v>
      </c>
      <c r="O340" s="25">
        <f t="shared" si="48"/>
        <v>15157.160000000002</v>
      </c>
      <c r="P340" s="8">
        <f t="shared" si="49"/>
        <v>0</v>
      </c>
      <c r="Q340" s="4">
        <f>IF(AND(S340&gt;=[1]eRRSP_Rpt!$C$6,S340&lt;=[1]eRRSP_Rpt!$C$7),1,0)</f>
        <v>0</v>
      </c>
      <c r="R340" s="4"/>
      <c r="S340" s="4">
        <f t="shared" si="46"/>
        <v>2006</v>
      </c>
      <c r="T340" s="4"/>
      <c r="U340" s="4" t="str">
        <f t="shared" si="50"/>
        <v>DivTD Bank</v>
      </c>
      <c r="V340" s="23">
        <f>IFERROR(IF(AND(AB340&gt;0,B340&lt;&gt;"Sell"),(AA340-SUMIF(C$4:C339,C340,AC$4:AC340))/AB340,0),"")</f>
        <v>-44.29</v>
      </c>
      <c r="W340" s="24" t="str">
        <f t="shared" si="44"/>
        <v/>
      </c>
      <c r="X340" s="25" t="str">
        <f t="shared" si="43"/>
        <v>TD Bank_ACB</v>
      </c>
      <c r="Y340" s="10" t="str">
        <f>IF(S341&lt;&gt;eRRSP_Tx_Table[[#This Row],[Year]],SUMIFS($W$4:$W340,$S$4:$S340,eRRSP_Tx_Table[[#This Row],[Year]],$W$4:$W340,"&gt;0"),"")</f>
        <v/>
      </c>
      <c r="Z340" s="10" t="str">
        <f>IF(S341&lt;&gt;eRRSP_Tx_Table[[#This Row],[Year]],SUMIFS($W$4:$W340,$S$4:$S340,eRRSP_Tx_Table[[#This Row],[Year]],$W$4:$W340,"&lt;0"),"")</f>
        <v/>
      </c>
      <c r="AA340" s="3">
        <f>(SUMIF($U$4:$U340,CONCATENATE("Buy",$C340),$N$4:$N340)+SUMIF($U$4:$U340,CONCATENATE("ReinvDiv",$C340),$N$4:$N340))</f>
        <v>-885.8</v>
      </c>
      <c r="AB340" s="3">
        <f>(SUMIF($U$4:$U340,CONCATENATE("Buy",$C340),$F$4:$F340)+SUMIF($U$4:$U340,CONCATENATE("ReinvDiv",$C340),$F$4:$F340)+SUMIF($U$4:$U340,CONCATENATE("StkSplit",$C340),$F$4:$F340)-SUMIF($U$4:$U340,CONCATENATE("Sell",$C340),$F$4:$F340))</f>
        <v>20</v>
      </c>
      <c r="AC340" s="3">
        <f>IF(B340="Sell",F340*INDEX(V:V,LOOKUP(2,1/(X$4:X339=CONCATENATE(C340,"_ACB")),ROW(V$4:V339))),0)</f>
        <v>0</v>
      </c>
    </row>
    <row r="341" spans="1:29" x14ac:dyDescent="0.25">
      <c r="A341" s="20">
        <v>38749</v>
      </c>
      <c r="B341" t="s">
        <v>32</v>
      </c>
      <c r="C341" t="s">
        <v>79</v>
      </c>
      <c r="D341" s="3">
        <v>1286.73</v>
      </c>
      <c r="E341">
        <v>8.6739999999999995</v>
      </c>
      <c r="F341" s="3">
        <v>145</v>
      </c>
      <c r="G341">
        <v>29</v>
      </c>
      <c r="M341" s="21">
        <f t="shared" si="47"/>
        <v>1257.73</v>
      </c>
      <c r="N341" s="8">
        <f t="shared" si="45"/>
        <v>-1286.73</v>
      </c>
      <c r="O341" s="25">
        <f t="shared" si="48"/>
        <v>13870.430000000002</v>
      </c>
      <c r="P341" s="8">
        <f t="shared" si="49"/>
        <v>0</v>
      </c>
      <c r="Q341" s="4">
        <f>IF(AND(S341&gt;=[1]eRRSP_Rpt!$C$6,S341&lt;=[1]eRRSP_Rpt!$C$7),1,0)</f>
        <v>0</v>
      </c>
      <c r="R341" s="4"/>
      <c r="S341" s="4">
        <f t="shared" si="46"/>
        <v>2006</v>
      </c>
      <c r="T341" s="4"/>
      <c r="U341" s="4" t="str">
        <f t="shared" si="50"/>
        <v>BuyCentral Fund of Canada</v>
      </c>
      <c r="V341" s="23">
        <f>IFERROR(IF(AND(AB341&gt;0,B341&lt;&gt;"Sell"),(AA341-SUMIF(C$4:C340,C341,AC$4:AC341))/AB341,0),"")</f>
        <v>-8.8740000000000006</v>
      </c>
      <c r="W341" s="24" t="str">
        <f t="shared" si="44"/>
        <v/>
      </c>
      <c r="X341" s="25" t="str">
        <f t="shared" si="43"/>
        <v>Central Fund of Canada_ACB</v>
      </c>
      <c r="Y341" s="10" t="str">
        <f>IF(S342&lt;&gt;eRRSP_Tx_Table[[#This Row],[Year]],SUMIFS($W$4:$W341,$S$4:$S341,eRRSP_Tx_Table[[#This Row],[Year]],$W$4:$W341,"&gt;0"),"")</f>
        <v/>
      </c>
      <c r="Z341" s="10" t="str">
        <f>IF(S342&lt;&gt;eRRSP_Tx_Table[[#This Row],[Year]],SUMIFS($W$4:$W341,$S$4:$S341,eRRSP_Tx_Table[[#This Row],[Year]],$W$4:$W341,"&lt;0"),"")</f>
        <v/>
      </c>
      <c r="AA341" s="3">
        <f>(SUMIF($U$4:$U341,CONCATENATE("Buy",$C341),$N$4:$N341)+SUMIF($U$4:$U341,CONCATENATE("ReinvDiv",$C341),$N$4:$N341))</f>
        <v>-1286.73</v>
      </c>
      <c r="AB341" s="3">
        <f>(SUMIF($U$4:$U341,CONCATENATE("Buy",$C341),$F$4:$F341)+SUMIF($U$4:$U341,CONCATENATE("ReinvDiv",$C341),$F$4:$F341)+SUMIF($U$4:$U341,CONCATENATE("StkSplit",$C341),$F$4:$F341)-SUMIF($U$4:$U341,CONCATENATE("Sell",$C341),$F$4:$F341))</f>
        <v>145</v>
      </c>
      <c r="AC341" s="3">
        <f>IF(B341="Sell",F341*INDEX(V:V,LOOKUP(2,1/(X$4:X340=CONCATENATE(C341,"_ACB")),ROW(V$4:V340))),0)</f>
        <v>0</v>
      </c>
    </row>
    <row r="342" spans="1:29" x14ac:dyDescent="0.25">
      <c r="A342" s="20">
        <v>38749</v>
      </c>
      <c r="B342" t="s">
        <v>40</v>
      </c>
      <c r="C342" t="s">
        <v>33</v>
      </c>
      <c r="D342" s="3">
        <v>1466.27</v>
      </c>
      <c r="E342">
        <v>36.47</v>
      </c>
      <c r="F342" s="3">
        <v>41</v>
      </c>
      <c r="G342">
        <v>29</v>
      </c>
      <c r="M342" s="21">
        <f t="shared" si="47"/>
        <v>1495.27</v>
      </c>
      <c r="N342" s="8">
        <f t="shared" si="45"/>
        <v>1466.27</v>
      </c>
      <c r="O342" s="25">
        <f t="shared" si="48"/>
        <v>15336.700000000003</v>
      </c>
      <c r="P342" s="8">
        <f t="shared" si="49"/>
        <v>0</v>
      </c>
      <c r="Q342" s="4">
        <f>IF(AND(S342&gt;=[1]eRRSP_Rpt!$C$6,S342&lt;=[1]eRRSP_Rpt!$C$7),1,0)</f>
        <v>0</v>
      </c>
      <c r="R342" s="4"/>
      <c r="S342" s="4">
        <f t="shared" si="46"/>
        <v>2006</v>
      </c>
      <c r="T342" s="4"/>
      <c r="U342" s="4" t="str">
        <f t="shared" si="50"/>
        <v>SellEnbridge</v>
      </c>
      <c r="V342" s="23">
        <f>IFERROR(IF(AND(AB342&gt;0,B342&lt;&gt;"Sell"),(AA342-SUMIF(C$4:C341,C342,AC$4:AC342))/AB342,0),"")</f>
        <v>0</v>
      </c>
      <c r="W342" s="24">
        <f t="shared" si="44"/>
        <v>939.049861111111</v>
      </c>
      <c r="X342" s="25" t="str">
        <f t="shared" si="43"/>
        <v/>
      </c>
      <c r="Y342" s="10" t="str">
        <f>IF(S343&lt;&gt;eRRSP_Tx_Table[[#This Row],[Year]],SUMIFS($W$4:$W342,$S$4:$S342,eRRSP_Tx_Table[[#This Row],[Year]],$W$4:$W342,"&gt;0"),"")</f>
        <v/>
      </c>
      <c r="Z342" s="10" t="str">
        <f>IF(S343&lt;&gt;eRRSP_Tx_Table[[#This Row],[Year]],SUMIFS($W$4:$W342,$S$4:$S342,eRRSP_Tx_Table[[#This Row],[Year]],$W$4:$W342,"&lt;0"),"")</f>
        <v/>
      </c>
      <c r="AA342" s="3">
        <f>(SUMIF($U$4:$U342,CONCATENATE("Buy",$C342),$N$4:$N342)+SUMIF($U$4:$U342,CONCATENATE("ReinvDiv",$C342),$N$4:$N342))</f>
        <v>-1851.7</v>
      </c>
      <c r="AB342" s="3">
        <f>(SUMIF($U$4:$U342,CONCATENATE("Buy",$C342),$F$4:$F342)+SUMIF($U$4:$U342,CONCATENATE("ReinvDiv",$C342),$F$4:$F342)+SUMIF($U$4:$U342,CONCATENATE("StkSplit",$C342),$F$4:$F342)-SUMIF($U$4:$U342,CONCATENATE("Sell",$C342),$F$4:$F342))</f>
        <v>73</v>
      </c>
      <c r="AC342" s="3">
        <f>IF(B342="Sell",F342*INDEX(V:V,LOOKUP(2,1/(X$4:X341=CONCATENATE(C342,"_ACB")),ROW(V$4:V341))),0)</f>
        <v>-527.22013888888898</v>
      </c>
    </row>
    <row r="343" spans="1:29" x14ac:dyDescent="0.25">
      <c r="A343" s="20">
        <v>38749</v>
      </c>
      <c r="B343" t="s">
        <v>32</v>
      </c>
      <c r="C343" t="s">
        <v>80</v>
      </c>
      <c r="D343" s="3">
        <v>2476.87</v>
      </c>
      <c r="E343">
        <v>65.180800000000005</v>
      </c>
      <c r="F343" s="3">
        <v>38</v>
      </c>
      <c r="M343" s="21">
        <f t="shared" si="47"/>
        <v>2476.87</v>
      </c>
      <c r="N343" s="8">
        <f t="shared" si="45"/>
        <v>-2476.87</v>
      </c>
      <c r="O343" s="25">
        <f t="shared" si="48"/>
        <v>12859.830000000002</v>
      </c>
      <c r="P343" s="8">
        <f t="shared" si="49"/>
        <v>0</v>
      </c>
      <c r="Q343" s="4">
        <f>IF(AND(S343&gt;=[1]eRRSP_Rpt!$C$6,S343&lt;=[1]eRRSP_Rpt!$C$7),1,0)</f>
        <v>0</v>
      </c>
      <c r="R343" s="4"/>
      <c r="S343" s="4">
        <f t="shared" si="46"/>
        <v>2006</v>
      </c>
      <c r="T343" s="4"/>
      <c r="U343" s="4" t="str">
        <f t="shared" si="50"/>
        <v>BuyStreettracks Gold Trust</v>
      </c>
      <c r="V343" s="23">
        <f>IFERROR(IF(AND(AB343&gt;0,B343&lt;&gt;"Sell"),(AA343-SUMIF(C$4:C342,C343,AC$4:AC343))/AB343,0),"")</f>
        <v>-65.180789473684214</v>
      </c>
      <c r="W343" s="24" t="str">
        <f t="shared" si="44"/>
        <v/>
      </c>
      <c r="X343" s="25" t="str">
        <f t="shared" si="43"/>
        <v>Streettracks Gold Trust_ACB</v>
      </c>
      <c r="Y343" s="10" t="str">
        <f>IF(S344&lt;&gt;eRRSP_Tx_Table[[#This Row],[Year]],SUMIFS($W$4:$W343,$S$4:$S343,eRRSP_Tx_Table[[#This Row],[Year]],$W$4:$W343,"&gt;0"),"")</f>
        <v/>
      </c>
      <c r="Z343" s="10" t="str">
        <f>IF(S344&lt;&gt;eRRSP_Tx_Table[[#This Row],[Year]],SUMIFS($W$4:$W343,$S$4:$S343,eRRSP_Tx_Table[[#This Row],[Year]],$W$4:$W343,"&lt;0"),"")</f>
        <v/>
      </c>
      <c r="AA343" s="3">
        <f>(SUMIF($U$4:$U343,CONCATENATE("Buy",$C343),$N$4:$N343)+SUMIF($U$4:$U343,CONCATENATE("ReinvDiv",$C343),$N$4:$N343))</f>
        <v>-2476.87</v>
      </c>
      <c r="AB343" s="3">
        <f>(SUMIF($U$4:$U343,CONCATENATE("Buy",$C343),$F$4:$F343)+SUMIF($U$4:$U343,CONCATENATE("ReinvDiv",$C343),$F$4:$F343)+SUMIF($U$4:$U343,CONCATENATE("StkSplit",$C343),$F$4:$F343)-SUMIF($U$4:$U343,CONCATENATE("Sell",$C343),$F$4:$F343))</f>
        <v>38</v>
      </c>
      <c r="AC343" s="3">
        <f>IF(B343="Sell",F343*INDEX(V:V,LOOKUP(2,1/(X$4:X342=CONCATENATE(C343,"_ACB")),ROW(V$4:V342))),0)</f>
        <v>0</v>
      </c>
    </row>
    <row r="344" spans="1:29" x14ac:dyDescent="0.25">
      <c r="A344" s="20">
        <v>38749</v>
      </c>
      <c r="B344" t="s">
        <v>40</v>
      </c>
      <c r="C344" t="s">
        <v>64</v>
      </c>
      <c r="D344" s="3">
        <v>4716.3900000000003</v>
      </c>
      <c r="E344">
        <v>36.709423000000001</v>
      </c>
      <c r="F344" s="3">
        <v>128.47900000000001</v>
      </c>
      <c r="M344" s="21">
        <f t="shared" si="47"/>
        <v>4716.3900000000003</v>
      </c>
      <c r="N344" s="8">
        <f t="shared" si="45"/>
        <v>4716.3900000000003</v>
      </c>
      <c r="O344" s="25">
        <f t="shared" si="48"/>
        <v>17576.22</v>
      </c>
      <c r="P344" s="8">
        <f t="shared" si="49"/>
        <v>0</v>
      </c>
      <c r="Q344" s="4">
        <f>IF(AND(S344&gt;=[1]eRRSP_Rpt!$C$6,S344&lt;=[1]eRRSP_Rpt!$C$7),1,0)</f>
        <v>0</v>
      </c>
      <c r="R344" s="4"/>
      <c r="S344" s="4">
        <f t="shared" si="46"/>
        <v>2006</v>
      </c>
      <c r="T344" s="4"/>
      <c r="U344" s="4" t="str">
        <f t="shared" si="50"/>
        <v>SellE&amp;P Growth Opp</v>
      </c>
      <c r="V344" s="23">
        <f>IFERROR(IF(AND(AB344&gt;0,B344&lt;&gt;"Sell"),(AA344-SUMIF(C$4:C343,C344,AC$4:AC344))/AB344,0),"")</f>
        <v>0</v>
      </c>
      <c r="W344" s="24">
        <f t="shared" si="44"/>
        <v>1891.1900000000005</v>
      </c>
      <c r="X344" s="25" t="str">
        <f t="shared" si="43"/>
        <v/>
      </c>
      <c r="Y344" s="10" t="str">
        <f>IF(S345&lt;&gt;eRRSP_Tx_Table[[#This Row],[Year]],SUMIFS($W$4:$W344,$S$4:$S344,eRRSP_Tx_Table[[#This Row],[Year]],$W$4:$W344,"&gt;0"),"")</f>
        <v/>
      </c>
      <c r="Z344" s="10" t="str">
        <f>IF(S345&lt;&gt;eRRSP_Tx_Table[[#This Row],[Year]],SUMIFS($W$4:$W344,$S$4:$S344,eRRSP_Tx_Table[[#This Row],[Year]],$W$4:$W344,"&lt;0"),"")</f>
        <v/>
      </c>
      <c r="AA344" s="3">
        <f>(SUMIF($U$4:$U344,CONCATENATE("Buy",$C344),$N$4:$N344)+SUMIF($U$4:$U344,CONCATENATE("ReinvDiv",$C344),$N$4:$N344))</f>
        <v>-2825.2</v>
      </c>
      <c r="AB344" s="3">
        <f>(SUMIF($U$4:$U344,CONCATENATE("Buy",$C344),$F$4:$F344)+SUMIF($U$4:$U344,CONCATENATE("ReinvDiv",$C344),$F$4:$F344)+SUMIF($U$4:$U344,CONCATENATE("StkSplit",$C344),$F$4:$F344)-SUMIF($U$4:$U344,CONCATENATE("Sell",$C344),$F$4:$F344))</f>
        <v>0</v>
      </c>
      <c r="AC344" s="3">
        <f>IF(B344="Sell",F344*INDEX(V:V,LOOKUP(2,1/(X$4:X343=CONCATENATE(C344,"_ACB")),ROW(V$4:V343))),0)</f>
        <v>-2825.2</v>
      </c>
    </row>
    <row r="345" spans="1:29" x14ac:dyDescent="0.25">
      <c r="A345" s="20">
        <v>38749</v>
      </c>
      <c r="B345" t="s">
        <v>40</v>
      </c>
      <c r="C345" t="s">
        <v>51</v>
      </c>
      <c r="D345" s="3">
        <v>1600</v>
      </c>
      <c r="E345">
        <v>38.862305999999997</v>
      </c>
      <c r="F345" s="3">
        <v>41.170999999999999</v>
      </c>
      <c r="M345" s="21">
        <f t="shared" si="47"/>
        <v>1600</v>
      </c>
      <c r="N345" s="8">
        <f t="shared" si="45"/>
        <v>1600</v>
      </c>
      <c r="O345" s="25">
        <f t="shared" si="48"/>
        <v>19176.22</v>
      </c>
      <c r="P345" s="8">
        <f t="shared" si="49"/>
        <v>0</v>
      </c>
      <c r="Q345" s="4">
        <f>IF(AND(S345&gt;=[1]eRRSP_Rpt!$C$6,S345&lt;=[1]eRRSP_Rpt!$C$7),1,0)</f>
        <v>0</v>
      </c>
      <c r="R345" s="4"/>
      <c r="S345" s="4">
        <f t="shared" si="46"/>
        <v>2006</v>
      </c>
      <c r="T345" s="4"/>
      <c r="U345" s="4" t="str">
        <f t="shared" si="50"/>
        <v>SellCIBC Energy Fund</v>
      </c>
      <c r="V345" s="23">
        <f>IFERROR(IF(AND(AB345&gt;0,B345&lt;&gt;"Sell"),(AA345-SUMIF(C$4:C344,C345,AC$4:AC345))/AB345,0),"")</f>
        <v>0</v>
      </c>
      <c r="W345" s="24">
        <f t="shared" si="44"/>
        <v>987.84036953698853</v>
      </c>
      <c r="X345" s="25" t="str">
        <f t="shared" si="43"/>
        <v/>
      </c>
      <c r="Y345" s="10" t="str">
        <f>IF(S346&lt;&gt;eRRSP_Tx_Table[[#This Row],[Year]],SUMIFS($W$4:$W345,$S$4:$S345,eRRSP_Tx_Table[[#This Row],[Year]],$W$4:$W345,"&gt;0"),"")</f>
        <v/>
      </c>
      <c r="Z345" s="10" t="str">
        <f>IF(S346&lt;&gt;eRRSP_Tx_Table[[#This Row],[Year]],SUMIFS($W$4:$W345,$S$4:$S345,eRRSP_Tx_Table[[#This Row],[Year]],$W$4:$W345,"&lt;0"),"")</f>
        <v/>
      </c>
      <c r="AA345" s="3">
        <f>(SUMIF($U$4:$U345,CONCATENATE("Buy",$C345),$N$4:$N345)+SUMIF($U$4:$U345,CONCATENATE("ReinvDiv",$C345),$N$4:$N345))</f>
        <v>-1500</v>
      </c>
      <c r="AB345" s="3">
        <f>(SUMIF($U$4:$U345,CONCATENATE("Buy",$C345),$F$4:$F345)+SUMIF($U$4:$U345,CONCATENATE("ReinvDiv",$C345),$F$4:$F345)+SUMIF($U$4:$U345,CONCATENATE("StkSplit",$C345),$F$4:$F345)-SUMIF($U$4:$U345,CONCATENATE("Sell",$C345),$F$4:$F345))</f>
        <v>42.162999999999997</v>
      </c>
      <c r="AC345" s="3">
        <f>IF(B345="Sell",F345*INDEX(V:V,LOOKUP(2,1/(X$4:X344=CONCATENATE(C345,"_ACB")),ROW(V$4:V344))),0)</f>
        <v>-612.15963046301147</v>
      </c>
    </row>
    <row r="346" spans="1:29" x14ac:dyDescent="0.25">
      <c r="A346" s="20">
        <v>38749</v>
      </c>
      <c r="B346" t="s">
        <v>40</v>
      </c>
      <c r="C346" t="s">
        <v>77</v>
      </c>
      <c r="D346" s="3">
        <v>2116.7399999999998</v>
      </c>
      <c r="E346">
        <v>6.8595930000000003</v>
      </c>
      <c r="F346" s="3">
        <v>308.58100000000002</v>
      </c>
      <c r="M346" s="21">
        <f t="shared" si="47"/>
        <v>2116.7399999999998</v>
      </c>
      <c r="N346" s="8">
        <f t="shared" si="45"/>
        <v>2116.7399999999998</v>
      </c>
      <c r="O346" s="25">
        <f t="shared" si="48"/>
        <v>21292.959999999999</v>
      </c>
      <c r="P346" s="8">
        <f t="shared" si="49"/>
        <v>0</v>
      </c>
      <c r="Q346" s="4">
        <f>IF(AND(S346&gt;=[1]eRRSP_Rpt!$C$6,S346&lt;=[1]eRRSP_Rpt!$C$7),1,0)</f>
        <v>0</v>
      </c>
      <c r="R346" s="4"/>
      <c r="S346" s="4">
        <f t="shared" si="46"/>
        <v>2006</v>
      </c>
      <c r="T346" s="4"/>
      <c r="U346" s="4" t="str">
        <f t="shared" si="50"/>
        <v>SellMutual Beacon</v>
      </c>
      <c r="V346" s="23">
        <f>IFERROR(IF(AND(AB346&gt;0,B346&lt;&gt;"Sell"),(AA346-SUMIF(C$4:C345,C346,AC$4:AC346))/AB346,0),"")</f>
        <v>0</v>
      </c>
      <c r="W346" s="24">
        <f t="shared" si="44"/>
        <v>15.489999999999782</v>
      </c>
      <c r="X346" s="25" t="str">
        <f t="shared" si="43"/>
        <v/>
      </c>
      <c r="Y346" s="10" t="str">
        <f>IF(S347&lt;&gt;eRRSP_Tx_Table[[#This Row],[Year]],SUMIFS($W$4:$W346,$S$4:$S346,eRRSP_Tx_Table[[#This Row],[Year]],$W$4:$W346,"&gt;0"),"")</f>
        <v/>
      </c>
      <c r="Z346" s="10" t="str">
        <f>IF(S347&lt;&gt;eRRSP_Tx_Table[[#This Row],[Year]],SUMIFS($W$4:$W346,$S$4:$S346,eRRSP_Tx_Table[[#This Row],[Year]],$W$4:$W346,"&lt;0"),"")</f>
        <v/>
      </c>
      <c r="AA346" s="3">
        <f>(SUMIF($U$4:$U346,CONCATENATE("Buy",$C346),$N$4:$N346)+SUMIF($U$4:$U346,CONCATENATE("ReinvDiv",$C346),$N$4:$N346))</f>
        <v>-2101.25</v>
      </c>
      <c r="AB346" s="3">
        <f>(SUMIF($U$4:$U346,CONCATENATE("Buy",$C346),$F$4:$F346)+SUMIF($U$4:$U346,CONCATENATE("ReinvDiv",$C346),$F$4:$F346)+SUMIF($U$4:$U346,CONCATENATE("StkSplit",$C346),$F$4:$F346)-SUMIF($U$4:$U346,CONCATENATE("Sell",$C346),$F$4:$F346))</f>
        <v>0</v>
      </c>
      <c r="AC346" s="3">
        <f>IF(B346="Sell",F346*INDEX(V:V,LOOKUP(2,1/(X$4:X345=CONCATENATE(C346,"_ACB")),ROW(V$4:V345))),0)</f>
        <v>-2101.25</v>
      </c>
    </row>
    <row r="347" spans="1:29" x14ac:dyDescent="0.25">
      <c r="A347" s="20">
        <v>38749</v>
      </c>
      <c r="B347" t="s">
        <v>40</v>
      </c>
      <c r="C347" t="s">
        <v>57</v>
      </c>
      <c r="D347" s="3">
        <v>1492.64</v>
      </c>
      <c r="E347">
        <v>23.733000000000001</v>
      </c>
      <c r="F347" s="3">
        <v>62.893000000000001</v>
      </c>
      <c r="M347" s="21">
        <f t="shared" si="47"/>
        <v>1492.64</v>
      </c>
      <c r="N347" s="8">
        <f t="shared" si="45"/>
        <v>1492.64</v>
      </c>
      <c r="O347" s="25">
        <f t="shared" si="48"/>
        <v>22785.599999999999</v>
      </c>
      <c r="P347" s="8">
        <f t="shared" si="49"/>
        <v>0</v>
      </c>
      <c r="Q347" s="4">
        <f>IF(AND(S347&gt;=[1]eRRSP_Rpt!$C$6,S347&lt;=[1]eRRSP_Rpt!$C$7),1,0)</f>
        <v>0</v>
      </c>
      <c r="R347" s="4"/>
      <c r="S347" s="4">
        <f t="shared" si="46"/>
        <v>2006</v>
      </c>
      <c r="T347" s="4"/>
      <c r="U347" s="4" t="str">
        <f t="shared" si="50"/>
        <v>SellFidelity Americas SmallCap</v>
      </c>
      <c r="V347" s="23">
        <f>IFERROR(IF(AND(AB347&gt;0,B347&lt;&gt;"Sell"),(AA347-SUMIF(C$4:C346,C347,AC$4:AC347))/AB347,0),"")</f>
        <v>0</v>
      </c>
      <c r="W347" s="24">
        <f t="shared" si="44"/>
        <v>-7.3599999999999</v>
      </c>
      <c r="X347" s="25" t="str">
        <f t="shared" si="43"/>
        <v/>
      </c>
      <c r="Y347" s="10" t="str">
        <f>IF(S348&lt;&gt;eRRSP_Tx_Table[[#This Row],[Year]],SUMIFS($W$4:$W347,$S$4:$S347,eRRSP_Tx_Table[[#This Row],[Year]],$W$4:$W347,"&gt;0"),"")</f>
        <v/>
      </c>
      <c r="Z347" s="10" t="str">
        <f>IF(S348&lt;&gt;eRRSP_Tx_Table[[#This Row],[Year]],SUMIFS($W$4:$W347,$S$4:$S347,eRRSP_Tx_Table[[#This Row],[Year]],$W$4:$W347,"&lt;0"),"")</f>
        <v/>
      </c>
      <c r="AA347" s="3">
        <f>(SUMIF($U$4:$U347,CONCATENATE("Buy",$C347),$N$4:$N347)+SUMIF($U$4:$U347,CONCATENATE("ReinvDiv",$C347),$N$4:$N347))</f>
        <v>-1500</v>
      </c>
      <c r="AB347" s="3">
        <f>(SUMIF($U$4:$U347,CONCATENATE("Buy",$C347),$F$4:$F347)+SUMIF($U$4:$U347,CONCATENATE("ReinvDiv",$C347),$F$4:$F347)+SUMIF($U$4:$U347,CONCATENATE("StkSplit",$C347),$F$4:$F347)-SUMIF($U$4:$U347,CONCATENATE("Sell",$C347),$F$4:$F347))</f>
        <v>0</v>
      </c>
      <c r="AC347" s="3">
        <f>IF(B347="Sell",F347*INDEX(V:V,LOOKUP(2,1/(X$4:X346=CONCATENATE(C347,"_ACB")),ROW(V$4:V346))),0)</f>
        <v>-1500</v>
      </c>
    </row>
    <row r="348" spans="1:29" x14ac:dyDescent="0.25">
      <c r="A348" s="20">
        <v>38749</v>
      </c>
      <c r="B348" t="s">
        <v>40</v>
      </c>
      <c r="C348" t="s">
        <v>58</v>
      </c>
      <c r="D348" s="3">
        <v>799.03</v>
      </c>
      <c r="E348">
        <v>7.969659</v>
      </c>
      <c r="F348" s="3">
        <v>100.259</v>
      </c>
      <c r="M348" s="21">
        <f t="shared" si="47"/>
        <v>799.03</v>
      </c>
      <c r="N348" s="8">
        <f t="shared" si="45"/>
        <v>799.03</v>
      </c>
      <c r="O348" s="25">
        <f t="shared" si="48"/>
        <v>23584.629999999997</v>
      </c>
      <c r="P348" s="8">
        <f t="shared" si="49"/>
        <v>0</v>
      </c>
      <c r="Q348" s="4">
        <f>IF(AND(S348&gt;=[1]eRRSP_Rpt!$C$6,S348&lt;=[1]eRRSP_Rpt!$C$7),1,0)</f>
        <v>0</v>
      </c>
      <c r="R348" s="4"/>
      <c r="S348" s="4">
        <f t="shared" si="46"/>
        <v>2006</v>
      </c>
      <c r="T348" s="4"/>
      <c r="U348" s="4" t="str">
        <f t="shared" si="50"/>
        <v>SellTD DJIA Index</v>
      </c>
      <c r="V348" s="23">
        <f>IFERROR(IF(AND(AB348&gt;0,B348&lt;&gt;"Sell"),(AA348-SUMIF(C$4:C347,C348,AC$4:AC348))/AB348,0),"")</f>
        <v>0</v>
      </c>
      <c r="W348" s="24">
        <f t="shared" si="44"/>
        <v>-313.51438681362538</v>
      </c>
      <c r="X348" s="25" t="str">
        <f t="shared" si="43"/>
        <v/>
      </c>
      <c r="Y348" s="10" t="str">
        <f>IF(S349&lt;&gt;eRRSP_Tx_Table[[#This Row],[Year]],SUMIFS($W$4:$W348,$S$4:$S348,eRRSP_Tx_Table[[#This Row],[Year]],$W$4:$W348,"&gt;0"),"")</f>
        <v/>
      </c>
      <c r="Z348" s="10" t="str">
        <f>IF(S349&lt;&gt;eRRSP_Tx_Table[[#This Row],[Year]],SUMIFS($W$4:$W348,$S$4:$S348,eRRSP_Tx_Table[[#This Row],[Year]],$W$4:$W348,"&lt;0"),"")</f>
        <v/>
      </c>
      <c r="AA348" s="3">
        <f>(SUMIF($U$4:$U348,CONCATENATE("Buy",$C348),$N$4:$N348)+SUMIF($U$4:$U348,CONCATENATE("ReinvDiv",$C348),$N$4:$N348))</f>
        <v>-1112.5</v>
      </c>
      <c r="AB348" s="3">
        <f>(SUMIF($U$4:$U348,CONCATENATE("Buy",$C348),$F$4:$F348)+SUMIF($U$4:$U348,CONCATENATE("ReinvDiv",$C348),$F$4:$F348)+SUMIF($U$4:$U348,CONCATENATE("StkSplit",$C348),$F$4:$F348)-SUMIF($U$4:$U348,CONCATENATE("Sell",$C348),$F$4:$F348))</f>
        <v>-4.0000000000048885E-3</v>
      </c>
      <c r="AC348" s="3">
        <f>IF(B348="Sell",F348*INDEX(V:V,LOOKUP(2,1/(X$4:X347=CONCATENATE(C348,"_ACB")),ROW(V$4:V347))),0)</f>
        <v>-1112.5443868136254</v>
      </c>
    </row>
    <row r="349" spans="1:29" x14ac:dyDescent="0.25">
      <c r="A349" s="20">
        <v>38749</v>
      </c>
      <c r="B349" t="s">
        <v>40</v>
      </c>
      <c r="C349" t="s">
        <v>55</v>
      </c>
      <c r="D349" s="3">
        <v>2524.83</v>
      </c>
      <c r="E349">
        <v>19.329999999999998</v>
      </c>
      <c r="F349" s="3">
        <v>130.61699999999999</v>
      </c>
      <c r="M349" s="21">
        <f t="shared" si="47"/>
        <v>2524.83</v>
      </c>
      <c r="N349" s="8">
        <f t="shared" si="45"/>
        <v>2524.83</v>
      </c>
      <c r="O349" s="25">
        <f t="shared" si="48"/>
        <v>26109.46</v>
      </c>
      <c r="P349" s="8">
        <f t="shared" si="49"/>
        <v>0</v>
      </c>
      <c r="Q349" s="4">
        <f>IF(AND(S349&gt;=[1]eRRSP_Rpt!$C$6,S349&lt;=[1]eRRSP_Rpt!$C$7),1,0)</f>
        <v>0</v>
      </c>
      <c r="R349" s="4"/>
      <c r="S349" s="4">
        <f t="shared" si="46"/>
        <v>2006</v>
      </c>
      <c r="T349" s="4"/>
      <c r="U349" s="4" t="str">
        <f t="shared" si="50"/>
        <v>SellAGF Aggr Growth</v>
      </c>
      <c r="V349" s="23">
        <f>IFERROR(IF(AND(AB349&gt;0,B349&lt;&gt;"Sell"),(AA349-SUMIF(C$4:C348,C349,AC$4:AC349))/AB349,0),"")</f>
        <v>0</v>
      </c>
      <c r="W349" s="24">
        <f t="shared" si="44"/>
        <v>24.829999999999927</v>
      </c>
      <c r="X349" s="25" t="str">
        <f t="shared" si="43"/>
        <v/>
      </c>
      <c r="Y349" s="10" t="str">
        <f>IF(S350&lt;&gt;eRRSP_Tx_Table[[#This Row],[Year]],SUMIFS($W$4:$W349,$S$4:$S349,eRRSP_Tx_Table[[#This Row],[Year]],$W$4:$W349,"&gt;0"),"")</f>
        <v/>
      </c>
      <c r="Z349" s="10" t="str">
        <f>IF(S350&lt;&gt;eRRSP_Tx_Table[[#This Row],[Year]],SUMIFS($W$4:$W349,$S$4:$S349,eRRSP_Tx_Table[[#This Row],[Year]],$W$4:$W349,"&lt;0"),"")</f>
        <v/>
      </c>
      <c r="AA349" s="3">
        <f>(SUMIF($U$4:$U349,CONCATENATE("Buy",$C349),$N$4:$N349)+SUMIF($U$4:$U349,CONCATENATE("ReinvDiv",$C349),$N$4:$N349))</f>
        <v>-2500</v>
      </c>
      <c r="AB349" s="3">
        <f>(SUMIF($U$4:$U349,CONCATENATE("Buy",$C349),$F$4:$F349)+SUMIF($U$4:$U349,CONCATENATE("ReinvDiv",$C349),$F$4:$F349)+SUMIF($U$4:$U349,CONCATENATE("StkSplit",$C349),$F$4:$F349)-SUMIF($U$4:$U349,CONCATENATE("Sell",$C349),$F$4:$F349))</f>
        <v>0</v>
      </c>
      <c r="AC349" s="3">
        <f>IF(B349="Sell",F349*INDEX(V:V,LOOKUP(2,1/(X$4:X348=CONCATENATE(C349,"_ACB")),ROW(V$4:V348))),0)</f>
        <v>-2500</v>
      </c>
    </row>
    <row r="350" spans="1:29" x14ac:dyDescent="0.25">
      <c r="A350" s="20">
        <v>38755</v>
      </c>
      <c r="B350" t="s">
        <v>32</v>
      </c>
      <c r="C350" t="s">
        <v>81</v>
      </c>
      <c r="D350" s="3">
        <v>4639.93</v>
      </c>
      <c r="E350">
        <v>15.884551999999999</v>
      </c>
      <c r="F350" s="3">
        <v>290</v>
      </c>
      <c r="G350">
        <v>33.409999999999997</v>
      </c>
      <c r="M350" s="21">
        <f t="shared" si="47"/>
        <v>4606.5200000000004</v>
      </c>
      <c r="N350" s="8">
        <f t="shared" si="45"/>
        <v>-4639.93</v>
      </c>
      <c r="O350" s="25">
        <f t="shared" si="48"/>
        <v>21469.53</v>
      </c>
      <c r="P350" s="8">
        <f t="shared" si="49"/>
        <v>0</v>
      </c>
      <c r="Q350" s="4">
        <f>IF(AND(S350&gt;=[1]eRRSP_Rpt!$C$6,S350&lt;=[1]eRRSP_Rpt!$C$7),1,0)</f>
        <v>0</v>
      </c>
      <c r="R350" s="4"/>
      <c r="S350" s="4">
        <f t="shared" si="46"/>
        <v>2006</v>
      </c>
      <c r="T350" s="4"/>
      <c r="U350" s="4" t="str">
        <f t="shared" si="50"/>
        <v>BuyiShares MSCI Japan (US$)</v>
      </c>
      <c r="V350" s="23">
        <f>IFERROR(IF(AND(AB350&gt;0,B350&lt;&gt;"Sell"),(AA350-SUMIF(C$4:C349,C350,AC$4:AC350))/AB350,0),"")</f>
        <v>-15.999758620689656</v>
      </c>
      <c r="W350" s="24" t="str">
        <f t="shared" si="44"/>
        <v/>
      </c>
      <c r="X350" s="25" t="str">
        <f t="shared" si="43"/>
        <v>iShares MSCI Japan (US$)_ACB</v>
      </c>
      <c r="Y350" s="10" t="str">
        <f>IF(S351&lt;&gt;eRRSP_Tx_Table[[#This Row],[Year]],SUMIFS($W$4:$W350,$S$4:$S350,eRRSP_Tx_Table[[#This Row],[Year]],$W$4:$W350,"&gt;0"),"")</f>
        <v/>
      </c>
      <c r="Z350" s="10" t="str">
        <f>IF(S351&lt;&gt;eRRSP_Tx_Table[[#This Row],[Year]],SUMIFS($W$4:$W350,$S$4:$S350,eRRSP_Tx_Table[[#This Row],[Year]],$W$4:$W350,"&lt;0"),"")</f>
        <v/>
      </c>
      <c r="AA350" s="3">
        <f>(SUMIF($U$4:$U350,CONCATENATE("Buy",$C350),$N$4:$N350)+SUMIF($U$4:$U350,CONCATENATE("ReinvDiv",$C350),$N$4:$N350))</f>
        <v>-4639.93</v>
      </c>
      <c r="AB350" s="3">
        <f>(SUMIF($U$4:$U350,CONCATENATE("Buy",$C350),$F$4:$F350)+SUMIF($U$4:$U350,CONCATENATE("ReinvDiv",$C350),$F$4:$F350)+SUMIF($U$4:$U350,CONCATENATE("StkSplit",$C350),$F$4:$F350)-SUMIF($U$4:$U350,CONCATENATE("Sell",$C350),$F$4:$F350))</f>
        <v>290</v>
      </c>
      <c r="AC350" s="3">
        <f>IF(B350="Sell",F350*INDEX(V:V,LOOKUP(2,1/(X$4:X349=CONCATENATE(C350,"_ACB")),ROW(V$4:V349))),0)</f>
        <v>0</v>
      </c>
    </row>
    <row r="351" spans="1:29" x14ac:dyDescent="0.25">
      <c r="A351" s="20">
        <v>38755</v>
      </c>
      <c r="B351" t="s">
        <v>32</v>
      </c>
      <c r="C351" t="s">
        <v>82</v>
      </c>
      <c r="D351" s="3">
        <v>6982.7</v>
      </c>
      <c r="E351">
        <v>161.6114</v>
      </c>
      <c r="F351" s="3">
        <v>43</v>
      </c>
      <c r="G351">
        <v>33.409999999999997</v>
      </c>
      <c r="M351" s="21">
        <f t="shared" si="47"/>
        <v>6949.29</v>
      </c>
      <c r="N351" s="8">
        <f t="shared" si="45"/>
        <v>-6982.7</v>
      </c>
      <c r="O351" s="25">
        <f t="shared" si="48"/>
        <v>14486.829999999998</v>
      </c>
      <c r="P351" s="8">
        <f t="shared" si="49"/>
        <v>0</v>
      </c>
      <c r="Q351" s="4">
        <f>IF(AND(S351&gt;=[1]eRRSP_Rpt!$C$6,S351&lt;=[1]eRRSP_Rpt!$C$7),1,0)</f>
        <v>0</v>
      </c>
      <c r="R351" s="4"/>
      <c r="S351" s="4">
        <f t="shared" si="46"/>
        <v>2006</v>
      </c>
      <c r="T351" s="4"/>
      <c r="U351" s="4" t="str">
        <f t="shared" si="50"/>
        <v>BuyiShares S&amp;P Latin America (US$)</v>
      </c>
      <c r="V351" s="23">
        <f>IFERROR(IF(AND(AB351&gt;0,B351&lt;&gt;"Sell"),(AA351-SUMIF(C$4:C350,C351,AC$4:AC351))/AB351,0),"")</f>
        <v>-162.38837209302326</v>
      </c>
      <c r="W351" s="24" t="str">
        <f t="shared" si="44"/>
        <v/>
      </c>
      <c r="X351" s="25" t="str">
        <f t="shared" si="43"/>
        <v>iShares S&amp;P Latin America (US$)_ACB</v>
      </c>
      <c r="Y351" s="10" t="str">
        <f>IF(S352&lt;&gt;eRRSP_Tx_Table[[#This Row],[Year]],SUMIFS($W$4:$W351,$S$4:$S351,eRRSP_Tx_Table[[#This Row],[Year]],$W$4:$W351,"&gt;0"),"")</f>
        <v/>
      </c>
      <c r="Z351" s="10" t="str">
        <f>IF(S352&lt;&gt;eRRSP_Tx_Table[[#This Row],[Year]],SUMIFS($W$4:$W351,$S$4:$S351,eRRSP_Tx_Table[[#This Row],[Year]],$W$4:$W351,"&lt;0"),"")</f>
        <v/>
      </c>
      <c r="AA351" s="3">
        <f>(SUMIF($U$4:$U351,CONCATENATE("Buy",$C351),$N$4:$N351)+SUMIF($U$4:$U351,CONCATENATE("ReinvDiv",$C351),$N$4:$N351))</f>
        <v>-6982.7</v>
      </c>
      <c r="AB351" s="3">
        <f>(SUMIF($U$4:$U351,CONCATENATE("Buy",$C351),$F$4:$F351)+SUMIF($U$4:$U351,CONCATENATE("ReinvDiv",$C351),$F$4:$F351)+SUMIF($U$4:$U351,CONCATENATE("StkSplit",$C351),$F$4:$F351)-SUMIF($U$4:$U351,CONCATENATE("Sell",$C351),$F$4:$F351))</f>
        <v>43</v>
      </c>
      <c r="AC351" s="3">
        <f>IF(B351="Sell",F351*INDEX(V:V,LOOKUP(2,1/(X$4:X350=CONCATENATE(C351,"_ACB")),ROW(V$4:V350))),0)</f>
        <v>0</v>
      </c>
    </row>
    <row r="352" spans="1:29" x14ac:dyDescent="0.25">
      <c r="A352" s="20">
        <v>38755</v>
      </c>
      <c r="B352" t="s">
        <v>32</v>
      </c>
      <c r="C352" t="s">
        <v>83</v>
      </c>
      <c r="D352" s="3">
        <v>6936.74</v>
      </c>
      <c r="E352">
        <v>132.75630000000001</v>
      </c>
      <c r="F352" s="3">
        <v>52</v>
      </c>
      <c r="G352">
        <v>33.409999999999997</v>
      </c>
      <c r="M352" s="21">
        <f t="shared" si="47"/>
        <v>6903.33</v>
      </c>
      <c r="N352" s="8">
        <f t="shared" si="45"/>
        <v>-6936.74</v>
      </c>
      <c r="O352" s="25">
        <f t="shared" si="48"/>
        <v>7550.0899999999983</v>
      </c>
      <c r="P352" s="8">
        <f t="shared" si="49"/>
        <v>0</v>
      </c>
      <c r="Q352" s="4">
        <f>IF(AND(S352&gt;=[1]eRRSP_Rpt!$C$6,S352&lt;=[1]eRRSP_Rpt!$C$7),1,0)</f>
        <v>0</v>
      </c>
      <c r="R352" s="4"/>
      <c r="S352" s="4">
        <f t="shared" si="46"/>
        <v>2006</v>
      </c>
      <c r="T352" s="4"/>
      <c r="U352" s="4" t="str">
        <f t="shared" si="50"/>
        <v>BuyiShares MSCI South Africa (US$)</v>
      </c>
      <c r="V352" s="23">
        <f>IFERROR(IF(AND(AB352&gt;0,B352&lt;&gt;"Sell"),(AA352-SUMIF(C$4:C351,C352,AC$4:AC352))/AB352,0),"")</f>
        <v>-133.39884615384614</v>
      </c>
      <c r="W352" s="24" t="str">
        <f t="shared" si="44"/>
        <v/>
      </c>
      <c r="X352" s="25" t="str">
        <f t="shared" si="43"/>
        <v>iShares MSCI South Africa (US$)_ACB</v>
      </c>
      <c r="Y352" s="10" t="str">
        <f>IF(S353&lt;&gt;eRRSP_Tx_Table[[#This Row],[Year]],SUMIFS($W$4:$W352,$S$4:$S352,eRRSP_Tx_Table[[#This Row],[Year]],$W$4:$W352,"&gt;0"),"")</f>
        <v/>
      </c>
      <c r="Z352" s="10" t="str">
        <f>IF(S353&lt;&gt;eRRSP_Tx_Table[[#This Row],[Year]],SUMIFS($W$4:$W352,$S$4:$S352,eRRSP_Tx_Table[[#This Row],[Year]],$W$4:$W352,"&lt;0"),"")</f>
        <v/>
      </c>
      <c r="AA352" s="3">
        <f>(SUMIF($U$4:$U352,CONCATENATE("Buy",$C352),$N$4:$N352)+SUMIF($U$4:$U352,CONCATENATE("ReinvDiv",$C352),$N$4:$N352))</f>
        <v>-6936.74</v>
      </c>
      <c r="AB352" s="3">
        <f>(SUMIF($U$4:$U352,CONCATENATE("Buy",$C352),$F$4:$F352)+SUMIF($U$4:$U352,CONCATENATE("ReinvDiv",$C352),$F$4:$F352)+SUMIF($U$4:$U352,CONCATENATE("StkSplit",$C352),$F$4:$F352)-SUMIF($U$4:$U352,CONCATENATE("Sell",$C352),$F$4:$F352))</f>
        <v>52</v>
      </c>
      <c r="AC352" s="3">
        <f>IF(B352="Sell",F352*INDEX(V:V,LOOKUP(2,1/(X$4:X351=CONCATENATE(C352,"_ACB")),ROW(V$4:V351))),0)</f>
        <v>0</v>
      </c>
    </row>
    <row r="353" spans="1:29" x14ac:dyDescent="0.25">
      <c r="A353" s="20">
        <v>38761</v>
      </c>
      <c r="B353" t="s">
        <v>32</v>
      </c>
      <c r="C353" t="s">
        <v>84</v>
      </c>
      <c r="D353" s="3">
        <v>2465.9499999999998</v>
      </c>
      <c r="E353">
        <v>97.292400000000001</v>
      </c>
      <c r="F353" s="3">
        <v>25</v>
      </c>
      <c r="G353">
        <v>33.64</v>
      </c>
      <c r="M353" s="21">
        <f t="shared" si="47"/>
        <v>2432.31</v>
      </c>
      <c r="N353" s="8">
        <f t="shared" si="45"/>
        <v>-2465.9499999999998</v>
      </c>
      <c r="O353" s="25">
        <f t="shared" si="48"/>
        <v>5084.1399999999985</v>
      </c>
      <c r="P353" s="8">
        <f t="shared" si="49"/>
        <v>0</v>
      </c>
      <c r="Q353" s="4">
        <f>IF(AND(S353&gt;=[1]eRRSP_Rpt!$C$6,S353&lt;=[1]eRRSP_Rpt!$C$7),1,0)</f>
        <v>0</v>
      </c>
      <c r="R353" s="4"/>
      <c r="S353" s="4">
        <f t="shared" si="46"/>
        <v>2006</v>
      </c>
      <c r="T353" s="4"/>
      <c r="U353" s="4" t="str">
        <f t="shared" si="50"/>
        <v>BuyiShares S&amp;P Europe 350 (US$)</v>
      </c>
      <c r="V353" s="23">
        <f>IFERROR(IF(AND(AB353&gt;0,B353&lt;&gt;"Sell"),(AA353-SUMIF(C$4:C352,C353,AC$4:AC353))/AB353,0),"")</f>
        <v>-98.637999999999991</v>
      </c>
      <c r="W353" s="24" t="str">
        <f t="shared" si="44"/>
        <v/>
      </c>
      <c r="X353" s="25" t="str">
        <f t="shared" si="43"/>
        <v>iShares S&amp;P Europe 350 (US$)_ACB</v>
      </c>
      <c r="Y353" s="10" t="str">
        <f>IF(S354&lt;&gt;eRRSP_Tx_Table[[#This Row],[Year]],SUMIFS($W$4:$W353,$S$4:$S353,eRRSP_Tx_Table[[#This Row],[Year]],$W$4:$W353,"&gt;0"),"")</f>
        <v/>
      </c>
      <c r="Z353" s="10" t="str">
        <f>IF(S354&lt;&gt;eRRSP_Tx_Table[[#This Row],[Year]],SUMIFS($W$4:$W353,$S$4:$S353,eRRSP_Tx_Table[[#This Row],[Year]],$W$4:$W353,"&lt;0"),"")</f>
        <v/>
      </c>
      <c r="AA353" s="3">
        <f>(SUMIF($U$4:$U353,CONCATENATE("Buy",$C353),$N$4:$N353)+SUMIF($U$4:$U353,CONCATENATE("ReinvDiv",$C353),$N$4:$N353))</f>
        <v>-2465.9499999999998</v>
      </c>
      <c r="AB353" s="3">
        <f>(SUMIF($U$4:$U353,CONCATENATE("Buy",$C353),$F$4:$F353)+SUMIF($U$4:$U353,CONCATENATE("ReinvDiv",$C353),$F$4:$F353)+SUMIF($U$4:$U353,CONCATENATE("StkSplit",$C353),$F$4:$F353)-SUMIF($U$4:$U353,CONCATENATE("Sell",$C353),$F$4:$F353))</f>
        <v>25</v>
      </c>
      <c r="AC353" s="3">
        <f>IF(B353="Sell",F353*INDEX(V:V,LOOKUP(2,1/(X$4:X352=CONCATENATE(C353,"_ACB")),ROW(V$4:V352))),0)</f>
        <v>0</v>
      </c>
    </row>
    <row r="354" spans="1:29" x14ac:dyDescent="0.25">
      <c r="A354" s="20">
        <v>38763</v>
      </c>
      <c r="B354" t="s">
        <v>41</v>
      </c>
      <c r="C354" t="s">
        <v>39</v>
      </c>
      <c r="D354" s="3">
        <v>2.5</v>
      </c>
      <c r="E354">
        <v>10.87</v>
      </c>
      <c r="F354" s="3">
        <v>0.23</v>
      </c>
      <c r="M354" s="21">
        <f t="shared" si="47"/>
        <v>2.5</v>
      </c>
      <c r="N354" s="8">
        <f t="shared" si="45"/>
        <v>-2.5</v>
      </c>
      <c r="O354" s="25">
        <f t="shared" si="48"/>
        <v>5084.1399999999985</v>
      </c>
      <c r="P354" s="8">
        <f t="shared" si="49"/>
        <v>0</v>
      </c>
      <c r="Q354" s="4">
        <f>IF(AND(S354&gt;=[1]eRRSP_Rpt!$C$6,S354&lt;=[1]eRRSP_Rpt!$C$7),1,0)</f>
        <v>0</v>
      </c>
      <c r="R354" s="4"/>
      <c r="S354" s="4">
        <f t="shared" si="46"/>
        <v>2006</v>
      </c>
      <c r="T354" s="4"/>
      <c r="U354" s="4" t="str">
        <f t="shared" si="50"/>
        <v>ReinvDivTrimark Income Growth</v>
      </c>
      <c r="V354" s="23">
        <f>IFERROR(IF(AND(AB354&gt;0,B354&lt;&gt;"Sell"),(AA354-SUMIF(C$4:C353,C354,AC$4:AC354))/AB354,0),"")</f>
        <v>-8.0776846623572407</v>
      </c>
      <c r="W354" s="24" t="str">
        <f t="shared" si="44"/>
        <v/>
      </c>
      <c r="X354" s="25" t="str">
        <f t="shared" si="43"/>
        <v>Trimark Income Growth_ACB</v>
      </c>
      <c r="Y354" s="10" t="str">
        <f>IF(S355&lt;&gt;eRRSP_Tx_Table[[#This Row],[Year]],SUMIFS($W$4:$W354,$S$4:$S354,eRRSP_Tx_Table[[#This Row],[Year]],$W$4:$W354,"&gt;0"),"")</f>
        <v/>
      </c>
      <c r="Z354" s="10" t="str">
        <f>IF(S355&lt;&gt;eRRSP_Tx_Table[[#This Row],[Year]],SUMIFS($W$4:$W354,$S$4:$S354,eRRSP_Tx_Table[[#This Row],[Year]],$W$4:$W354,"&lt;0"),"")</f>
        <v/>
      </c>
      <c r="AA354" s="3">
        <f>(SUMIF($U$4:$U354,CONCATENATE("Buy",$C354),$N$4:$N354)+SUMIF($U$4:$U354,CONCATENATE("ReinvDiv",$C354),$N$4:$N354))</f>
        <v>-2529.2199999999998</v>
      </c>
      <c r="AB354" s="3">
        <f>(SUMIF($U$4:$U354,CONCATENATE("Buy",$C354),$F$4:$F354)+SUMIF($U$4:$U354,CONCATENATE("ReinvDiv",$C354),$F$4:$F354)+SUMIF($U$4:$U354,CONCATENATE("StkSplit",$C354),$F$4:$F354)-SUMIF($U$4:$U354,CONCATENATE("Sell",$C354),$F$4:$F354))</f>
        <v>313.11199999999997</v>
      </c>
      <c r="AC354" s="3">
        <f>IF(B354="Sell",F354*INDEX(V:V,LOOKUP(2,1/(X$4:X353=CONCATENATE(C354,"_ACB")),ROW(V$4:V353))),0)</f>
        <v>0</v>
      </c>
    </row>
    <row r="355" spans="1:29" x14ac:dyDescent="0.25">
      <c r="A355" s="20">
        <v>38764</v>
      </c>
      <c r="B355" t="s">
        <v>43</v>
      </c>
      <c r="C355" t="s">
        <v>36</v>
      </c>
      <c r="D355" s="3">
        <v>14.8</v>
      </c>
      <c r="M355" s="21">
        <f t="shared" si="47"/>
        <v>14.8</v>
      </c>
      <c r="N355" s="8">
        <f t="shared" si="45"/>
        <v>14.8</v>
      </c>
      <c r="O355" s="25">
        <f t="shared" si="48"/>
        <v>5098.9399999999987</v>
      </c>
      <c r="P355" s="8">
        <f t="shared" si="49"/>
        <v>0</v>
      </c>
      <c r="Q355" s="4">
        <f>IF(AND(S355&gt;=[1]eRRSP_Rpt!$C$6,S355&lt;=[1]eRRSP_Rpt!$C$7),1,0)</f>
        <v>0</v>
      </c>
      <c r="R355" s="4"/>
      <c r="S355" s="4">
        <f t="shared" si="46"/>
        <v>2006</v>
      </c>
      <c r="T355" s="4"/>
      <c r="U355" s="4" t="str">
        <f t="shared" si="50"/>
        <v>IntIncTDW</v>
      </c>
      <c r="V355" s="23">
        <f>IFERROR(IF(AND(AB355&gt;0,B355&lt;&gt;"Sell"),(AA355-SUMIF(C$4:C354,C355,AC$4:AC355))/AB355,0),"")</f>
        <v>0</v>
      </c>
      <c r="W355" s="24" t="str">
        <f t="shared" si="44"/>
        <v/>
      </c>
      <c r="X355" s="25" t="str">
        <f t="shared" si="43"/>
        <v/>
      </c>
      <c r="Y355" s="10" t="str">
        <f>IF(S356&lt;&gt;eRRSP_Tx_Table[[#This Row],[Year]],SUMIFS($W$4:$W355,$S$4:$S355,eRRSP_Tx_Table[[#This Row],[Year]],$W$4:$W355,"&gt;0"),"")</f>
        <v/>
      </c>
      <c r="Z355" s="10" t="str">
        <f>IF(S356&lt;&gt;eRRSP_Tx_Table[[#This Row],[Year]],SUMIFS($W$4:$W355,$S$4:$S355,eRRSP_Tx_Table[[#This Row],[Year]],$W$4:$W355,"&lt;0"),"")</f>
        <v/>
      </c>
      <c r="AA355" s="3">
        <f>(SUMIF($U$4:$U355,CONCATENATE("Buy",$C355),$N$4:$N355)+SUMIF($U$4:$U355,CONCATENATE("ReinvDiv",$C355),$N$4:$N355))</f>
        <v>0</v>
      </c>
      <c r="AB355" s="3">
        <f>(SUMIF($U$4:$U355,CONCATENATE("Buy",$C355),$F$4:$F355)+SUMIF($U$4:$U355,CONCATENATE("ReinvDiv",$C355),$F$4:$F355)+SUMIF($U$4:$U355,CONCATENATE("StkSplit",$C355),$F$4:$F355)-SUMIF($U$4:$U355,CONCATENATE("Sell",$C355),$F$4:$F355))</f>
        <v>0</v>
      </c>
      <c r="AC355" s="3">
        <f>IF(B355="Sell",F355*INDEX(V:V,LOOKUP(2,1/(X$4:X354=CONCATENATE(C355,"_ACB")),ROW(V$4:V354))),0)</f>
        <v>0</v>
      </c>
    </row>
    <row r="356" spans="1:29" x14ac:dyDescent="0.25">
      <c r="A356" s="20">
        <v>38777</v>
      </c>
      <c r="B356" t="s">
        <v>42</v>
      </c>
      <c r="C356" t="s">
        <v>33</v>
      </c>
      <c r="D356" s="3">
        <v>20.98</v>
      </c>
      <c r="M356" s="21">
        <f t="shared" si="47"/>
        <v>20.98</v>
      </c>
      <c r="N356" s="8">
        <f t="shared" si="45"/>
        <v>20.98</v>
      </c>
      <c r="O356" s="25">
        <f t="shared" si="48"/>
        <v>5119.9199999999983</v>
      </c>
      <c r="P356" s="8">
        <f t="shared" si="49"/>
        <v>0</v>
      </c>
      <c r="Q356" s="4">
        <f>IF(AND(S356&gt;=[1]eRRSP_Rpt!$C$6,S356&lt;=[1]eRRSP_Rpt!$C$7),1,0)</f>
        <v>0</v>
      </c>
      <c r="R356" s="4"/>
      <c r="S356" s="4">
        <f t="shared" si="46"/>
        <v>2006</v>
      </c>
      <c r="T356" s="4"/>
      <c r="U356" s="4" t="str">
        <f t="shared" si="50"/>
        <v>DivEnbridge</v>
      </c>
      <c r="V356" s="23">
        <f>IFERROR(IF(AND(AB356&gt;0,B356&lt;&gt;"Sell"),(AA356-SUMIF(C$4:C355,C356,AC$4:AC356))/AB356,0),"")</f>
        <v>-12.859027777777776</v>
      </c>
      <c r="W356" s="24" t="str">
        <f t="shared" si="44"/>
        <v/>
      </c>
      <c r="X356" s="25" t="str">
        <f t="shared" si="43"/>
        <v>Enbridge_ACB</v>
      </c>
      <c r="Y356" s="10" t="str">
        <f>IF(S357&lt;&gt;eRRSP_Tx_Table[[#This Row],[Year]],SUMIFS($W$4:$W356,$S$4:$S356,eRRSP_Tx_Table[[#This Row],[Year]],$W$4:$W356,"&gt;0"),"")</f>
        <v/>
      </c>
      <c r="Z356" s="10" t="str">
        <f>IF(S357&lt;&gt;eRRSP_Tx_Table[[#This Row],[Year]],SUMIFS($W$4:$W356,$S$4:$S356,eRRSP_Tx_Table[[#This Row],[Year]],$W$4:$W356,"&lt;0"),"")</f>
        <v/>
      </c>
      <c r="AA356" s="3">
        <f>(SUMIF($U$4:$U356,CONCATENATE("Buy",$C356),$N$4:$N356)+SUMIF($U$4:$U356,CONCATENATE("ReinvDiv",$C356),$N$4:$N356))</f>
        <v>-1851.7</v>
      </c>
      <c r="AB356" s="3">
        <f>(SUMIF($U$4:$U356,CONCATENATE("Buy",$C356),$F$4:$F356)+SUMIF($U$4:$U356,CONCATENATE("ReinvDiv",$C356),$F$4:$F356)+SUMIF($U$4:$U356,CONCATENATE("StkSplit",$C356),$F$4:$F356)-SUMIF($U$4:$U356,CONCATENATE("Sell",$C356),$F$4:$F356))</f>
        <v>73</v>
      </c>
      <c r="AC356" s="3">
        <f>IF(B356="Sell",F356*INDEX(V:V,LOOKUP(2,1/(X$4:X355=CONCATENATE(C356,"_ACB")),ROW(V$4:V355))),0)</f>
        <v>0</v>
      </c>
    </row>
    <row r="357" spans="1:29" x14ac:dyDescent="0.25">
      <c r="A357" s="20">
        <v>38791</v>
      </c>
      <c r="B357" t="s">
        <v>41</v>
      </c>
      <c r="C357" t="s">
        <v>39</v>
      </c>
      <c r="D357" s="3">
        <v>7.08</v>
      </c>
      <c r="E357">
        <v>11.08</v>
      </c>
      <c r="F357" s="3">
        <v>0.63900000000000001</v>
      </c>
      <c r="M357" s="21">
        <f t="shared" si="47"/>
        <v>7.08</v>
      </c>
      <c r="N357" s="8">
        <f t="shared" si="45"/>
        <v>-7.08</v>
      </c>
      <c r="O357" s="25">
        <f t="shared" si="48"/>
        <v>5119.9199999999983</v>
      </c>
      <c r="P357" s="8">
        <f t="shared" si="49"/>
        <v>0</v>
      </c>
      <c r="Q357" s="4">
        <f>IF(AND(S357&gt;=[1]eRRSP_Rpt!$C$6,S357&lt;=[1]eRRSP_Rpt!$C$7),1,0)</f>
        <v>0</v>
      </c>
      <c r="R357" s="4"/>
      <c r="S357" s="4">
        <f t="shared" si="46"/>
        <v>2006</v>
      </c>
      <c r="T357" s="4"/>
      <c r="U357" s="4" t="str">
        <f t="shared" si="50"/>
        <v>ReinvDivTrimark Income Growth</v>
      </c>
      <c r="V357" s="23">
        <f>IFERROR(IF(AND(AB357&gt;0,B357&lt;&gt;"Sell"),(AA357-SUMIF(C$4:C356,C357,AC$4:AC357))/AB357,0),"")</f>
        <v>-8.0837989360990097</v>
      </c>
      <c r="W357" s="24" t="str">
        <f t="shared" si="44"/>
        <v/>
      </c>
      <c r="X357" s="25" t="str">
        <f t="shared" si="43"/>
        <v>Trimark Income Growth_ACB</v>
      </c>
      <c r="Y357" s="10" t="str">
        <f>IF(S358&lt;&gt;eRRSP_Tx_Table[[#This Row],[Year]],SUMIFS($W$4:$W357,$S$4:$S357,eRRSP_Tx_Table[[#This Row],[Year]],$W$4:$W357,"&gt;0"),"")</f>
        <v/>
      </c>
      <c r="Z357" s="10" t="str">
        <f>IF(S358&lt;&gt;eRRSP_Tx_Table[[#This Row],[Year]],SUMIFS($W$4:$W357,$S$4:$S357,eRRSP_Tx_Table[[#This Row],[Year]],$W$4:$W357,"&lt;0"),"")</f>
        <v/>
      </c>
      <c r="AA357" s="3">
        <f>(SUMIF($U$4:$U357,CONCATENATE("Buy",$C357),$N$4:$N357)+SUMIF($U$4:$U357,CONCATENATE("ReinvDiv",$C357),$N$4:$N357))</f>
        <v>-2536.3000000000002</v>
      </c>
      <c r="AB357" s="3">
        <f>(SUMIF($U$4:$U357,CONCATENATE("Buy",$C357),$F$4:$F357)+SUMIF($U$4:$U357,CONCATENATE("ReinvDiv",$C357),$F$4:$F357)+SUMIF($U$4:$U357,CONCATENATE("StkSplit",$C357),$F$4:$F357)-SUMIF($U$4:$U357,CONCATENATE("Sell",$C357),$F$4:$F357))</f>
        <v>313.75099999999998</v>
      </c>
      <c r="AC357" s="3">
        <f>IF(B357="Sell",F357*INDEX(V:V,LOOKUP(2,1/(X$4:X356=CONCATENATE(C357,"_ACB")),ROW(V$4:V356))),0)</f>
        <v>0</v>
      </c>
    </row>
    <row r="358" spans="1:29" x14ac:dyDescent="0.25">
      <c r="A358" s="20">
        <v>38792</v>
      </c>
      <c r="B358" t="s">
        <v>43</v>
      </c>
      <c r="C358" t="s">
        <v>36</v>
      </c>
      <c r="D358" s="3">
        <v>5.18</v>
      </c>
      <c r="M358" s="21">
        <f t="shared" si="47"/>
        <v>5.18</v>
      </c>
      <c r="N358" s="8">
        <f t="shared" si="45"/>
        <v>5.18</v>
      </c>
      <c r="O358" s="25">
        <f t="shared" si="48"/>
        <v>5125.0999999999985</v>
      </c>
      <c r="P358" s="8">
        <f t="shared" si="49"/>
        <v>0</v>
      </c>
      <c r="Q358" s="4">
        <f>IF(AND(S358&gt;=[1]eRRSP_Rpt!$C$6,S358&lt;=[1]eRRSP_Rpt!$C$7),1,0)</f>
        <v>0</v>
      </c>
      <c r="R358" s="4"/>
      <c r="S358" s="4">
        <f t="shared" si="46"/>
        <v>2006</v>
      </c>
      <c r="T358" s="4"/>
      <c r="U358" s="4" t="str">
        <f t="shared" si="50"/>
        <v>IntIncTDW</v>
      </c>
      <c r="V358" s="23">
        <f>IFERROR(IF(AND(AB358&gt;0,B358&lt;&gt;"Sell"),(AA358-SUMIF(C$4:C357,C358,AC$4:AC358))/AB358,0),"")</f>
        <v>0</v>
      </c>
      <c r="W358" s="24" t="str">
        <f t="shared" si="44"/>
        <v/>
      </c>
      <c r="X358" s="25" t="str">
        <f t="shared" si="43"/>
        <v/>
      </c>
      <c r="Y358" s="10" t="str">
        <f>IF(S359&lt;&gt;eRRSP_Tx_Table[[#This Row],[Year]],SUMIFS($W$4:$W358,$S$4:$S358,eRRSP_Tx_Table[[#This Row],[Year]],$W$4:$W358,"&gt;0"),"")</f>
        <v/>
      </c>
      <c r="Z358" s="10" t="str">
        <f>IF(S359&lt;&gt;eRRSP_Tx_Table[[#This Row],[Year]],SUMIFS($W$4:$W358,$S$4:$S358,eRRSP_Tx_Table[[#This Row],[Year]],$W$4:$W358,"&lt;0"),"")</f>
        <v/>
      </c>
      <c r="AA358" s="3">
        <f>(SUMIF($U$4:$U358,CONCATENATE("Buy",$C358),$N$4:$N358)+SUMIF($U$4:$U358,CONCATENATE("ReinvDiv",$C358),$N$4:$N358))</f>
        <v>0</v>
      </c>
      <c r="AB358" s="3">
        <f>(SUMIF($U$4:$U358,CONCATENATE("Buy",$C358),$F$4:$F358)+SUMIF($U$4:$U358,CONCATENATE("ReinvDiv",$C358),$F$4:$F358)+SUMIF($U$4:$U358,CONCATENATE("StkSplit",$C358),$F$4:$F358)-SUMIF($U$4:$U358,CONCATENATE("Sell",$C358),$F$4:$F358))</f>
        <v>0</v>
      </c>
      <c r="AC358" s="3">
        <f>IF(B358="Sell",F358*INDEX(V:V,LOOKUP(2,1/(X$4:X357=CONCATENATE(C358,"_ACB")),ROW(V$4:V357))),0)</f>
        <v>0</v>
      </c>
    </row>
    <row r="359" spans="1:29" x14ac:dyDescent="0.25">
      <c r="A359" s="20">
        <v>38806</v>
      </c>
      <c r="B359" t="s">
        <v>41</v>
      </c>
      <c r="C359" t="s">
        <v>62</v>
      </c>
      <c r="D359" s="3">
        <v>32.47</v>
      </c>
      <c r="E359">
        <v>15.640700000000001</v>
      </c>
      <c r="F359" s="3">
        <v>2.0760000000000001</v>
      </c>
      <c r="M359" s="21">
        <f t="shared" si="47"/>
        <v>32.47</v>
      </c>
      <c r="N359" s="8">
        <f t="shared" si="45"/>
        <v>-32.47</v>
      </c>
      <c r="O359" s="25">
        <f t="shared" si="48"/>
        <v>5125.0999999999985</v>
      </c>
      <c r="P359" s="8">
        <f t="shared" si="49"/>
        <v>0</v>
      </c>
      <c r="Q359" s="4">
        <f>IF(AND(S359&gt;=[1]eRRSP_Rpt!$C$6,S359&lt;=[1]eRRSP_Rpt!$C$7),1,0)</f>
        <v>0</v>
      </c>
      <c r="R359" s="4"/>
      <c r="S359" s="4">
        <f t="shared" si="46"/>
        <v>2006</v>
      </c>
      <c r="T359" s="4"/>
      <c r="U359" s="4" t="str">
        <f t="shared" si="50"/>
        <v>ReinvDivTD RR Bond</v>
      </c>
      <c r="V359" s="23">
        <f>IFERROR(IF(AND(AB359&gt;0,B359&lt;&gt;"Sell"),(AA359-SUMIF(C$4:C358,C359,AC$4:AC359))/AB359,0),"")</f>
        <v>-14.475483315229162</v>
      </c>
      <c r="W359" s="24" t="str">
        <f t="shared" si="44"/>
        <v/>
      </c>
      <c r="X359" s="25" t="str">
        <f t="shared" si="43"/>
        <v>TD RR Bond_ACB</v>
      </c>
      <c r="Y359" s="10" t="str">
        <f>IF(S360&lt;&gt;eRRSP_Tx_Table[[#This Row],[Year]],SUMIFS($W$4:$W359,$S$4:$S359,eRRSP_Tx_Table[[#This Row],[Year]],$W$4:$W359,"&gt;0"),"")</f>
        <v/>
      </c>
      <c r="Z359" s="10" t="str">
        <f>IF(S360&lt;&gt;eRRSP_Tx_Table[[#This Row],[Year]],SUMIFS($W$4:$W359,$S$4:$S359,eRRSP_Tx_Table[[#This Row],[Year]],$W$4:$W359,"&lt;0"),"")</f>
        <v/>
      </c>
      <c r="AA359" s="3">
        <f>(SUMIF($U$4:$U359,CONCATENATE("Buy",$C359),$N$4:$N359)+SUMIF($U$4:$U359,CONCATENATE("ReinvDiv",$C359),$N$4:$N359))</f>
        <v>-8755.25</v>
      </c>
      <c r="AB359" s="3">
        <f>(SUMIF($U$4:$U359,CONCATENATE("Buy",$C359),$F$4:$F359)+SUMIF($U$4:$U359,CONCATENATE("ReinvDiv",$C359),$F$4:$F359)+SUMIF($U$4:$U359,CONCATENATE("StkSplit",$C359),$F$4:$F359)-SUMIF($U$4:$U359,CONCATENATE("Sell",$C359),$F$4:$F359))</f>
        <v>604.83299999999997</v>
      </c>
      <c r="AC359" s="3">
        <f>IF(B359="Sell",F359*INDEX(V:V,LOOKUP(2,1/(X$4:X358=CONCATENATE(C359,"_ACB")),ROW(V$4:V358))),0)</f>
        <v>0</v>
      </c>
    </row>
    <row r="360" spans="1:29" x14ac:dyDescent="0.25">
      <c r="A360" s="20">
        <v>38807</v>
      </c>
      <c r="B360" t="s">
        <v>42</v>
      </c>
      <c r="C360" t="s">
        <v>72</v>
      </c>
      <c r="D360" s="3">
        <v>59.26</v>
      </c>
      <c r="M360" s="21">
        <f t="shared" si="47"/>
        <v>59.26</v>
      </c>
      <c r="N360" s="8">
        <f t="shared" si="45"/>
        <v>59.26</v>
      </c>
      <c r="O360" s="25">
        <f t="shared" si="48"/>
        <v>5184.3599999999988</v>
      </c>
      <c r="P360" s="8">
        <f t="shared" si="49"/>
        <v>0</v>
      </c>
      <c r="Q360" s="4">
        <f>IF(AND(S360&gt;=[1]eRRSP_Rpt!$C$6,S360&lt;=[1]eRRSP_Rpt!$C$7),1,0)</f>
        <v>0</v>
      </c>
      <c r="R360" s="4"/>
      <c r="S360" s="4">
        <f t="shared" si="46"/>
        <v>2006</v>
      </c>
      <c r="T360" s="4"/>
      <c r="U360" s="4" t="str">
        <f t="shared" si="50"/>
        <v>DivIunits GOC 5Yr Bond</v>
      </c>
      <c r="V360" s="23">
        <f>IFERROR(IF(AND(AB360&gt;0,B360&lt;&gt;"Sell"),(AA360-SUMIF(C$4:C359,C360,AC$4:AC360))/AB360,0),"")</f>
        <v>-28.945</v>
      </c>
      <c r="W360" s="24" t="str">
        <f t="shared" si="44"/>
        <v/>
      </c>
      <c r="X360" s="25" t="str">
        <f t="shared" si="43"/>
        <v>Iunits GOC 5Yr Bond_ACB</v>
      </c>
      <c r="Y360" s="10" t="str">
        <f>IF(S361&lt;&gt;eRRSP_Tx_Table[[#This Row],[Year]],SUMIFS($W$4:$W360,$S$4:$S360,eRRSP_Tx_Table[[#This Row],[Year]],$W$4:$W360,"&gt;0"),"")</f>
        <v/>
      </c>
      <c r="Z360" s="10" t="str">
        <f>IF(S361&lt;&gt;eRRSP_Tx_Table[[#This Row],[Year]],SUMIFS($W$4:$W360,$S$4:$S360,eRRSP_Tx_Table[[#This Row],[Year]],$W$4:$W360,"&lt;0"),"")</f>
        <v/>
      </c>
      <c r="AA360" s="3">
        <f>(SUMIF($U$4:$U360,CONCATENATE("Buy",$C360),$N$4:$N360)+SUMIF($U$4:$U360,CONCATENATE("ReinvDiv",$C360),$N$4:$N360))</f>
        <v>-5789</v>
      </c>
      <c r="AB360" s="3">
        <f>(SUMIF($U$4:$U360,CONCATENATE("Buy",$C360),$F$4:$F360)+SUMIF($U$4:$U360,CONCATENATE("ReinvDiv",$C360),$F$4:$F360)+SUMIF($U$4:$U360,CONCATENATE("StkSplit",$C360),$F$4:$F360)-SUMIF($U$4:$U360,CONCATENATE("Sell",$C360),$F$4:$F360))</f>
        <v>200</v>
      </c>
      <c r="AC360" s="3">
        <f>IF(B360="Sell",F360*INDEX(V:V,LOOKUP(2,1/(X$4:X359=CONCATENATE(C360,"_ACB")),ROW(V$4:V359))),0)</f>
        <v>0</v>
      </c>
    </row>
    <row r="361" spans="1:29" x14ac:dyDescent="0.25">
      <c r="A361" s="20">
        <v>38820</v>
      </c>
      <c r="B361" t="s">
        <v>41</v>
      </c>
      <c r="C361" t="s">
        <v>39</v>
      </c>
      <c r="D361" s="3">
        <v>4.8600000000000003</v>
      </c>
      <c r="E361">
        <v>11.02</v>
      </c>
      <c r="F361" s="3">
        <v>0.441</v>
      </c>
      <c r="M361" s="21">
        <f t="shared" si="47"/>
        <v>4.8600000000000003</v>
      </c>
      <c r="N361" s="8">
        <f t="shared" si="45"/>
        <v>-4.8600000000000003</v>
      </c>
      <c r="O361" s="25">
        <f t="shared" si="48"/>
        <v>5184.3599999999988</v>
      </c>
      <c r="P361" s="8">
        <f t="shared" si="49"/>
        <v>0</v>
      </c>
      <c r="Q361" s="4">
        <f>IF(AND(S361&gt;=[1]eRRSP_Rpt!$C$6,S361&lt;=[1]eRRSP_Rpt!$C$7),1,0)</f>
        <v>0</v>
      </c>
      <c r="R361" s="4"/>
      <c r="S361" s="4">
        <f t="shared" si="46"/>
        <v>2006</v>
      </c>
      <c r="T361" s="4"/>
      <c r="U361" s="4" t="str">
        <f t="shared" si="50"/>
        <v>ReinvDivTrimark Income Growth</v>
      </c>
      <c r="V361" s="23">
        <f>IFERROR(IF(AND(AB361&gt;0,B361&lt;&gt;"Sell"),(AA361-SUMIF(C$4:C360,C361,AC$4:AC361))/AB361,0),"")</f>
        <v>-8.0879207618271618</v>
      </c>
      <c r="W361" s="24" t="str">
        <f t="shared" si="44"/>
        <v/>
      </c>
      <c r="X361" s="25" t="str">
        <f t="shared" si="43"/>
        <v>Trimark Income Growth_ACB</v>
      </c>
      <c r="Y361" s="10" t="str">
        <f>IF(S362&lt;&gt;eRRSP_Tx_Table[[#This Row],[Year]],SUMIFS($W$4:$W361,$S$4:$S361,eRRSP_Tx_Table[[#This Row],[Year]],$W$4:$W361,"&gt;0"),"")</f>
        <v/>
      </c>
      <c r="Z361" s="10" t="str">
        <f>IF(S362&lt;&gt;eRRSP_Tx_Table[[#This Row],[Year]],SUMIFS($W$4:$W361,$S$4:$S361,eRRSP_Tx_Table[[#This Row],[Year]],$W$4:$W361,"&lt;0"),"")</f>
        <v/>
      </c>
      <c r="AA361" s="3">
        <f>(SUMIF($U$4:$U361,CONCATENATE("Buy",$C361),$N$4:$N361)+SUMIF($U$4:$U361,CONCATENATE("ReinvDiv",$C361),$N$4:$N361))</f>
        <v>-2541.16</v>
      </c>
      <c r="AB361" s="3">
        <f>(SUMIF($U$4:$U361,CONCATENATE("Buy",$C361),$F$4:$F361)+SUMIF($U$4:$U361,CONCATENATE("ReinvDiv",$C361),$F$4:$F361)+SUMIF($U$4:$U361,CONCATENATE("StkSplit",$C361),$F$4:$F361)-SUMIF($U$4:$U361,CONCATENATE("Sell",$C361),$F$4:$F361))</f>
        <v>314.19200000000001</v>
      </c>
      <c r="AC361" s="3">
        <f>IF(B361="Sell",F361*INDEX(V:V,LOOKUP(2,1/(X$4:X360=CONCATENATE(C361,"_ACB")),ROW(V$4:V360))),0)</f>
        <v>0</v>
      </c>
    </row>
    <row r="362" spans="1:29" x14ac:dyDescent="0.25">
      <c r="A362" s="20">
        <v>38823</v>
      </c>
      <c r="B362" t="s">
        <v>43</v>
      </c>
      <c r="C362" t="s">
        <v>36</v>
      </c>
      <c r="D362" s="3">
        <v>5.47</v>
      </c>
      <c r="M362" s="21">
        <f t="shared" si="47"/>
        <v>5.47</v>
      </c>
      <c r="N362" s="8">
        <f t="shared" si="45"/>
        <v>5.47</v>
      </c>
      <c r="O362" s="25">
        <f t="shared" si="48"/>
        <v>5189.829999999999</v>
      </c>
      <c r="P362" s="8">
        <f t="shared" si="49"/>
        <v>0</v>
      </c>
      <c r="Q362" s="4">
        <f>IF(AND(S362&gt;=[1]eRRSP_Rpt!$C$6,S362&lt;=[1]eRRSP_Rpt!$C$7),1,0)</f>
        <v>0</v>
      </c>
      <c r="R362" s="4"/>
      <c r="S362" s="4">
        <f t="shared" si="46"/>
        <v>2006</v>
      </c>
      <c r="T362" s="4"/>
      <c r="U362" s="4" t="str">
        <f t="shared" si="50"/>
        <v>IntIncTDW</v>
      </c>
      <c r="V362" s="23">
        <f>IFERROR(IF(AND(AB362&gt;0,B362&lt;&gt;"Sell"),(AA362-SUMIF(C$4:C361,C362,AC$4:AC362))/AB362,0),"")</f>
        <v>0</v>
      </c>
      <c r="W362" s="24" t="str">
        <f t="shared" si="44"/>
        <v/>
      </c>
      <c r="X362" s="25" t="str">
        <f t="shared" si="43"/>
        <v/>
      </c>
      <c r="Y362" s="10" t="str">
        <f>IF(S363&lt;&gt;eRRSP_Tx_Table[[#This Row],[Year]],SUMIFS($W$4:$W362,$S$4:$S362,eRRSP_Tx_Table[[#This Row],[Year]],$W$4:$W362,"&gt;0"),"")</f>
        <v/>
      </c>
      <c r="Z362" s="10" t="str">
        <f>IF(S363&lt;&gt;eRRSP_Tx_Table[[#This Row],[Year]],SUMIFS($W$4:$W362,$S$4:$S362,eRRSP_Tx_Table[[#This Row],[Year]],$W$4:$W362,"&lt;0"),"")</f>
        <v/>
      </c>
      <c r="AA362" s="3">
        <f>(SUMIF($U$4:$U362,CONCATENATE("Buy",$C362),$N$4:$N362)+SUMIF($U$4:$U362,CONCATENATE("ReinvDiv",$C362),$N$4:$N362))</f>
        <v>0</v>
      </c>
      <c r="AB362" s="3">
        <f>(SUMIF($U$4:$U362,CONCATENATE("Buy",$C362),$F$4:$F362)+SUMIF($U$4:$U362,CONCATENATE("ReinvDiv",$C362),$F$4:$F362)+SUMIF($U$4:$U362,CONCATENATE("StkSplit",$C362),$F$4:$F362)-SUMIF($U$4:$U362,CONCATENATE("Sell",$C362),$F$4:$F362))</f>
        <v>0</v>
      </c>
      <c r="AC362" s="3">
        <f>IF(B362="Sell",F362*INDEX(V:V,LOOKUP(2,1/(X$4:X361=CONCATENATE(C362,"_ACB")),ROW(V$4:V361))),0)</f>
        <v>0</v>
      </c>
    </row>
    <row r="363" spans="1:29" x14ac:dyDescent="0.25">
      <c r="A363" s="20">
        <v>38837</v>
      </c>
      <c r="B363" t="s">
        <v>42</v>
      </c>
      <c r="C363" t="s">
        <v>45</v>
      </c>
      <c r="D363" s="3">
        <v>8.8000000000000007</v>
      </c>
      <c r="M363" s="21">
        <f t="shared" si="47"/>
        <v>8.8000000000000007</v>
      </c>
      <c r="N363" s="8">
        <f t="shared" si="45"/>
        <v>8.8000000000000007</v>
      </c>
      <c r="O363" s="25">
        <f t="shared" si="48"/>
        <v>5198.6299999999992</v>
      </c>
      <c r="P363" s="8">
        <f t="shared" si="49"/>
        <v>0</v>
      </c>
      <c r="Q363" s="4">
        <f>IF(AND(S363&gt;=[1]eRRSP_Rpt!$C$6,S363&lt;=[1]eRRSP_Rpt!$C$7),1,0)</f>
        <v>0</v>
      </c>
      <c r="R363" s="4"/>
      <c r="S363" s="4">
        <f t="shared" si="46"/>
        <v>2006</v>
      </c>
      <c r="T363" s="4"/>
      <c r="U363" s="4" t="str">
        <f t="shared" si="50"/>
        <v>DivTD Bank</v>
      </c>
      <c r="V363" s="23">
        <f>IFERROR(IF(AND(AB363&gt;0,B363&lt;&gt;"Sell"),(AA363-SUMIF(C$4:C362,C363,AC$4:AC363))/AB363,0),"")</f>
        <v>-44.29</v>
      </c>
      <c r="W363" s="24" t="str">
        <f t="shared" si="44"/>
        <v/>
      </c>
      <c r="X363" s="25" t="str">
        <f t="shared" si="43"/>
        <v>TD Bank_ACB</v>
      </c>
      <c r="Y363" s="10" t="str">
        <f>IF(S364&lt;&gt;eRRSP_Tx_Table[[#This Row],[Year]],SUMIFS($W$4:$W363,$S$4:$S363,eRRSP_Tx_Table[[#This Row],[Year]],$W$4:$W363,"&gt;0"),"")</f>
        <v/>
      </c>
      <c r="Z363" s="10" t="str">
        <f>IF(S364&lt;&gt;eRRSP_Tx_Table[[#This Row],[Year]],SUMIFS($W$4:$W363,$S$4:$S363,eRRSP_Tx_Table[[#This Row],[Year]],$W$4:$W363,"&lt;0"),"")</f>
        <v/>
      </c>
      <c r="AA363" s="3">
        <f>(SUMIF($U$4:$U363,CONCATENATE("Buy",$C363),$N$4:$N363)+SUMIF($U$4:$U363,CONCATENATE("ReinvDiv",$C363),$N$4:$N363))</f>
        <v>-885.8</v>
      </c>
      <c r="AB363" s="3">
        <f>(SUMIF($U$4:$U363,CONCATENATE("Buy",$C363),$F$4:$F363)+SUMIF($U$4:$U363,CONCATENATE("ReinvDiv",$C363),$F$4:$F363)+SUMIF($U$4:$U363,CONCATENATE("StkSplit",$C363),$F$4:$F363)-SUMIF($U$4:$U363,CONCATENATE("Sell",$C363),$F$4:$F363))</f>
        <v>20</v>
      </c>
      <c r="AC363" s="3">
        <f>IF(B363="Sell",F363*INDEX(V:V,LOOKUP(2,1/(X$4:X362=CONCATENATE(C363,"_ACB")),ROW(V$4:V362))),0)</f>
        <v>0</v>
      </c>
    </row>
    <row r="364" spans="1:29" x14ac:dyDescent="0.25">
      <c r="A364" s="20">
        <v>38852</v>
      </c>
      <c r="B364" t="s">
        <v>41</v>
      </c>
      <c r="C364" t="s">
        <v>39</v>
      </c>
      <c r="D364" s="3">
        <v>3.2</v>
      </c>
      <c r="E364">
        <v>10.92</v>
      </c>
      <c r="F364" s="3">
        <v>0.29299999999999998</v>
      </c>
      <c r="M364" s="21">
        <f t="shared" si="47"/>
        <v>3.2</v>
      </c>
      <c r="N364" s="8">
        <f t="shared" si="45"/>
        <v>-3.2</v>
      </c>
      <c r="O364" s="25">
        <f t="shared" si="48"/>
        <v>5198.6299999999992</v>
      </c>
      <c r="P364" s="8">
        <f t="shared" si="49"/>
        <v>0</v>
      </c>
      <c r="Q364" s="4">
        <f>IF(AND(S364&gt;=[1]eRRSP_Rpt!$C$6,S364&lt;=[1]eRRSP_Rpt!$C$7),1,0)</f>
        <v>0</v>
      </c>
      <c r="R364" s="4"/>
      <c r="S364" s="4">
        <f t="shared" si="46"/>
        <v>2006</v>
      </c>
      <c r="T364" s="4"/>
      <c r="U364" s="4" t="str">
        <f t="shared" si="50"/>
        <v>ReinvDivTrimark Income Growth</v>
      </c>
      <c r="V364" s="23">
        <f>IFERROR(IF(AND(AB364&gt;0,B364&lt;&gt;"Sell"),(AA364-SUMIF(C$4:C363,C364,AC$4:AC364))/AB364,0),"")</f>
        <v>-8.0905607580647718</v>
      </c>
      <c r="W364" s="24" t="str">
        <f t="shared" si="44"/>
        <v/>
      </c>
      <c r="X364" s="25" t="str">
        <f t="shared" si="43"/>
        <v>Trimark Income Growth_ACB</v>
      </c>
      <c r="Y364" s="10" t="str">
        <f>IF(S365&lt;&gt;eRRSP_Tx_Table[[#This Row],[Year]],SUMIFS($W$4:$W364,$S$4:$S364,eRRSP_Tx_Table[[#This Row],[Year]],$W$4:$W364,"&gt;0"),"")</f>
        <v/>
      </c>
      <c r="Z364" s="10" t="str">
        <f>IF(S365&lt;&gt;eRRSP_Tx_Table[[#This Row],[Year]],SUMIFS($W$4:$W364,$S$4:$S364,eRRSP_Tx_Table[[#This Row],[Year]],$W$4:$W364,"&lt;0"),"")</f>
        <v/>
      </c>
      <c r="AA364" s="3">
        <f>(SUMIF($U$4:$U364,CONCATENATE("Buy",$C364),$N$4:$N364)+SUMIF($U$4:$U364,CONCATENATE("ReinvDiv",$C364),$N$4:$N364))</f>
        <v>-2544.36</v>
      </c>
      <c r="AB364" s="3">
        <f>(SUMIF($U$4:$U364,CONCATENATE("Buy",$C364),$F$4:$F364)+SUMIF($U$4:$U364,CONCATENATE("ReinvDiv",$C364),$F$4:$F364)+SUMIF($U$4:$U364,CONCATENATE("StkSplit",$C364),$F$4:$F364)-SUMIF($U$4:$U364,CONCATENATE("Sell",$C364),$F$4:$F364))</f>
        <v>314.48500000000001</v>
      </c>
      <c r="AC364" s="3">
        <f>IF(B364="Sell",F364*INDEX(V:V,LOOKUP(2,1/(X$4:X363=CONCATENATE(C364,"_ACB")),ROW(V$4:V363))),0)</f>
        <v>0</v>
      </c>
    </row>
    <row r="365" spans="1:29" x14ac:dyDescent="0.25">
      <c r="A365" s="20">
        <v>38853</v>
      </c>
      <c r="B365" t="s">
        <v>43</v>
      </c>
      <c r="C365" t="s">
        <v>36</v>
      </c>
      <c r="D365" s="3">
        <v>6.04</v>
      </c>
      <c r="M365" s="21">
        <f t="shared" si="47"/>
        <v>6.04</v>
      </c>
      <c r="N365" s="8">
        <f t="shared" si="45"/>
        <v>6.04</v>
      </c>
      <c r="O365" s="25">
        <f t="shared" si="48"/>
        <v>5204.6699999999992</v>
      </c>
      <c r="P365" s="8">
        <f t="shared" si="49"/>
        <v>0</v>
      </c>
      <c r="Q365" s="4">
        <f>IF(AND(S365&gt;=[1]eRRSP_Rpt!$C$6,S365&lt;=[1]eRRSP_Rpt!$C$7),1,0)</f>
        <v>0</v>
      </c>
      <c r="R365" s="4"/>
      <c r="S365" s="4">
        <f t="shared" si="46"/>
        <v>2006</v>
      </c>
      <c r="T365" s="4"/>
      <c r="U365" s="4" t="str">
        <f t="shared" si="50"/>
        <v>IntIncTDW</v>
      </c>
      <c r="V365" s="23">
        <f>IFERROR(IF(AND(AB365&gt;0,B365&lt;&gt;"Sell"),(AA365-SUMIF(C$4:C364,C365,AC$4:AC365))/AB365,0),"")</f>
        <v>0</v>
      </c>
      <c r="W365" s="24" t="str">
        <f t="shared" si="44"/>
        <v/>
      </c>
      <c r="X365" s="25" t="str">
        <f t="shared" si="43"/>
        <v/>
      </c>
      <c r="Y365" s="10" t="str">
        <f>IF(S366&lt;&gt;eRRSP_Tx_Table[[#This Row],[Year]],SUMIFS($W$4:$W365,$S$4:$S365,eRRSP_Tx_Table[[#This Row],[Year]],$W$4:$W365,"&gt;0"),"")</f>
        <v/>
      </c>
      <c r="Z365" s="10" t="str">
        <f>IF(S366&lt;&gt;eRRSP_Tx_Table[[#This Row],[Year]],SUMIFS($W$4:$W365,$S$4:$S365,eRRSP_Tx_Table[[#This Row],[Year]],$W$4:$W365,"&lt;0"),"")</f>
        <v/>
      </c>
      <c r="AA365" s="3">
        <f>(SUMIF($U$4:$U365,CONCATENATE("Buy",$C365),$N$4:$N365)+SUMIF($U$4:$U365,CONCATENATE("ReinvDiv",$C365),$N$4:$N365))</f>
        <v>0</v>
      </c>
      <c r="AB365" s="3">
        <f>(SUMIF($U$4:$U365,CONCATENATE("Buy",$C365),$F$4:$F365)+SUMIF($U$4:$U365,CONCATENATE("ReinvDiv",$C365),$F$4:$F365)+SUMIF($U$4:$U365,CONCATENATE("StkSplit",$C365),$F$4:$F365)-SUMIF($U$4:$U365,CONCATENATE("Sell",$C365),$F$4:$F365))</f>
        <v>0</v>
      </c>
      <c r="AC365" s="3">
        <f>IF(B365="Sell",F365*INDEX(V:V,LOOKUP(2,1/(X$4:X364=CONCATENATE(C365,"_ACB")),ROW(V$4:V364))),0)</f>
        <v>0</v>
      </c>
    </row>
    <row r="366" spans="1:29" x14ac:dyDescent="0.25">
      <c r="A366" s="20">
        <v>38868</v>
      </c>
      <c r="B366" t="s">
        <v>40</v>
      </c>
      <c r="C366" t="s">
        <v>80</v>
      </c>
      <c r="D366" s="3">
        <v>2669.25</v>
      </c>
      <c r="E366">
        <v>71.081841999999995</v>
      </c>
      <c r="F366" s="3">
        <v>38</v>
      </c>
      <c r="G366">
        <v>31.86</v>
      </c>
      <c r="M366" s="21">
        <f t="shared" si="47"/>
        <v>2701.11</v>
      </c>
      <c r="N366" s="8">
        <f t="shared" si="45"/>
        <v>2669.25</v>
      </c>
      <c r="O366" s="25">
        <f t="shared" si="48"/>
        <v>7873.9199999999992</v>
      </c>
      <c r="P366" s="8">
        <f t="shared" si="49"/>
        <v>0</v>
      </c>
      <c r="Q366" s="4">
        <f>IF(AND(S366&gt;=[1]eRRSP_Rpt!$C$6,S366&lt;=[1]eRRSP_Rpt!$C$7),1,0)</f>
        <v>0</v>
      </c>
      <c r="R366" s="4"/>
      <c r="S366" s="4">
        <f t="shared" si="46"/>
        <v>2006</v>
      </c>
      <c r="T366" s="4"/>
      <c r="U366" s="4" t="str">
        <f t="shared" si="50"/>
        <v>SellStreettracks Gold Trust</v>
      </c>
      <c r="V366" s="23">
        <f>IFERROR(IF(AND(AB366&gt;0,B366&lt;&gt;"Sell"),(AA366-SUMIF(C$4:C365,C366,AC$4:AC366))/AB366,0),"")</f>
        <v>0</v>
      </c>
      <c r="W366" s="24">
        <f t="shared" si="44"/>
        <v>192.37999999999965</v>
      </c>
      <c r="X366" s="25" t="str">
        <f t="shared" si="43"/>
        <v/>
      </c>
      <c r="Y366" s="10" t="str">
        <f>IF(S367&lt;&gt;eRRSP_Tx_Table[[#This Row],[Year]],SUMIFS($W$4:$W366,$S$4:$S366,eRRSP_Tx_Table[[#This Row],[Year]],$W$4:$W366,"&gt;0"),"")</f>
        <v/>
      </c>
      <c r="Z366" s="10" t="str">
        <f>IF(S367&lt;&gt;eRRSP_Tx_Table[[#This Row],[Year]],SUMIFS($W$4:$W366,$S$4:$S366,eRRSP_Tx_Table[[#This Row],[Year]],$W$4:$W366,"&lt;0"),"")</f>
        <v/>
      </c>
      <c r="AA366" s="3">
        <f>(SUMIF($U$4:$U366,CONCATENATE("Buy",$C366),$N$4:$N366)+SUMIF($U$4:$U366,CONCATENATE("ReinvDiv",$C366),$N$4:$N366))</f>
        <v>-2476.87</v>
      </c>
      <c r="AB366" s="3">
        <f>(SUMIF($U$4:$U366,CONCATENATE("Buy",$C366),$F$4:$F366)+SUMIF($U$4:$U366,CONCATENATE("ReinvDiv",$C366),$F$4:$F366)+SUMIF($U$4:$U366,CONCATENATE("StkSplit",$C366),$F$4:$F366)-SUMIF($U$4:$U366,CONCATENATE("Sell",$C366),$F$4:$F366))</f>
        <v>0</v>
      </c>
      <c r="AC366" s="3">
        <f>IF(B366="Sell",F366*INDEX(V:V,LOOKUP(2,1/(X$4:X365=CONCATENATE(C366,"_ACB")),ROW(V$4:V365))),0)</f>
        <v>-2476.8700000000003</v>
      </c>
    </row>
    <row r="367" spans="1:29" x14ac:dyDescent="0.25">
      <c r="A367" s="20">
        <v>38869</v>
      </c>
      <c r="B367" t="s">
        <v>42</v>
      </c>
      <c r="C367" t="s">
        <v>33</v>
      </c>
      <c r="D367" s="3">
        <v>20.98</v>
      </c>
      <c r="M367" s="21">
        <f t="shared" si="47"/>
        <v>20.98</v>
      </c>
      <c r="N367" s="8">
        <f t="shared" si="45"/>
        <v>20.98</v>
      </c>
      <c r="O367" s="25">
        <f t="shared" si="48"/>
        <v>7894.8999999999987</v>
      </c>
      <c r="P367" s="8">
        <f t="shared" si="49"/>
        <v>0</v>
      </c>
      <c r="Q367" s="4">
        <f>IF(AND(S367&gt;=[1]eRRSP_Rpt!$C$6,S367&lt;=[1]eRRSP_Rpt!$C$7),1,0)</f>
        <v>0</v>
      </c>
      <c r="R367" s="4"/>
      <c r="S367" s="4">
        <f t="shared" si="46"/>
        <v>2006</v>
      </c>
      <c r="T367" s="4"/>
      <c r="U367" s="4" t="str">
        <f t="shared" si="50"/>
        <v>DivEnbridge</v>
      </c>
      <c r="V367" s="23">
        <f>IFERROR(IF(AND(AB367&gt;0,B367&lt;&gt;"Sell"),(AA367-SUMIF(C$4:C366,C367,AC$4:AC367))/AB367,0),"")</f>
        <v>-12.859027777777776</v>
      </c>
      <c r="W367" s="24" t="str">
        <f t="shared" si="44"/>
        <v/>
      </c>
      <c r="X367" s="25" t="str">
        <f t="shared" si="43"/>
        <v>Enbridge_ACB</v>
      </c>
      <c r="Y367" s="10" t="str">
        <f>IF(S368&lt;&gt;eRRSP_Tx_Table[[#This Row],[Year]],SUMIFS($W$4:$W367,$S$4:$S367,eRRSP_Tx_Table[[#This Row],[Year]],$W$4:$W367,"&gt;0"),"")</f>
        <v/>
      </c>
      <c r="Z367" s="10" t="str">
        <f>IF(S368&lt;&gt;eRRSP_Tx_Table[[#This Row],[Year]],SUMIFS($W$4:$W367,$S$4:$S367,eRRSP_Tx_Table[[#This Row],[Year]],$W$4:$W367,"&lt;0"),"")</f>
        <v/>
      </c>
      <c r="AA367" s="3">
        <f>(SUMIF($U$4:$U367,CONCATENATE("Buy",$C367),$N$4:$N367)+SUMIF($U$4:$U367,CONCATENATE("ReinvDiv",$C367),$N$4:$N367))</f>
        <v>-1851.7</v>
      </c>
      <c r="AB367" s="3">
        <f>(SUMIF($U$4:$U367,CONCATENATE("Buy",$C367),$F$4:$F367)+SUMIF($U$4:$U367,CONCATENATE("ReinvDiv",$C367),$F$4:$F367)+SUMIF($U$4:$U367,CONCATENATE("StkSplit",$C367),$F$4:$F367)-SUMIF($U$4:$U367,CONCATENATE("Sell",$C367),$F$4:$F367))</f>
        <v>73</v>
      </c>
      <c r="AC367" s="3">
        <f>IF(B367="Sell",F367*INDEX(V:V,LOOKUP(2,1/(X$4:X366=CONCATENATE(C367,"_ACB")),ROW(V$4:V366))),0)</f>
        <v>0</v>
      </c>
    </row>
    <row r="368" spans="1:29" x14ac:dyDescent="0.25">
      <c r="A368" s="20">
        <v>38883</v>
      </c>
      <c r="B368" t="s">
        <v>41</v>
      </c>
      <c r="C368" t="s">
        <v>39</v>
      </c>
      <c r="D368" s="3">
        <v>7.77</v>
      </c>
      <c r="E368">
        <v>10.64</v>
      </c>
      <c r="F368" s="3">
        <v>0.73</v>
      </c>
      <c r="M368" s="21">
        <f t="shared" si="47"/>
        <v>7.77</v>
      </c>
      <c r="N368" s="8">
        <f t="shared" si="45"/>
        <v>-7.77</v>
      </c>
      <c r="O368" s="25">
        <f t="shared" si="48"/>
        <v>7894.8999999999987</v>
      </c>
      <c r="P368" s="8">
        <f t="shared" si="49"/>
        <v>0</v>
      </c>
      <c r="Q368" s="4">
        <f>IF(AND(S368&gt;=[1]eRRSP_Rpt!$C$6,S368&lt;=[1]eRRSP_Rpt!$C$7),1,0)</f>
        <v>0</v>
      </c>
      <c r="R368" s="4"/>
      <c r="S368" s="4">
        <f t="shared" si="46"/>
        <v>2006</v>
      </c>
      <c r="T368" s="4"/>
      <c r="U368" s="4" t="str">
        <f t="shared" si="50"/>
        <v>ReinvDivTrimark Income Growth</v>
      </c>
      <c r="V368" s="23">
        <f>IFERROR(IF(AND(AB368&gt;0,B368&lt;&gt;"Sell"),(AA368-SUMIF(C$4:C367,C368,AC$4:AC368))/AB368,0),"")</f>
        <v>-8.0964738353187524</v>
      </c>
      <c r="W368" s="24" t="str">
        <f t="shared" si="44"/>
        <v/>
      </c>
      <c r="X368" s="25" t="str">
        <f t="shared" si="43"/>
        <v>Trimark Income Growth_ACB</v>
      </c>
      <c r="Y368" s="10" t="str">
        <f>IF(S369&lt;&gt;eRRSP_Tx_Table[[#This Row],[Year]],SUMIFS($W$4:$W368,$S$4:$S368,eRRSP_Tx_Table[[#This Row],[Year]],$W$4:$W368,"&gt;0"),"")</f>
        <v/>
      </c>
      <c r="Z368" s="10" t="str">
        <f>IF(S369&lt;&gt;eRRSP_Tx_Table[[#This Row],[Year]],SUMIFS($W$4:$W368,$S$4:$S368,eRRSP_Tx_Table[[#This Row],[Year]],$W$4:$W368,"&lt;0"),"")</f>
        <v/>
      </c>
      <c r="AA368" s="3">
        <f>(SUMIF($U$4:$U368,CONCATENATE("Buy",$C368),$N$4:$N368)+SUMIF($U$4:$U368,CONCATENATE("ReinvDiv",$C368),$N$4:$N368))</f>
        <v>-2552.13</v>
      </c>
      <c r="AB368" s="3">
        <f>(SUMIF($U$4:$U368,CONCATENATE("Buy",$C368),$F$4:$F368)+SUMIF($U$4:$U368,CONCATENATE("ReinvDiv",$C368),$F$4:$F368)+SUMIF($U$4:$U368,CONCATENATE("StkSplit",$C368),$F$4:$F368)-SUMIF($U$4:$U368,CONCATENATE("Sell",$C368),$F$4:$F368))</f>
        <v>315.21499999999997</v>
      </c>
      <c r="AC368" s="3">
        <f>IF(B368="Sell",F368*INDEX(V:V,LOOKUP(2,1/(X$4:X367=CONCATENATE(C368,"_ACB")),ROW(V$4:V367))),0)</f>
        <v>0</v>
      </c>
    </row>
    <row r="369" spans="1:29" x14ac:dyDescent="0.25">
      <c r="A369" s="20">
        <v>38884</v>
      </c>
      <c r="B369" t="s">
        <v>43</v>
      </c>
      <c r="C369" t="s">
        <v>36</v>
      </c>
      <c r="D369" s="3">
        <v>9.4700000000000006</v>
      </c>
      <c r="M369" s="21">
        <f t="shared" si="47"/>
        <v>9.4700000000000006</v>
      </c>
      <c r="N369" s="8">
        <f t="shared" si="45"/>
        <v>9.4700000000000006</v>
      </c>
      <c r="O369" s="25">
        <f t="shared" si="48"/>
        <v>7904.369999999999</v>
      </c>
      <c r="P369" s="8">
        <f t="shared" si="49"/>
        <v>0</v>
      </c>
      <c r="Q369" s="4">
        <f>IF(AND(S369&gt;=[1]eRRSP_Rpt!$C$6,S369&lt;=[1]eRRSP_Rpt!$C$7),1,0)</f>
        <v>0</v>
      </c>
      <c r="R369" s="4"/>
      <c r="S369" s="4">
        <f t="shared" si="46"/>
        <v>2006</v>
      </c>
      <c r="T369" s="4"/>
      <c r="U369" s="4" t="str">
        <f t="shared" si="50"/>
        <v>IntIncTDW</v>
      </c>
      <c r="V369" s="23">
        <f>IFERROR(IF(AND(AB369&gt;0,B369&lt;&gt;"Sell"),(AA369-SUMIF(C$4:C368,C369,AC$4:AC369))/AB369,0),"")</f>
        <v>0</v>
      </c>
      <c r="W369" s="24" t="str">
        <f t="shared" si="44"/>
        <v/>
      </c>
      <c r="X369" s="25" t="str">
        <f t="shared" si="43"/>
        <v/>
      </c>
      <c r="Y369" s="10" t="str">
        <f>IF(S370&lt;&gt;eRRSP_Tx_Table[[#This Row],[Year]],SUMIFS($W$4:$W369,$S$4:$S369,eRRSP_Tx_Table[[#This Row],[Year]],$W$4:$W369,"&gt;0"),"")</f>
        <v/>
      </c>
      <c r="Z369" s="10" t="str">
        <f>IF(S370&lt;&gt;eRRSP_Tx_Table[[#This Row],[Year]],SUMIFS($W$4:$W369,$S$4:$S369,eRRSP_Tx_Table[[#This Row],[Year]],$W$4:$W369,"&lt;0"),"")</f>
        <v/>
      </c>
      <c r="AA369" s="3">
        <f>(SUMIF($U$4:$U369,CONCATENATE("Buy",$C369),$N$4:$N369)+SUMIF($U$4:$U369,CONCATENATE("ReinvDiv",$C369),$N$4:$N369))</f>
        <v>0</v>
      </c>
      <c r="AB369" s="3">
        <f>(SUMIF($U$4:$U369,CONCATENATE("Buy",$C369),$F$4:$F369)+SUMIF($U$4:$U369,CONCATENATE("ReinvDiv",$C369),$F$4:$F369)+SUMIF($U$4:$U369,CONCATENATE("StkSplit",$C369),$F$4:$F369)-SUMIF($U$4:$U369,CONCATENATE("Sell",$C369),$F$4:$F369))</f>
        <v>0</v>
      </c>
      <c r="AC369" s="3">
        <f>IF(B369="Sell",F369*INDEX(V:V,LOOKUP(2,1/(X$4:X368=CONCATENATE(C369,"_ACB")),ROW(V$4:V368))),0)</f>
        <v>0</v>
      </c>
    </row>
    <row r="370" spans="1:29" x14ac:dyDescent="0.25">
      <c r="A370" s="20">
        <v>38897</v>
      </c>
      <c r="B370" t="s">
        <v>41</v>
      </c>
      <c r="C370" t="s">
        <v>62</v>
      </c>
      <c r="D370" s="3">
        <v>102.91</v>
      </c>
      <c r="E370">
        <v>14.949157</v>
      </c>
      <c r="F370" s="3">
        <v>6.8840000000000003</v>
      </c>
      <c r="M370" s="21">
        <f t="shared" si="47"/>
        <v>102.91</v>
      </c>
      <c r="N370" s="8">
        <f t="shared" si="45"/>
        <v>-102.91</v>
      </c>
      <c r="O370" s="25">
        <f t="shared" si="48"/>
        <v>7904.369999999999</v>
      </c>
      <c r="P370" s="8">
        <f t="shared" si="49"/>
        <v>0</v>
      </c>
      <c r="Q370" s="4">
        <f>IF(AND(S370&gt;=[1]eRRSP_Rpt!$C$6,S370&lt;=[1]eRRSP_Rpt!$C$7),1,0)</f>
        <v>0</v>
      </c>
      <c r="R370" s="4"/>
      <c r="S370" s="4">
        <f t="shared" si="46"/>
        <v>2006</v>
      </c>
      <c r="T370" s="4"/>
      <c r="U370" s="4" t="str">
        <f t="shared" si="50"/>
        <v>ReinvDivTD RR Bond</v>
      </c>
      <c r="V370" s="23">
        <f>IFERROR(IF(AND(AB370&gt;0,B370&lt;&gt;"Sell"),(AA370-SUMIF(C$4:C369,C370,AC$4:AC370))/AB370,0),"")</f>
        <v>-14.480813840386977</v>
      </c>
      <c r="W370" s="24" t="str">
        <f t="shared" si="44"/>
        <v/>
      </c>
      <c r="X370" s="25" t="str">
        <f t="shared" si="43"/>
        <v>TD RR Bond_ACB</v>
      </c>
      <c r="Y370" s="10" t="str">
        <f>IF(S371&lt;&gt;eRRSP_Tx_Table[[#This Row],[Year]],SUMIFS($W$4:$W370,$S$4:$S370,eRRSP_Tx_Table[[#This Row],[Year]],$W$4:$W370,"&gt;0"),"")</f>
        <v/>
      </c>
      <c r="Z370" s="10" t="str">
        <f>IF(S371&lt;&gt;eRRSP_Tx_Table[[#This Row],[Year]],SUMIFS($W$4:$W370,$S$4:$S370,eRRSP_Tx_Table[[#This Row],[Year]],$W$4:$W370,"&lt;0"),"")</f>
        <v/>
      </c>
      <c r="AA370" s="3">
        <f>(SUMIF($U$4:$U370,CONCATENATE("Buy",$C370),$N$4:$N370)+SUMIF($U$4:$U370,CONCATENATE("ReinvDiv",$C370),$N$4:$N370))</f>
        <v>-8858.16</v>
      </c>
      <c r="AB370" s="3">
        <f>(SUMIF($U$4:$U370,CONCATENATE("Buy",$C370),$F$4:$F370)+SUMIF($U$4:$U370,CONCATENATE("ReinvDiv",$C370),$F$4:$F370)+SUMIF($U$4:$U370,CONCATENATE("StkSplit",$C370),$F$4:$F370)-SUMIF($U$4:$U370,CONCATENATE("Sell",$C370),$F$4:$F370))</f>
        <v>611.71699999999998</v>
      </c>
      <c r="AC370" s="3">
        <f>IF(B370="Sell",F370*INDEX(V:V,LOOKUP(2,1/(X$4:X369=CONCATENATE(C370,"_ACB")),ROW(V$4:V369))),0)</f>
        <v>0</v>
      </c>
    </row>
    <row r="371" spans="1:29" x14ac:dyDescent="0.25">
      <c r="A371" s="20">
        <v>38898</v>
      </c>
      <c r="B371" t="s">
        <v>42</v>
      </c>
      <c r="C371" t="s">
        <v>72</v>
      </c>
      <c r="D371" s="3">
        <v>60.48</v>
      </c>
      <c r="M371" s="21">
        <f t="shared" si="47"/>
        <v>60.48</v>
      </c>
      <c r="N371" s="8">
        <f t="shared" si="45"/>
        <v>60.48</v>
      </c>
      <c r="O371" s="25">
        <f t="shared" si="48"/>
        <v>7964.8499999999985</v>
      </c>
      <c r="P371" s="8">
        <f t="shared" si="49"/>
        <v>0</v>
      </c>
      <c r="Q371" s="4">
        <f>IF(AND(S371&gt;=[1]eRRSP_Rpt!$C$6,S371&lt;=[1]eRRSP_Rpt!$C$7),1,0)</f>
        <v>0</v>
      </c>
      <c r="R371" s="4"/>
      <c r="S371" s="4">
        <f t="shared" si="46"/>
        <v>2006</v>
      </c>
      <c r="T371" s="4"/>
      <c r="U371" s="4" t="str">
        <f t="shared" si="50"/>
        <v>DivIunits GOC 5Yr Bond</v>
      </c>
      <c r="V371" s="23">
        <f>IFERROR(IF(AND(AB371&gt;0,B371&lt;&gt;"Sell"),(AA371-SUMIF(C$4:C370,C371,AC$4:AC371))/AB371,0),"")</f>
        <v>-28.945</v>
      </c>
      <c r="W371" s="24" t="str">
        <f t="shared" si="44"/>
        <v/>
      </c>
      <c r="X371" s="25" t="str">
        <f t="shared" si="43"/>
        <v>Iunits GOC 5Yr Bond_ACB</v>
      </c>
      <c r="Y371" s="10" t="str">
        <f>IF(S372&lt;&gt;eRRSP_Tx_Table[[#This Row],[Year]],SUMIFS($W$4:$W371,$S$4:$S371,eRRSP_Tx_Table[[#This Row],[Year]],$W$4:$W371,"&gt;0"),"")</f>
        <v/>
      </c>
      <c r="Z371" s="10" t="str">
        <f>IF(S372&lt;&gt;eRRSP_Tx_Table[[#This Row],[Year]],SUMIFS($W$4:$W371,$S$4:$S371,eRRSP_Tx_Table[[#This Row],[Year]],$W$4:$W371,"&lt;0"),"")</f>
        <v/>
      </c>
      <c r="AA371" s="3">
        <f>(SUMIF($U$4:$U371,CONCATENATE("Buy",$C371),$N$4:$N371)+SUMIF($U$4:$U371,CONCATENATE("ReinvDiv",$C371),$N$4:$N371))</f>
        <v>-5789</v>
      </c>
      <c r="AB371" s="3">
        <f>(SUMIF($U$4:$U371,CONCATENATE("Buy",$C371),$F$4:$F371)+SUMIF($U$4:$U371,CONCATENATE("ReinvDiv",$C371),$F$4:$F371)+SUMIF($U$4:$U371,CONCATENATE("StkSplit",$C371),$F$4:$F371)-SUMIF($U$4:$U371,CONCATENATE("Sell",$C371),$F$4:$F371))</f>
        <v>200</v>
      </c>
      <c r="AC371" s="3">
        <f>IF(B371="Sell",F371*INDEX(V:V,LOOKUP(2,1/(X$4:X370=CONCATENATE(C371,"_ACB")),ROW(V$4:V370))),0)</f>
        <v>0</v>
      </c>
    </row>
    <row r="372" spans="1:29" x14ac:dyDescent="0.25">
      <c r="A372" s="20">
        <v>38909</v>
      </c>
      <c r="B372" t="s">
        <v>40</v>
      </c>
      <c r="C372" t="s">
        <v>72</v>
      </c>
      <c r="D372" s="3">
        <v>3249.04</v>
      </c>
      <c r="E372">
        <v>27.78</v>
      </c>
      <c r="F372" s="3">
        <v>118</v>
      </c>
      <c r="G372">
        <v>29</v>
      </c>
      <c r="M372" s="21">
        <f t="shared" si="47"/>
        <v>3278.04</v>
      </c>
      <c r="N372" s="8">
        <f t="shared" si="45"/>
        <v>3249.04</v>
      </c>
      <c r="O372" s="25">
        <f t="shared" si="48"/>
        <v>11213.89</v>
      </c>
      <c r="P372" s="8">
        <f t="shared" si="49"/>
        <v>0</v>
      </c>
      <c r="Q372" s="4">
        <f>IF(AND(S372&gt;=[1]eRRSP_Rpt!$C$6,S372&lt;=[1]eRRSP_Rpt!$C$7),1,0)</f>
        <v>0</v>
      </c>
      <c r="R372" s="4"/>
      <c r="S372" s="4">
        <f t="shared" si="46"/>
        <v>2006</v>
      </c>
      <c r="T372" s="4"/>
      <c r="U372" s="4" t="str">
        <f t="shared" si="50"/>
        <v>SellIunits GOC 5Yr Bond</v>
      </c>
      <c r="V372" s="23">
        <f>IFERROR(IF(AND(AB372&gt;0,B372&lt;&gt;"Sell"),(AA372-SUMIF(C$4:C371,C372,AC$4:AC372))/AB372,0),"")</f>
        <v>0</v>
      </c>
      <c r="W372" s="24">
        <f t="shared" si="44"/>
        <v>-166.47000000000025</v>
      </c>
      <c r="X372" s="25" t="str">
        <f t="shared" si="43"/>
        <v/>
      </c>
      <c r="Y372" s="10" t="str">
        <f>IF(S373&lt;&gt;eRRSP_Tx_Table[[#This Row],[Year]],SUMIFS($W$4:$W372,$S$4:$S372,eRRSP_Tx_Table[[#This Row],[Year]],$W$4:$W372,"&gt;0"),"")</f>
        <v/>
      </c>
      <c r="Z372" s="10" t="str">
        <f>IF(S373&lt;&gt;eRRSP_Tx_Table[[#This Row],[Year]],SUMIFS($W$4:$W372,$S$4:$S372,eRRSP_Tx_Table[[#This Row],[Year]],$W$4:$W372,"&lt;0"),"")</f>
        <v/>
      </c>
      <c r="AA372" s="3">
        <f>(SUMIF($U$4:$U372,CONCATENATE("Buy",$C372),$N$4:$N372)+SUMIF($U$4:$U372,CONCATENATE("ReinvDiv",$C372),$N$4:$N372))</f>
        <v>-5789</v>
      </c>
      <c r="AB372" s="3">
        <f>(SUMIF($U$4:$U372,CONCATENATE("Buy",$C372),$F$4:$F372)+SUMIF($U$4:$U372,CONCATENATE("ReinvDiv",$C372),$F$4:$F372)+SUMIF($U$4:$U372,CONCATENATE("StkSplit",$C372),$F$4:$F372)-SUMIF($U$4:$U372,CONCATENATE("Sell",$C372),$F$4:$F372))</f>
        <v>82</v>
      </c>
      <c r="AC372" s="3">
        <f>IF(B372="Sell",F372*INDEX(V:V,LOOKUP(2,1/(X$4:X371=CONCATENATE(C372,"_ACB")),ROW(V$4:V371))),0)</f>
        <v>-3415.51</v>
      </c>
    </row>
    <row r="373" spans="1:29" x14ac:dyDescent="0.25">
      <c r="A373" s="20">
        <v>38909</v>
      </c>
      <c r="B373" t="s">
        <v>40</v>
      </c>
      <c r="C373" t="s">
        <v>71</v>
      </c>
      <c r="D373" s="3">
        <v>5000</v>
      </c>
      <c r="E373">
        <v>6.4889979999999996</v>
      </c>
      <c r="F373" s="3">
        <v>770.53499999999997</v>
      </c>
      <c r="M373" s="21">
        <f t="shared" si="47"/>
        <v>5000</v>
      </c>
      <c r="N373" s="8">
        <f t="shared" si="45"/>
        <v>5000</v>
      </c>
      <c r="O373" s="25">
        <f t="shared" si="48"/>
        <v>16213.89</v>
      </c>
      <c r="P373" s="8">
        <f t="shared" si="49"/>
        <v>0</v>
      </c>
      <c r="Q373" s="4">
        <f>IF(AND(S373&gt;=[1]eRRSP_Rpt!$C$6,S373&lt;=[1]eRRSP_Rpt!$C$7),1,0)</f>
        <v>0</v>
      </c>
      <c r="R373" s="4"/>
      <c r="S373" s="4">
        <f t="shared" si="46"/>
        <v>2006</v>
      </c>
      <c r="T373" s="4"/>
      <c r="U373" s="4" t="str">
        <f t="shared" si="50"/>
        <v>SellFront St SmallCap</v>
      </c>
      <c r="V373" s="23">
        <f>IFERROR(IF(AND(AB373&gt;0,B373&lt;&gt;"Sell"),(AA373-SUMIF(C$4:C372,C373,AC$4:AC373))/AB373,0),"")</f>
        <v>0</v>
      </c>
      <c r="W373" s="24">
        <f t="shared" si="44"/>
        <v>1356.4094540209121</v>
      </c>
      <c r="X373" s="25" t="str">
        <f t="shared" si="43"/>
        <v/>
      </c>
      <c r="Y373" s="10" t="str">
        <f>IF(S374&lt;&gt;eRRSP_Tx_Table[[#This Row],[Year]],SUMIFS($W$4:$W373,$S$4:$S373,eRRSP_Tx_Table[[#This Row],[Year]],$W$4:$W373,"&gt;0"),"")</f>
        <v/>
      </c>
      <c r="Z373" s="10" t="str">
        <f>IF(S374&lt;&gt;eRRSP_Tx_Table[[#This Row],[Year]],SUMIFS($W$4:$W373,$S$4:$S373,eRRSP_Tx_Table[[#This Row],[Year]],$W$4:$W373,"&lt;0"),"")</f>
        <v/>
      </c>
      <c r="AA373" s="3">
        <f>(SUMIF($U$4:$U373,CONCATENATE("Buy",$C373),$N$4:$N373)+SUMIF($U$4:$U373,CONCATENATE("ReinvDiv",$C373),$N$4:$N373))</f>
        <v>-8506.7000000000007</v>
      </c>
      <c r="AB373" s="3">
        <f>(SUMIF($U$4:$U373,CONCATENATE("Buy",$C373),$F$4:$F373)+SUMIF($U$4:$U373,CONCATENATE("ReinvDiv",$C373),$F$4:$F373)+SUMIF($U$4:$U373,CONCATENATE("StkSplit",$C373),$F$4:$F373)-SUMIF($U$4:$U373,CONCATENATE("Sell",$C373),$F$4:$F373))</f>
        <v>1028.4349999999999</v>
      </c>
      <c r="AC373" s="3">
        <f>IF(B373="Sell",F373*INDEX(V:V,LOOKUP(2,1/(X$4:X372=CONCATENATE(C373,"_ACB")),ROW(V$4:V372))),0)</f>
        <v>-3643.5905459790879</v>
      </c>
    </row>
    <row r="374" spans="1:29" x14ac:dyDescent="0.25">
      <c r="A374" s="20">
        <v>38909</v>
      </c>
      <c r="B374" t="s">
        <v>40</v>
      </c>
      <c r="C374" t="s">
        <v>74</v>
      </c>
      <c r="D374" s="3">
        <v>2107.1999999999998</v>
      </c>
      <c r="E374">
        <v>8.9919860000000007</v>
      </c>
      <c r="F374" s="3">
        <v>234.34200000000001</v>
      </c>
      <c r="M374" s="21">
        <f t="shared" si="47"/>
        <v>2107.1999999999998</v>
      </c>
      <c r="N374" s="8">
        <f t="shared" si="45"/>
        <v>2107.1999999999998</v>
      </c>
      <c r="O374" s="25">
        <f t="shared" si="48"/>
        <v>18321.09</v>
      </c>
      <c r="P374" s="8">
        <f t="shared" si="49"/>
        <v>0</v>
      </c>
      <c r="Q374" s="4">
        <f>IF(AND(S374&gt;=[1]eRRSP_Rpt!$C$6,S374&lt;=[1]eRRSP_Rpt!$C$7),1,0)</f>
        <v>0</v>
      </c>
      <c r="R374" s="4"/>
      <c r="S374" s="4">
        <f t="shared" si="46"/>
        <v>2006</v>
      </c>
      <c r="T374" s="4"/>
      <c r="U374" s="4" t="str">
        <f t="shared" si="50"/>
        <v>SellTrimark Euro Plus</v>
      </c>
      <c r="V374" s="23">
        <f>IFERROR(IF(AND(AB374&gt;0,B374&lt;&gt;"Sell"),(AA374-SUMIF(C$4:C373,C374,AC$4:AC374))/AB374,0),"")</f>
        <v>0</v>
      </c>
      <c r="W374" s="24">
        <f t="shared" si="44"/>
        <v>104.12999999999965</v>
      </c>
      <c r="X374" s="25" t="str">
        <f t="shared" si="43"/>
        <v/>
      </c>
      <c r="Y374" s="10" t="str">
        <f>IF(S375&lt;&gt;eRRSP_Tx_Table[[#This Row],[Year]],SUMIFS($W$4:$W374,$S$4:$S374,eRRSP_Tx_Table[[#This Row],[Year]],$W$4:$W374,"&gt;0"),"")</f>
        <v/>
      </c>
      <c r="Z374" s="10" t="str">
        <f>IF(S375&lt;&gt;eRRSP_Tx_Table[[#This Row],[Year]],SUMIFS($W$4:$W374,$S$4:$S374,eRRSP_Tx_Table[[#This Row],[Year]],$W$4:$W374,"&lt;0"),"")</f>
        <v/>
      </c>
      <c r="AA374" s="3">
        <f>(SUMIF($U$4:$U374,CONCATENATE("Buy",$C374),$N$4:$N374)+SUMIF($U$4:$U374,CONCATENATE("ReinvDiv",$C374),$N$4:$N374))</f>
        <v>-2003.07</v>
      </c>
      <c r="AB374" s="3">
        <f>(SUMIF($U$4:$U374,CONCATENATE("Buy",$C374),$F$4:$F374)+SUMIF($U$4:$U374,CONCATENATE("ReinvDiv",$C374),$F$4:$F374)+SUMIF($U$4:$U374,CONCATENATE("StkSplit",$C374),$F$4:$F374)-SUMIF($U$4:$U374,CONCATENATE("Sell",$C374),$F$4:$F374))</f>
        <v>0</v>
      </c>
      <c r="AC374" s="3">
        <f>IF(B374="Sell",F374*INDEX(V:V,LOOKUP(2,1/(X$4:X373=CONCATENATE(C374,"_ACB")),ROW(V$4:V373))),0)</f>
        <v>-2003.0700000000002</v>
      </c>
    </row>
    <row r="375" spans="1:29" x14ac:dyDescent="0.25">
      <c r="A375" s="20">
        <v>38911</v>
      </c>
      <c r="B375" t="s">
        <v>40</v>
      </c>
      <c r="C375" t="s">
        <v>72</v>
      </c>
      <c r="D375" s="3">
        <v>2256.34</v>
      </c>
      <c r="E375">
        <v>27.87</v>
      </c>
      <c r="F375" s="3">
        <v>82</v>
      </c>
      <c r="G375">
        <v>29</v>
      </c>
      <c r="M375" s="21">
        <f t="shared" si="47"/>
        <v>2285.34</v>
      </c>
      <c r="N375" s="8">
        <f t="shared" si="45"/>
        <v>2256.34</v>
      </c>
      <c r="O375" s="25">
        <f t="shared" si="48"/>
        <v>20577.43</v>
      </c>
      <c r="P375" s="8">
        <f t="shared" si="49"/>
        <v>0</v>
      </c>
      <c r="Q375" s="4">
        <f>IF(AND(S375&gt;=[1]eRRSP_Rpt!$C$6,S375&lt;=[1]eRRSP_Rpt!$C$7),1,0)</f>
        <v>0</v>
      </c>
      <c r="R375" s="4"/>
      <c r="S375" s="4">
        <f t="shared" si="46"/>
        <v>2006</v>
      </c>
      <c r="T375" s="4"/>
      <c r="U375" s="4" t="str">
        <f t="shared" si="50"/>
        <v>SellIunits GOC 5Yr Bond</v>
      </c>
      <c r="V375" s="23">
        <f>IFERROR(IF(AND(AB375&gt;0,B375&lt;&gt;"Sell"),(AA375-SUMIF(C$4:C374,C375,AC$4:AC375))/AB375,0),"")</f>
        <v>0</v>
      </c>
      <c r="W375" s="24">
        <f t="shared" si="44"/>
        <v>-117.15000000000009</v>
      </c>
      <c r="X375" s="25" t="str">
        <f t="shared" si="43"/>
        <v/>
      </c>
      <c r="Y375" s="10" t="str">
        <f>IF(S376&lt;&gt;eRRSP_Tx_Table[[#This Row],[Year]],SUMIFS($W$4:$W375,$S$4:$S375,eRRSP_Tx_Table[[#This Row],[Year]],$W$4:$W375,"&gt;0"),"")</f>
        <v/>
      </c>
      <c r="Z375" s="10" t="str">
        <f>IF(S376&lt;&gt;eRRSP_Tx_Table[[#This Row],[Year]],SUMIFS($W$4:$W375,$S$4:$S375,eRRSP_Tx_Table[[#This Row],[Year]],$W$4:$W375,"&lt;0"),"")</f>
        <v/>
      </c>
      <c r="AA375" s="3">
        <f>(SUMIF($U$4:$U375,CONCATENATE("Buy",$C375),$N$4:$N375)+SUMIF($U$4:$U375,CONCATENATE("ReinvDiv",$C375),$N$4:$N375))</f>
        <v>-5789</v>
      </c>
      <c r="AB375" s="3">
        <f>(SUMIF($U$4:$U375,CONCATENATE("Buy",$C375),$F$4:$F375)+SUMIF($U$4:$U375,CONCATENATE("ReinvDiv",$C375),$F$4:$F375)+SUMIF($U$4:$U375,CONCATENATE("StkSplit",$C375),$F$4:$F375)-SUMIF($U$4:$U375,CONCATENATE("Sell",$C375),$F$4:$F375))</f>
        <v>0</v>
      </c>
      <c r="AC375" s="3">
        <f>IF(B375="Sell",F375*INDEX(V:V,LOOKUP(2,1/(X$4:X374=CONCATENATE(C375,"_ACB")),ROW(V$4:V374))),0)</f>
        <v>-2373.4900000000002</v>
      </c>
    </row>
    <row r="376" spans="1:29" x14ac:dyDescent="0.25">
      <c r="A376" s="20">
        <v>38912</v>
      </c>
      <c r="B376" t="s">
        <v>41</v>
      </c>
      <c r="C376" t="s">
        <v>39</v>
      </c>
      <c r="D376" s="3">
        <v>4.3499999999999996</v>
      </c>
      <c r="E376">
        <v>10.69</v>
      </c>
      <c r="F376" s="3">
        <v>0.40699999999999997</v>
      </c>
      <c r="M376" s="21">
        <f t="shared" si="47"/>
        <v>4.3499999999999996</v>
      </c>
      <c r="N376" s="8">
        <f t="shared" si="45"/>
        <v>-4.3499999999999996</v>
      </c>
      <c r="O376" s="25">
        <f t="shared" si="48"/>
        <v>20577.43</v>
      </c>
      <c r="P376" s="8">
        <f t="shared" si="49"/>
        <v>0</v>
      </c>
      <c r="Q376" s="4">
        <f>IF(AND(S376&gt;=[1]eRRSP_Rpt!$C$6,S376&lt;=[1]eRRSP_Rpt!$C$7),1,0)</f>
        <v>0</v>
      </c>
      <c r="R376" s="4"/>
      <c r="S376" s="4">
        <f t="shared" si="46"/>
        <v>2006</v>
      </c>
      <c r="T376" s="4"/>
      <c r="U376" s="4" t="str">
        <f t="shared" si="50"/>
        <v>ReinvDivTrimark Income Growth</v>
      </c>
      <c r="V376" s="23">
        <f>IFERROR(IF(AND(AB376&gt;0,B376&lt;&gt;"Sell"),(AA376-SUMIF(C$4:C375,C376,AC$4:AC376))/AB376,0),"")</f>
        <v>-8.0998156022077037</v>
      </c>
      <c r="W376" s="24" t="str">
        <f t="shared" si="44"/>
        <v/>
      </c>
      <c r="X376" s="25" t="str">
        <f t="shared" si="43"/>
        <v>Trimark Income Growth_ACB</v>
      </c>
      <c r="Y376" s="10" t="str">
        <f>IF(S377&lt;&gt;eRRSP_Tx_Table[[#This Row],[Year]],SUMIFS($W$4:$W376,$S$4:$S376,eRRSP_Tx_Table[[#This Row],[Year]],$W$4:$W376,"&gt;0"),"")</f>
        <v/>
      </c>
      <c r="Z376" s="10" t="str">
        <f>IF(S377&lt;&gt;eRRSP_Tx_Table[[#This Row],[Year]],SUMIFS($W$4:$W376,$S$4:$S376,eRRSP_Tx_Table[[#This Row],[Year]],$W$4:$W376,"&lt;0"),"")</f>
        <v/>
      </c>
      <c r="AA376" s="3">
        <f>(SUMIF($U$4:$U376,CONCATENATE("Buy",$C376),$N$4:$N376)+SUMIF($U$4:$U376,CONCATENATE("ReinvDiv",$C376),$N$4:$N376))</f>
        <v>-2556.48</v>
      </c>
      <c r="AB376" s="3">
        <f>(SUMIF($U$4:$U376,CONCATENATE("Buy",$C376),$F$4:$F376)+SUMIF($U$4:$U376,CONCATENATE("ReinvDiv",$C376),$F$4:$F376)+SUMIF($U$4:$U376,CONCATENATE("StkSplit",$C376),$F$4:$F376)-SUMIF($U$4:$U376,CONCATENATE("Sell",$C376),$F$4:$F376))</f>
        <v>315.62200000000001</v>
      </c>
      <c r="AC376" s="3">
        <f>IF(B376="Sell",F376*INDEX(V:V,LOOKUP(2,1/(X$4:X375=CONCATENATE(C376,"_ACB")),ROW(V$4:V375))),0)</f>
        <v>0</v>
      </c>
    </row>
    <row r="377" spans="1:29" x14ac:dyDescent="0.25">
      <c r="A377" s="20">
        <v>38914</v>
      </c>
      <c r="B377" t="s">
        <v>43</v>
      </c>
      <c r="C377" t="s">
        <v>36</v>
      </c>
      <c r="D377" s="3">
        <v>14.22</v>
      </c>
      <c r="M377" s="21">
        <f t="shared" si="47"/>
        <v>14.22</v>
      </c>
      <c r="N377" s="8">
        <f t="shared" si="45"/>
        <v>14.22</v>
      </c>
      <c r="O377" s="25">
        <f t="shared" si="48"/>
        <v>20591.650000000001</v>
      </c>
      <c r="P377" s="8">
        <f t="shared" si="49"/>
        <v>0</v>
      </c>
      <c r="Q377" s="4">
        <f>IF(AND(S377&gt;=[1]eRRSP_Rpt!$C$6,S377&lt;=[1]eRRSP_Rpt!$C$7),1,0)</f>
        <v>0</v>
      </c>
      <c r="R377" s="4"/>
      <c r="S377" s="4">
        <f t="shared" si="46"/>
        <v>2006</v>
      </c>
      <c r="T377" s="4"/>
      <c r="U377" s="4" t="str">
        <f t="shared" si="50"/>
        <v>IntIncTDW</v>
      </c>
      <c r="V377" s="23">
        <f>IFERROR(IF(AND(AB377&gt;0,B377&lt;&gt;"Sell"),(AA377-SUMIF(C$4:C376,C377,AC$4:AC377))/AB377,0),"")</f>
        <v>0</v>
      </c>
      <c r="W377" s="24" t="str">
        <f t="shared" si="44"/>
        <v/>
      </c>
      <c r="X377" s="25" t="str">
        <f t="shared" si="43"/>
        <v/>
      </c>
      <c r="Y377" s="10" t="str">
        <f>IF(S378&lt;&gt;eRRSP_Tx_Table[[#This Row],[Year]],SUMIFS($W$4:$W377,$S$4:$S377,eRRSP_Tx_Table[[#This Row],[Year]],$W$4:$W377,"&gt;0"),"")</f>
        <v/>
      </c>
      <c r="Z377" s="10" t="str">
        <f>IF(S378&lt;&gt;eRRSP_Tx_Table[[#This Row],[Year]],SUMIFS($W$4:$W377,$S$4:$S377,eRRSP_Tx_Table[[#This Row],[Year]],$W$4:$W377,"&lt;0"),"")</f>
        <v/>
      </c>
      <c r="AA377" s="3">
        <f>(SUMIF($U$4:$U377,CONCATENATE("Buy",$C377),$N$4:$N377)+SUMIF($U$4:$U377,CONCATENATE("ReinvDiv",$C377),$N$4:$N377))</f>
        <v>0</v>
      </c>
      <c r="AB377" s="3">
        <f>(SUMIF($U$4:$U377,CONCATENATE("Buy",$C377),$F$4:$F377)+SUMIF($U$4:$U377,CONCATENATE("ReinvDiv",$C377),$F$4:$F377)+SUMIF($U$4:$U377,CONCATENATE("StkSplit",$C377),$F$4:$F377)-SUMIF($U$4:$U377,CONCATENATE("Sell",$C377),$F$4:$F377))</f>
        <v>0</v>
      </c>
      <c r="AC377" s="3">
        <f>IF(B377="Sell",F377*INDEX(V:V,LOOKUP(2,1/(X$4:X376=CONCATENATE(C377,"_ACB")),ROW(V$4:V376))),0)</f>
        <v>0</v>
      </c>
    </row>
    <row r="378" spans="1:29" x14ac:dyDescent="0.25">
      <c r="A378" s="20">
        <v>38916</v>
      </c>
      <c r="B378" t="s">
        <v>30</v>
      </c>
      <c r="C378" t="s">
        <v>85</v>
      </c>
      <c r="D378" s="3">
        <v>-20000</v>
      </c>
      <c r="M378" s="21">
        <f t="shared" si="47"/>
        <v>-20000</v>
      </c>
      <c r="N378" s="8">
        <f t="shared" si="45"/>
        <v>-20000</v>
      </c>
      <c r="O378" s="25">
        <f t="shared" si="48"/>
        <v>591.65000000000146</v>
      </c>
      <c r="P378" s="8">
        <f t="shared" si="49"/>
        <v>-20000</v>
      </c>
      <c r="Q378" s="4">
        <f>IF(AND(S378&gt;=[1]eRRSP_Rpt!$C$6,S378&lt;=[1]eRRSP_Rpt!$C$7),1,0)</f>
        <v>0</v>
      </c>
      <c r="R378" s="4"/>
      <c r="S378" s="4">
        <f t="shared" si="46"/>
        <v>2006</v>
      </c>
      <c r="T378" s="4"/>
      <c r="U378" s="4" t="str">
        <f t="shared" si="50"/>
        <v>CashHBP</v>
      </c>
      <c r="V378" s="23">
        <f>IFERROR(IF(AND(AB378&gt;0,B378&lt;&gt;"Sell"),(AA378-SUMIF(C$4:C377,C378,AC$4:AC378))/AB378,0),"")</f>
        <v>0</v>
      </c>
      <c r="W378" s="24" t="str">
        <f t="shared" si="44"/>
        <v/>
      </c>
      <c r="X378" s="25" t="str">
        <f t="shared" si="43"/>
        <v/>
      </c>
      <c r="Y378" s="10" t="str">
        <f>IF(S379&lt;&gt;eRRSP_Tx_Table[[#This Row],[Year]],SUMIFS($W$4:$W378,$S$4:$S378,eRRSP_Tx_Table[[#This Row],[Year]],$W$4:$W378,"&gt;0"),"")</f>
        <v/>
      </c>
      <c r="Z378" s="10" t="str">
        <f>IF(S379&lt;&gt;eRRSP_Tx_Table[[#This Row],[Year]],SUMIFS($W$4:$W378,$S$4:$S378,eRRSP_Tx_Table[[#This Row],[Year]],$W$4:$W378,"&lt;0"),"")</f>
        <v/>
      </c>
      <c r="AA378" s="3">
        <f>(SUMIF($U$4:$U378,CONCATENATE("Buy",$C378),$N$4:$N378)+SUMIF($U$4:$U378,CONCATENATE("ReinvDiv",$C378),$N$4:$N378))</f>
        <v>0</v>
      </c>
      <c r="AB378" s="3">
        <f>(SUMIF($U$4:$U378,CONCATENATE("Buy",$C378),$F$4:$F378)+SUMIF($U$4:$U378,CONCATENATE("ReinvDiv",$C378),$F$4:$F378)+SUMIF($U$4:$U378,CONCATENATE("StkSplit",$C378),$F$4:$F378)-SUMIF($U$4:$U378,CONCATENATE("Sell",$C378),$F$4:$F378))</f>
        <v>0</v>
      </c>
      <c r="AC378" s="3">
        <f>IF(B378="Sell",F378*INDEX(V:V,LOOKUP(2,1/(X$4:X377=CONCATENATE(C378,"_ACB")),ROW(V$4:V377))),0)</f>
        <v>0</v>
      </c>
    </row>
    <row r="379" spans="1:29" x14ac:dyDescent="0.25">
      <c r="A379" s="20">
        <v>38929</v>
      </c>
      <c r="B379" t="s">
        <v>42</v>
      </c>
      <c r="C379" t="s">
        <v>45</v>
      </c>
      <c r="D379" s="3">
        <v>8.8000000000000007</v>
      </c>
      <c r="M379" s="21">
        <f t="shared" si="47"/>
        <v>8.8000000000000007</v>
      </c>
      <c r="N379" s="8">
        <f t="shared" si="45"/>
        <v>8.8000000000000007</v>
      </c>
      <c r="O379" s="25">
        <f t="shared" si="48"/>
        <v>600.45000000000141</v>
      </c>
      <c r="P379" s="8">
        <f t="shared" si="49"/>
        <v>0</v>
      </c>
      <c r="Q379" s="4">
        <f>IF(AND(S379&gt;=[1]eRRSP_Rpt!$C$6,S379&lt;=[1]eRRSP_Rpt!$C$7),1,0)</f>
        <v>0</v>
      </c>
      <c r="R379" s="4"/>
      <c r="S379" s="4">
        <f t="shared" si="46"/>
        <v>2006</v>
      </c>
      <c r="T379" s="4"/>
      <c r="U379" s="4" t="str">
        <f t="shared" si="50"/>
        <v>DivTD Bank</v>
      </c>
      <c r="V379" s="23">
        <f>IFERROR(IF(AND(AB379&gt;0,B379&lt;&gt;"Sell"),(AA379-SUMIF(C$4:C378,C379,AC$4:AC379))/AB379,0),"")</f>
        <v>-44.29</v>
      </c>
      <c r="W379" s="24" t="str">
        <f t="shared" si="44"/>
        <v/>
      </c>
      <c r="X379" s="25" t="str">
        <f t="shared" si="43"/>
        <v>TD Bank_ACB</v>
      </c>
      <c r="Y379" s="10" t="str">
        <f>IF(S380&lt;&gt;eRRSP_Tx_Table[[#This Row],[Year]],SUMIFS($W$4:$W379,$S$4:$S379,eRRSP_Tx_Table[[#This Row],[Year]],$W$4:$W379,"&gt;0"),"")</f>
        <v/>
      </c>
      <c r="Z379" s="10" t="str">
        <f>IF(S380&lt;&gt;eRRSP_Tx_Table[[#This Row],[Year]],SUMIFS($W$4:$W379,$S$4:$S379,eRRSP_Tx_Table[[#This Row],[Year]],$W$4:$W379,"&lt;0"),"")</f>
        <v/>
      </c>
      <c r="AA379" s="3">
        <f>(SUMIF($U$4:$U379,CONCATENATE("Buy",$C379),$N$4:$N379)+SUMIF($U$4:$U379,CONCATENATE("ReinvDiv",$C379),$N$4:$N379))</f>
        <v>-885.8</v>
      </c>
      <c r="AB379" s="3">
        <f>(SUMIF($U$4:$U379,CONCATENATE("Buy",$C379),$F$4:$F379)+SUMIF($U$4:$U379,CONCATENATE("ReinvDiv",$C379),$F$4:$F379)+SUMIF($U$4:$U379,CONCATENATE("StkSplit",$C379),$F$4:$F379)-SUMIF($U$4:$U379,CONCATENATE("Sell",$C379),$F$4:$F379))</f>
        <v>20</v>
      </c>
      <c r="AC379" s="3">
        <f>IF(B379="Sell",F379*INDEX(V:V,LOOKUP(2,1/(X$4:X378=CONCATENATE(C379,"_ACB")),ROW(V$4:V378))),0)</f>
        <v>0</v>
      </c>
    </row>
    <row r="380" spans="1:29" x14ac:dyDescent="0.25">
      <c r="A380" s="20">
        <v>38944</v>
      </c>
      <c r="B380" t="s">
        <v>41</v>
      </c>
      <c r="C380" t="s">
        <v>39</v>
      </c>
      <c r="D380" s="3">
        <v>3.41</v>
      </c>
      <c r="E380">
        <v>10.96</v>
      </c>
      <c r="F380" s="3">
        <v>0.311</v>
      </c>
      <c r="M380" s="21">
        <f t="shared" si="47"/>
        <v>3.41</v>
      </c>
      <c r="N380" s="8">
        <f t="shared" si="45"/>
        <v>-3.41</v>
      </c>
      <c r="O380" s="25">
        <f t="shared" si="48"/>
        <v>600.45000000000141</v>
      </c>
      <c r="P380" s="8">
        <f t="shared" si="49"/>
        <v>0</v>
      </c>
      <c r="Q380" s="4">
        <f>IF(AND(S380&gt;=[1]eRRSP_Rpt!$C$6,S380&lt;=[1]eRRSP_Rpt!$C$7),1,0)</f>
        <v>0</v>
      </c>
      <c r="R380" s="4"/>
      <c r="S380" s="4">
        <f t="shared" si="46"/>
        <v>2006</v>
      </c>
      <c r="T380" s="4"/>
      <c r="U380" s="4" t="str">
        <f t="shared" si="50"/>
        <v>ReinvDivTrimark Income Growth</v>
      </c>
      <c r="V380" s="23">
        <f>IFERROR(IF(AND(AB380&gt;0,B380&lt;&gt;"Sell"),(AA380-SUMIF(C$4:C379,C380,AC$4:AC380))/AB380,0),"")</f>
        <v>-8.1026356854143131</v>
      </c>
      <c r="W380" s="24" t="str">
        <f t="shared" si="44"/>
        <v/>
      </c>
      <c r="X380" s="25" t="str">
        <f t="shared" si="43"/>
        <v>Trimark Income Growth_ACB</v>
      </c>
      <c r="Y380" s="10" t="str">
        <f>IF(S381&lt;&gt;eRRSP_Tx_Table[[#This Row],[Year]],SUMIFS($W$4:$W380,$S$4:$S380,eRRSP_Tx_Table[[#This Row],[Year]],$W$4:$W380,"&gt;0"),"")</f>
        <v/>
      </c>
      <c r="Z380" s="10" t="str">
        <f>IF(S381&lt;&gt;eRRSP_Tx_Table[[#This Row],[Year]],SUMIFS($W$4:$W380,$S$4:$S380,eRRSP_Tx_Table[[#This Row],[Year]],$W$4:$W380,"&lt;0"),"")</f>
        <v/>
      </c>
      <c r="AA380" s="3">
        <f>(SUMIF($U$4:$U380,CONCATENATE("Buy",$C380),$N$4:$N380)+SUMIF($U$4:$U380,CONCATENATE("ReinvDiv",$C380),$N$4:$N380))</f>
        <v>-2559.89</v>
      </c>
      <c r="AB380" s="3">
        <f>(SUMIF($U$4:$U380,CONCATENATE("Buy",$C380),$F$4:$F380)+SUMIF($U$4:$U380,CONCATENATE("ReinvDiv",$C380),$F$4:$F380)+SUMIF($U$4:$U380,CONCATENATE("StkSplit",$C380),$F$4:$F380)-SUMIF($U$4:$U380,CONCATENATE("Sell",$C380),$F$4:$F380))</f>
        <v>315.93299999999999</v>
      </c>
      <c r="AC380" s="3">
        <f>IF(B380="Sell",F380*INDEX(V:V,LOOKUP(2,1/(X$4:X379=CONCATENATE(C380,"_ACB")),ROW(V$4:V379))),0)</f>
        <v>0</v>
      </c>
    </row>
    <row r="381" spans="1:29" x14ac:dyDescent="0.25">
      <c r="A381" s="20">
        <v>38945</v>
      </c>
      <c r="B381" t="s">
        <v>43</v>
      </c>
      <c r="C381" t="s">
        <v>36</v>
      </c>
      <c r="D381" s="3">
        <v>2.8</v>
      </c>
      <c r="M381" s="21">
        <f t="shared" si="47"/>
        <v>2.8</v>
      </c>
      <c r="N381" s="8">
        <f t="shared" si="45"/>
        <v>2.8</v>
      </c>
      <c r="O381" s="25">
        <f t="shared" si="48"/>
        <v>603.25000000000136</v>
      </c>
      <c r="P381" s="8">
        <f t="shared" si="49"/>
        <v>0</v>
      </c>
      <c r="Q381" s="4">
        <f>IF(AND(S381&gt;=[1]eRRSP_Rpt!$C$6,S381&lt;=[1]eRRSP_Rpt!$C$7),1,0)</f>
        <v>0</v>
      </c>
      <c r="R381" s="4"/>
      <c r="S381" s="4">
        <f t="shared" si="46"/>
        <v>2006</v>
      </c>
      <c r="T381" s="4"/>
      <c r="U381" s="4" t="str">
        <f t="shared" si="50"/>
        <v>IntIncTDW</v>
      </c>
      <c r="V381" s="23">
        <f>IFERROR(IF(AND(AB381&gt;0,B381&lt;&gt;"Sell"),(AA381-SUMIF(C$4:C380,C381,AC$4:AC381))/AB381,0),"")</f>
        <v>0</v>
      </c>
      <c r="W381" s="24" t="str">
        <f t="shared" si="44"/>
        <v/>
      </c>
      <c r="X381" s="25" t="str">
        <f t="shared" si="43"/>
        <v/>
      </c>
      <c r="Y381" s="10" t="str">
        <f>IF(S382&lt;&gt;eRRSP_Tx_Table[[#This Row],[Year]],SUMIFS($W$4:$W381,$S$4:$S381,eRRSP_Tx_Table[[#This Row],[Year]],$W$4:$W381,"&gt;0"),"")</f>
        <v/>
      </c>
      <c r="Z381" s="10" t="str">
        <f>IF(S382&lt;&gt;eRRSP_Tx_Table[[#This Row],[Year]],SUMIFS($W$4:$W381,$S$4:$S381,eRRSP_Tx_Table[[#This Row],[Year]],$W$4:$W381,"&lt;0"),"")</f>
        <v/>
      </c>
      <c r="AA381" s="3">
        <f>(SUMIF($U$4:$U381,CONCATENATE("Buy",$C381),$N$4:$N381)+SUMIF($U$4:$U381,CONCATENATE("ReinvDiv",$C381),$N$4:$N381))</f>
        <v>0</v>
      </c>
      <c r="AB381" s="3">
        <f>(SUMIF($U$4:$U381,CONCATENATE("Buy",$C381),$F$4:$F381)+SUMIF($U$4:$U381,CONCATENATE("ReinvDiv",$C381),$F$4:$F381)+SUMIF($U$4:$U381,CONCATENATE("StkSplit",$C381),$F$4:$F381)-SUMIF($U$4:$U381,CONCATENATE("Sell",$C381),$F$4:$F381))</f>
        <v>0</v>
      </c>
      <c r="AC381" s="3">
        <f>IF(B381="Sell",F381*INDEX(V:V,LOOKUP(2,1/(X$4:X380=CONCATENATE(C381,"_ACB")),ROW(V$4:V380))),0)</f>
        <v>0</v>
      </c>
    </row>
    <row r="382" spans="1:29" x14ac:dyDescent="0.25">
      <c r="A382" s="20">
        <v>38961</v>
      </c>
      <c r="B382" t="s">
        <v>42</v>
      </c>
      <c r="C382" t="s">
        <v>33</v>
      </c>
      <c r="D382" s="3">
        <v>20.98</v>
      </c>
      <c r="M382" s="21">
        <f t="shared" si="47"/>
        <v>20.98</v>
      </c>
      <c r="N382" s="8">
        <f t="shared" si="45"/>
        <v>20.98</v>
      </c>
      <c r="O382" s="25">
        <f t="shared" si="48"/>
        <v>624.23000000000138</v>
      </c>
      <c r="P382" s="8">
        <f t="shared" si="49"/>
        <v>0</v>
      </c>
      <c r="Q382" s="4">
        <f>IF(AND(S382&gt;=[1]eRRSP_Rpt!$C$6,S382&lt;=[1]eRRSP_Rpt!$C$7),1,0)</f>
        <v>0</v>
      </c>
      <c r="R382" s="4"/>
      <c r="S382" s="4">
        <f t="shared" si="46"/>
        <v>2006</v>
      </c>
      <c r="T382" s="4"/>
      <c r="U382" s="4" t="str">
        <f t="shared" si="50"/>
        <v>DivEnbridge</v>
      </c>
      <c r="V382" s="23">
        <f>IFERROR(IF(AND(AB382&gt;0,B382&lt;&gt;"Sell"),(AA382-SUMIF(C$4:C381,C382,AC$4:AC382))/AB382,0),"")</f>
        <v>-12.859027777777776</v>
      </c>
      <c r="W382" s="24" t="str">
        <f t="shared" si="44"/>
        <v/>
      </c>
      <c r="X382" s="25" t="str">
        <f t="shared" si="43"/>
        <v>Enbridge_ACB</v>
      </c>
      <c r="Y382" s="10" t="str">
        <f>IF(S383&lt;&gt;eRRSP_Tx_Table[[#This Row],[Year]],SUMIFS($W$4:$W382,$S$4:$S382,eRRSP_Tx_Table[[#This Row],[Year]],$W$4:$W382,"&gt;0"),"")</f>
        <v/>
      </c>
      <c r="Z382" s="10" t="str">
        <f>IF(S383&lt;&gt;eRRSP_Tx_Table[[#This Row],[Year]],SUMIFS($W$4:$W382,$S$4:$S382,eRRSP_Tx_Table[[#This Row],[Year]],$W$4:$W382,"&lt;0"),"")</f>
        <v/>
      </c>
      <c r="AA382" s="3">
        <f>(SUMIF($U$4:$U382,CONCATENATE("Buy",$C382),$N$4:$N382)+SUMIF($U$4:$U382,CONCATENATE("ReinvDiv",$C382),$N$4:$N382))</f>
        <v>-1851.7</v>
      </c>
      <c r="AB382" s="3">
        <f>(SUMIF($U$4:$U382,CONCATENATE("Buy",$C382),$F$4:$F382)+SUMIF($U$4:$U382,CONCATENATE("ReinvDiv",$C382),$F$4:$F382)+SUMIF($U$4:$U382,CONCATENATE("StkSplit",$C382),$F$4:$F382)-SUMIF($U$4:$U382,CONCATENATE("Sell",$C382),$F$4:$F382))</f>
        <v>73</v>
      </c>
      <c r="AC382" s="3">
        <f>IF(B382="Sell",F382*INDEX(V:V,LOOKUP(2,1/(X$4:X381=CONCATENATE(C382,"_ACB")),ROW(V$4:V381))),0)</f>
        <v>0</v>
      </c>
    </row>
    <row r="383" spans="1:29" x14ac:dyDescent="0.25">
      <c r="A383" s="20">
        <v>38975</v>
      </c>
      <c r="B383" t="s">
        <v>41</v>
      </c>
      <c r="C383" t="s">
        <v>39</v>
      </c>
      <c r="D383" s="3">
        <v>7.39</v>
      </c>
      <c r="E383">
        <v>11.21</v>
      </c>
      <c r="F383" s="3">
        <v>0.65900000000000003</v>
      </c>
      <c r="M383" s="21">
        <f t="shared" si="47"/>
        <v>7.39</v>
      </c>
      <c r="N383" s="8">
        <f t="shared" si="45"/>
        <v>-7.39</v>
      </c>
      <c r="O383" s="25">
        <f t="shared" si="48"/>
        <v>624.23000000000138</v>
      </c>
      <c r="P383" s="8">
        <f t="shared" si="49"/>
        <v>0</v>
      </c>
      <c r="Q383" s="4">
        <f>IF(AND(S383&gt;=[1]eRRSP_Rpt!$C$6,S383&lt;=[1]eRRSP_Rpt!$C$7),1,0)</f>
        <v>0</v>
      </c>
      <c r="R383" s="4"/>
      <c r="S383" s="4">
        <f t="shared" si="46"/>
        <v>2006</v>
      </c>
      <c r="T383" s="4"/>
      <c r="U383" s="4" t="str">
        <f t="shared" si="50"/>
        <v>ReinvDivTrimark Income Growth</v>
      </c>
      <c r="V383" s="23">
        <f>IFERROR(IF(AND(AB383&gt;0,B383&lt;&gt;"Sell"),(AA383-SUMIF(C$4:C382,C383,AC$4:AC383))/AB383,0),"")</f>
        <v>-8.1091120432607262</v>
      </c>
      <c r="W383" s="24" t="str">
        <f t="shared" si="44"/>
        <v/>
      </c>
      <c r="X383" s="25" t="str">
        <f t="shared" si="43"/>
        <v>Trimark Income Growth_ACB</v>
      </c>
      <c r="Y383" s="10" t="str">
        <f>IF(S384&lt;&gt;eRRSP_Tx_Table[[#This Row],[Year]],SUMIFS($W$4:$W383,$S$4:$S383,eRRSP_Tx_Table[[#This Row],[Year]],$W$4:$W383,"&gt;0"),"")</f>
        <v/>
      </c>
      <c r="Z383" s="10" t="str">
        <f>IF(S384&lt;&gt;eRRSP_Tx_Table[[#This Row],[Year]],SUMIFS($W$4:$W383,$S$4:$S383,eRRSP_Tx_Table[[#This Row],[Year]],$W$4:$W383,"&lt;0"),"")</f>
        <v/>
      </c>
      <c r="AA383" s="3">
        <f>(SUMIF($U$4:$U383,CONCATENATE("Buy",$C383),$N$4:$N383)+SUMIF($U$4:$U383,CONCATENATE("ReinvDiv",$C383),$N$4:$N383))</f>
        <v>-2567.2799999999997</v>
      </c>
      <c r="AB383" s="3">
        <f>(SUMIF($U$4:$U383,CONCATENATE("Buy",$C383),$F$4:$F383)+SUMIF($U$4:$U383,CONCATENATE("ReinvDiv",$C383),$F$4:$F383)+SUMIF($U$4:$U383,CONCATENATE("StkSplit",$C383),$F$4:$F383)-SUMIF($U$4:$U383,CONCATENATE("Sell",$C383),$F$4:$F383))</f>
        <v>316.59199999999998</v>
      </c>
      <c r="AC383" s="3">
        <f>IF(B383="Sell",F383*INDEX(V:V,LOOKUP(2,1/(X$4:X382=CONCATENATE(C383,"_ACB")),ROW(V$4:V382))),0)</f>
        <v>0</v>
      </c>
    </row>
    <row r="384" spans="1:29" x14ac:dyDescent="0.25">
      <c r="A384" s="20">
        <v>38976</v>
      </c>
      <c r="B384" t="s">
        <v>43</v>
      </c>
      <c r="C384" t="s">
        <v>36</v>
      </c>
      <c r="D384" s="3">
        <v>0.78</v>
      </c>
      <c r="M384" s="21">
        <f t="shared" si="47"/>
        <v>0.78</v>
      </c>
      <c r="N384" s="8">
        <f t="shared" si="45"/>
        <v>0.78</v>
      </c>
      <c r="O384" s="25">
        <f t="shared" si="48"/>
        <v>625.01000000000136</v>
      </c>
      <c r="P384" s="8">
        <f t="shared" si="49"/>
        <v>0</v>
      </c>
      <c r="Q384" s="4">
        <f>IF(AND(S384&gt;=[1]eRRSP_Rpt!$C$6,S384&lt;=[1]eRRSP_Rpt!$C$7),1,0)</f>
        <v>0</v>
      </c>
      <c r="R384" s="4"/>
      <c r="S384" s="4">
        <f t="shared" si="46"/>
        <v>2006</v>
      </c>
      <c r="T384" s="4"/>
      <c r="U384" s="4" t="str">
        <f t="shared" si="50"/>
        <v>IntIncTDW</v>
      </c>
      <c r="V384" s="23">
        <f>IFERROR(IF(AND(AB384&gt;0,B384&lt;&gt;"Sell"),(AA384-SUMIF(C$4:C383,C384,AC$4:AC384))/AB384,0),"")</f>
        <v>0</v>
      </c>
      <c r="W384" s="24" t="str">
        <f t="shared" si="44"/>
        <v/>
      </c>
      <c r="X384" s="25" t="str">
        <f t="shared" si="43"/>
        <v/>
      </c>
      <c r="Y384" s="10" t="str">
        <f>IF(S385&lt;&gt;eRRSP_Tx_Table[[#This Row],[Year]],SUMIFS($W$4:$W384,$S$4:$S384,eRRSP_Tx_Table[[#This Row],[Year]],$W$4:$W384,"&gt;0"),"")</f>
        <v/>
      </c>
      <c r="Z384" s="10" t="str">
        <f>IF(S385&lt;&gt;eRRSP_Tx_Table[[#This Row],[Year]],SUMIFS($W$4:$W384,$S$4:$S384,eRRSP_Tx_Table[[#This Row],[Year]],$W$4:$W384,"&lt;0"),"")</f>
        <v/>
      </c>
      <c r="AA384" s="3">
        <f>(SUMIF($U$4:$U384,CONCATENATE("Buy",$C384),$N$4:$N384)+SUMIF($U$4:$U384,CONCATENATE("ReinvDiv",$C384),$N$4:$N384))</f>
        <v>0</v>
      </c>
      <c r="AB384" s="3">
        <f>(SUMIF($U$4:$U384,CONCATENATE("Buy",$C384),$F$4:$F384)+SUMIF($U$4:$U384,CONCATENATE("ReinvDiv",$C384),$F$4:$F384)+SUMIF($U$4:$U384,CONCATENATE("StkSplit",$C384),$F$4:$F384)-SUMIF($U$4:$U384,CONCATENATE("Sell",$C384),$F$4:$F384))</f>
        <v>0</v>
      </c>
      <c r="AC384" s="3">
        <f>IF(B384="Sell",F384*INDEX(V:V,LOOKUP(2,1/(X$4:X383=CONCATENATE(C384,"_ACB")),ROW(V$4:V383))),0)</f>
        <v>0</v>
      </c>
    </row>
    <row r="385" spans="1:29" x14ac:dyDescent="0.25">
      <c r="A385" s="20">
        <v>38980</v>
      </c>
      <c r="B385" t="s">
        <v>30</v>
      </c>
      <c r="C385" t="s">
        <v>31</v>
      </c>
      <c r="D385" s="3">
        <v>5914.81</v>
      </c>
      <c r="M385" s="21">
        <f t="shared" si="47"/>
        <v>5914.81</v>
      </c>
      <c r="N385" s="8">
        <f t="shared" si="45"/>
        <v>5914.81</v>
      </c>
      <c r="O385" s="25">
        <f t="shared" si="48"/>
        <v>6539.8200000000015</v>
      </c>
      <c r="P385" s="8">
        <f t="shared" si="49"/>
        <v>5914.81</v>
      </c>
      <c r="Q385" s="4">
        <f>IF(AND(S385&gt;=[1]eRRSP_Rpt!$C$6,S385&lt;=[1]eRRSP_Rpt!$C$7),1,0)</f>
        <v>0</v>
      </c>
      <c r="R385" s="4"/>
      <c r="S385" s="4">
        <f t="shared" si="46"/>
        <v>2006</v>
      </c>
      <c r="T385" s="4"/>
      <c r="U385" s="4" t="str">
        <f t="shared" si="50"/>
        <v>CashContribution</v>
      </c>
      <c r="V385" s="23">
        <f>IFERROR(IF(AND(AB385&gt;0,B385&lt;&gt;"Sell"),(AA385-SUMIF(C$4:C384,C385,AC$4:AC385))/AB385,0),"")</f>
        <v>0</v>
      </c>
      <c r="W385" s="24" t="str">
        <f t="shared" si="44"/>
        <v/>
      </c>
      <c r="X385" s="25" t="str">
        <f t="shared" si="43"/>
        <v/>
      </c>
      <c r="Y385" s="10" t="str">
        <f>IF(S386&lt;&gt;eRRSP_Tx_Table[[#This Row],[Year]],SUMIFS($W$4:$W385,$S$4:$S385,eRRSP_Tx_Table[[#This Row],[Year]],$W$4:$W385,"&gt;0"),"")</f>
        <v/>
      </c>
      <c r="Z385" s="10" t="str">
        <f>IF(S386&lt;&gt;eRRSP_Tx_Table[[#This Row],[Year]],SUMIFS($W$4:$W385,$S$4:$S385,eRRSP_Tx_Table[[#This Row],[Year]],$W$4:$W385,"&lt;0"),"")</f>
        <v/>
      </c>
      <c r="AA385" s="3">
        <f>(SUMIF($U$4:$U385,CONCATENATE("Buy",$C385),$N$4:$N385)+SUMIF($U$4:$U385,CONCATENATE("ReinvDiv",$C385),$N$4:$N385))</f>
        <v>0</v>
      </c>
      <c r="AB385" s="3">
        <f>(SUMIF($U$4:$U385,CONCATENATE("Buy",$C385),$F$4:$F385)+SUMIF($U$4:$U385,CONCATENATE("ReinvDiv",$C385),$F$4:$F385)+SUMIF($U$4:$U385,CONCATENATE("StkSplit",$C385),$F$4:$F385)-SUMIF($U$4:$U385,CONCATENATE("Sell",$C385),$F$4:$F385))</f>
        <v>0</v>
      </c>
      <c r="AC385" s="3">
        <f>IF(B385="Sell",F385*INDEX(V:V,LOOKUP(2,1/(X$4:X384=CONCATENATE(C385,"_ACB")),ROW(V$4:V384))),0)</f>
        <v>0</v>
      </c>
    </row>
    <row r="386" spans="1:29" x14ac:dyDescent="0.25">
      <c r="A386" s="20">
        <v>38980</v>
      </c>
      <c r="B386" t="s">
        <v>32</v>
      </c>
      <c r="C386" t="s">
        <v>86</v>
      </c>
      <c r="D386" s="3">
        <v>5914.81</v>
      </c>
      <c r="E386">
        <v>70.414400000000001</v>
      </c>
      <c r="F386" s="3">
        <v>84</v>
      </c>
      <c r="M386" s="21">
        <f t="shared" si="47"/>
        <v>5914.81</v>
      </c>
      <c r="N386" s="8">
        <f t="shared" si="45"/>
        <v>-5914.81</v>
      </c>
      <c r="O386" s="25">
        <f t="shared" si="48"/>
        <v>625.01000000000113</v>
      </c>
      <c r="P386" s="8">
        <f t="shared" si="49"/>
        <v>0</v>
      </c>
      <c r="Q386" s="4">
        <f>IF(AND(S386&gt;=[1]eRRSP_Rpt!$C$6,S386&lt;=[1]eRRSP_Rpt!$C$7),1,0)</f>
        <v>0</v>
      </c>
      <c r="R386" s="4"/>
      <c r="S386" s="4">
        <f t="shared" si="46"/>
        <v>2006</v>
      </c>
      <c r="T386" s="4"/>
      <c r="U386" s="4" t="str">
        <f t="shared" si="50"/>
        <v>BuyiShares S&amp;P SmallCap</v>
      </c>
      <c r="V386" s="23">
        <f>IFERROR(IF(AND(AB386&gt;0,B386&lt;&gt;"Sell"),(AA386-SUMIF(C$4:C385,C386,AC$4:AC386))/AB386,0),"")</f>
        <v>-70.414404761904763</v>
      </c>
      <c r="W386" s="24" t="str">
        <f t="shared" si="44"/>
        <v/>
      </c>
      <c r="X386" s="25" t="str">
        <f t="shared" si="43"/>
        <v>iShares S&amp;P SmallCap_ACB</v>
      </c>
      <c r="Y386" s="10" t="str">
        <f>IF(S387&lt;&gt;eRRSP_Tx_Table[[#This Row],[Year]],SUMIFS($W$4:$W386,$S$4:$S386,eRRSP_Tx_Table[[#This Row],[Year]],$W$4:$W386,"&gt;0"),"")</f>
        <v/>
      </c>
      <c r="Z386" s="10" t="str">
        <f>IF(S387&lt;&gt;eRRSP_Tx_Table[[#This Row],[Year]],SUMIFS($W$4:$W386,$S$4:$S386,eRRSP_Tx_Table[[#This Row],[Year]],$W$4:$W386,"&lt;0"),"")</f>
        <v/>
      </c>
      <c r="AA386" s="3">
        <f>(SUMIF($U$4:$U386,CONCATENATE("Buy",$C386),$N$4:$N386)+SUMIF($U$4:$U386,CONCATENATE("ReinvDiv",$C386),$N$4:$N386))</f>
        <v>-5914.81</v>
      </c>
      <c r="AB386" s="3">
        <f>(SUMIF($U$4:$U386,CONCATENATE("Buy",$C386),$F$4:$F386)+SUMIF($U$4:$U386,CONCATENATE("ReinvDiv",$C386),$F$4:$F386)+SUMIF($U$4:$U386,CONCATENATE("StkSplit",$C386),$F$4:$F386)-SUMIF($U$4:$U386,CONCATENATE("Sell",$C386),$F$4:$F386))</f>
        <v>84</v>
      </c>
      <c r="AC386" s="3">
        <f>IF(B386="Sell",F386*INDEX(V:V,LOOKUP(2,1/(X$4:X385=CONCATENATE(C386,"_ACB")),ROW(V$4:V385))),0)</f>
        <v>0</v>
      </c>
    </row>
    <row r="387" spans="1:29" x14ac:dyDescent="0.25">
      <c r="A387" s="20">
        <v>38988</v>
      </c>
      <c r="B387" t="s">
        <v>41</v>
      </c>
      <c r="C387" t="s">
        <v>62</v>
      </c>
      <c r="D387" s="3">
        <v>65.27</v>
      </c>
      <c r="E387">
        <v>15.368494999999999</v>
      </c>
      <c r="F387" s="3">
        <v>4.2469999999999999</v>
      </c>
      <c r="M387" s="21">
        <f t="shared" si="47"/>
        <v>65.27</v>
      </c>
      <c r="N387" s="8">
        <f t="shared" si="45"/>
        <v>-65.27</v>
      </c>
      <c r="O387" s="25">
        <f t="shared" si="48"/>
        <v>625.01000000000113</v>
      </c>
      <c r="P387" s="8">
        <f t="shared" si="49"/>
        <v>0</v>
      </c>
      <c r="Q387" s="4">
        <f>IF(AND(S387&gt;=[1]eRRSP_Rpt!$C$6,S387&lt;=[1]eRRSP_Rpt!$C$7),1,0)</f>
        <v>0</v>
      </c>
      <c r="R387" s="4"/>
      <c r="S387" s="4">
        <f t="shared" si="46"/>
        <v>2006</v>
      </c>
      <c r="T387" s="4"/>
      <c r="U387" s="4" t="str">
        <f t="shared" si="50"/>
        <v>ReinvDivTD RR Bond</v>
      </c>
      <c r="V387" s="23">
        <f>IFERROR(IF(AND(AB387&gt;0,B387&lt;&gt;"Sell"),(AA387-SUMIF(C$4:C386,C387,AC$4:AC387))/AB387,0),"")</f>
        <v>-14.486934301355273</v>
      </c>
      <c r="W387" s="24" t="str">
        <f t="shared" si="44"/>
        <v/>
      </c>
      <c r="X387" s="25" t="str">
        <f t="shared" si="43"/>
        <v>TD RR Bond_ACB</v>
      </c>
      <c r="Y387" s="10" t="str">
        <f>IF(S388&lt;&gt;eRRSP_Tx_Table[[#This Row],[Year]],SUMIFS($W$4:$W387,$S$4:$S387,eRRSP_Tx_Table[[#This Row],[Year]],$W$4:$W387,"&gt;0"),"")</f>
        <v/>
      </c>
      <c r="Z387" s="10" t="str">
        <f>IF(S388&lt;&gt;eRRSP_Tx_Table[[#This Row],[Year]],SUMIFS($W$4:$W387,$S$4:$S387,eRRSP_Tx_Table[[#This Row],[Year]],$W$4:$W387,"&lt;0"),"")</f>
        <v/>
      </c>
      <c r="AA387" s="3">
        <f>(SUMIF($U$4:$U387,CONCATENATE("Buy",$C387),$N$4:$N387)+SUMIF($U$4:$U387,CONCATENATE("ReinvDiv",$C387),$N$4:$N387))</f>
        <v>-8923.43</v>
      </c>
      <c r="AB387" s="3">
        <f>(SUMIF($U$4:$U387,CONCATENATE("Buy",$C387),$F$4:$F387)+SUMIF($U$4:$U387,CONCATENATE("ReinvDiv",$C387),$F$4:$F387)+SUMIF($U$4:$U387,CONCATENATE("StkSplit",$C387),$F$4:$F387)-SUMIF($U$4:$U387,CONCATENATE("Sell",$C387),$F$4:$F387))</f>
        <v>615.96400000000006</v>
      </c>
      <c r="AC387" s="3">
        <f>IF(B387="Sell",F387*INDEX(V:V,LOOKUP(2,1/(X$4:X386=CONCATENATE(C387,"_ACB")),ROW(V$4:V386))),0)</f>
        <v>0</v>
      </c>
    </row>
    <row r="388" spans="1:29" x14ac:dyDescent="0.25">
      <c r="A388" s="20">
        <v>38993</v>
      </c>
      <c r="B388" t="s">
        <v>42</v>
      </c>
      <c r="C388" t="s">
        <v>86</v>
      </c>
      <c r="D388" s="3">
        <v>11.75</v>
      </c>
      <c r="M388" s="21">
        <f t="shared" si="47"/>
        <v>11.75</v>
      </c>
      <c r="N388" s="8">
        <f t="shared" si="45"/>
        <v>11.75</v>
      </c>
      <c r="O388" s="25">
        <f t="shared" si="48"/>
        <v>636.76000000000113</v>
      </c>
      <c r="P388" s="8">
        <f t="shared" si="49"/>
        <v>0</v>
      </c>
      <c r="Q388" s="4">
        <f>IF(AND(S388&gt;=[1]eRRSP_Rpt!$C$6,S388&lt;=[1]eRRSP_Rpt!$C$7),1,0)</f>
        <v>0</v>
      </c>
      <c r="R388" s="4"/>
      <c r="S388" s="4">
        <f t="shared" si="46"/>
        <v>2006</v>
      </c>
      <c r="T388" s="4"/>
      <c r="U388" s="4" t="str">
        <f t="shared" si="50"/>
        <v>DiviShares S&amp;P SmallCap</v>
      </c>
      <c r="V388" s="23">
        <f>IFERROR(IF(AND(AB388&gt;0,B388&lt;&gt;"Sell"),(AA388-SUMIF(C$4:C387,C388,AC$4:AC388))/AB388,0),"")</f>
        <v>-70.414404761904763</v>
      </c>
      <c r="W388" s="24" t="str">
        <f t="shared" si="44"/>
        <v/>
      </c>
      <c r="X388" s="25" t="str">
        <f t="shared" ref="X388:X451" si="51">IF(V388,CONCATENATE(C388,"_ACB"),"")</f>
        <v>iShares S&amp;P SmallCap_ACB</v>
      </c>
      <c r="Y388" s="10" t="str">
        <f>IF(S389&lt;&gt;eRRSP_Tx_Table[[#This Row],[Year]],SUMIFS($W$4:$W388,$S$4:$S388,eRRSP_Tx_Table[[#This Row],[Year]],$W$4:$W388,"&gt;0"),"")</f>
        <v/>
      </c>
      <c r="Z388" s="10" t="str">
        <f>IF(S389&lt;&gt;eRRSP_Tx_Table[[#This Row],[Year]],SUMIFS($W$4:$W388,$S$4:$S388,eRRSP_Tx_Table[[#This Row],[Year]],$W$4:$W388,"&lt;0"),"")</f>
        <v/>
      </c>
      <c r="AA388" s="3">
        <f>(SUMIF($U$4:$U388,CONCATENATE("Buy",$C388),$N$4:$N388)+SUMIF($U$4:$U388,CONCATENATE("ReinvDiv",$C388),$N$4:$N388))</f>
        <v>-5914.81</v>
      </c>
      <c r="AB388" s="3">
        <f>(SUMIF($U$4:$U388,CONCATENATE("Buy",$C388),$F$4:$F388)+SUMIF($U$4:$U388,CONCATENATE("ReinvDiv",$C388),$F$4:$F388)+SUMIF($U$4:$U388,CONCATENATE("StkSplit",$C388),$F$4:$F388)-SUMIF($U$4:$U388,CONCATENATE("Sell",$C388),$F$4:$F388))</f>
        <v>84</v>
      </c>
      <c r="AC388" s="3">
        <f>IF(B388="Sell",F388*INDEX(V:V,LOOKUP(2,1/(X$4:X387=CONCATENATE(C388,"_ACB")),ROW(V$4:V387))),0)</f>
        <v>0</v>
      </c>
    </row>
    <row r="389" spans="1:29" x14ac:dyDescent="0.25">
      <c r="A389" s="20">
        <v>38996</v>
      </c>
      <c r="B389" t="s">
        <v>30</v>
      </c>
      <c r="C389" t="s">
        <v>31</v>
      </c>
      <c r="D389" s="3">
        <v>9407</v>
      </c>
      <c r="M389" s="21">
        <f t="shared" si="47"/>
        <v>9407</v>
      </c>
      <c r="N389" s="8">
        <f t="shared" si="45"/>
        <v>9407</v>
      </c>
      <c r="O389" s="25">
        <f t="shared" si="48"/>
        <v>10043.760000000002</v>
      </c>
      <c r="P389" s="8">
        <f t="shared" si="49"/>
        <v>9407</v>
      </c>
      <c r="Q389" s="4">
        <f>IF(AND(S389&gt;=[1]eRRSP_Rpt!$C$6,S389&lt;=[1]eRRSP_Rpt!$C$7),1,0)</f>
        <v>0</v>
      </c>
      <c r="R389" s="4"/>
      <c r="S389" s="4">
        <f t="shared" si="46"/>
        <v>2006</v>
      </c>
      <c r="T389" s="4"/>
      <c r="U389" s="4" t="str">
        <f t="shared" si="50"/>
        <v>CashContribution</v>
      </c>
      <c r="V389" s="23">
        <f>IFERROR(IF(AND(AB389&gt;0,B389&lt;&gt;"Sell"),(AA389-SUMIF(C$4:C388,C389,AC$4:AC389))/AB389,0),"")</f>
        <v>0</v>
      </c>
      <c r="W389" s="24" t="str">
        <f t="shared" ref="W389:W452" si="52">IF(B389="Sell",N389+AC389,"")</f>
        <v/>
      </c>
      <c r="X389" s="25" t="str">
        <f t="shared" si="51"/>
        <v/>
      </c>
      <c r="Y389" s="10" t="str">
        <f>IF(S390&lt;&gt;eRRSP_Tx_Table[[#This Row],[Year]],SUMIFS($W$4:$W389,$S$4:$S389,eRRSP_Tx_Table[[#This Row],[Year]],$W$4:$W389,"&gt;0"),"")</f>
        <v/>
      </c>
      <c r="Z389" s="10" t="str">
        <f>IF(S390&lt;&gt;eRRSP_Tx_Table[[#This Row],[Year]],SUMIFS($W$4:$W389,$S$4:$S389,eRRSP_Tx_Table[[#This Row],[Year]],$W$4:$W389,"&lt;0"),"")</f>
        <v/>
      </c>
      <c r="AA389" s="3">
        <f>(SUMIF($U$4:$U389,CONCATENATE("Buy",$C389),$N$4:$N389)+SUMIF($U$4:$U389,CONCATENATE("ReinvDiv",$C389),$N$4:$N389))</f>
        <v>0</v>
      </c>
      <c r="AB389" s="3">
        <f>(SUMIF($U$4:$U389,CONCATENATE("Buy",$C389),$F$4:$F389)+SUMIF($U$4:$U389,CONCATENATE("ReinvDiv",$C389),$F$4:$F389)+SUMIF($U$4:$U389,CONCATENATE("StkSplit",$C389),$F$4:$F389)-SUMIF($U$4:$U389,CONCATENATE("Sell",$C389),$F$4:$F389))</f>
        <v>0</v>
      </c>
      <c r="AC389" s="3">
        <f>IF(B389="Sell",F389*INDEX(V:V,LOOKUP(2,1/(X$4:X388=CONCATENATE(C389,"_ACB")),ROW(V$4:V388))),0)</f>
        <v>0</v>
      </c>
    </row>
    <row r="390" spans="1:29" x14ac:dyDescent="0.25">
      <c r="A390" s="20">
        <v>39003</v>
      </c>
      <c r="B390" t="s">
        <v>41</v>
      </c>
      <c r="C390" t="s">
        <v>39</v>
      </c>
      <c r="D390" s="3">
        <v>4.0199999999999996</v>
      </c>
      <c r="E390">
        <v>11.45</v>
      </c>
      <c r="F390" s="3">
        <v>0.35099999999999998</v>
      </c>
      <c r="M390" s="21">
        <f t="shared" si="47"/>
        <v>4.0199999999999996</v>
      </c>
      <c r="N390" s="8">
        <f t="shared" si="45"/>
        <v>-4.0199999999999996</v>
      </c>
      <c r="O390" s="25">
        <f t="shared" si="48"/>
        <v>10043.760000000002</v>
      </c>
      <c r="P390" s="8">
        <f t="shared" si="49"/>
        <v>0</v>
      </c>
      <c r="Q390" s="4">
        <f>IF(AND(S390&gt;=[1]eRRSP_Rpt!$C$6,S390&lt;=[1]eRRSP_Rpt!$C$7),1,0)</f>
        <v>0</v>
      </c>
      <c r="R390" s="4"/>
      <c r="S390" s="4">
        <f t="shared" si="46"/>
        <v>2006</v>
      </c>
      <c r="T390" s="4"/>
      <c r="U390" s="4" t="str">
        <f t="shared" si="50"/>
        <v>ReinvDivTrimark Income Growth</v>
      </c>
      <c r="V390" s="23">
        <f>IFERROR(IF(AND(AB390&gt;0,B390&lt;&gt;"Sell"),(AA390-SUMIF(C$4:C389,C390,AC$4:AC390))/AB390,0),"")</f>
        <v>-8.1128152380711995</v>
      </c>
      <c r="W390" s="24" t="str">
        <f t="shared" si="52"/>
        <v/>
      </c>
      <c r="X390" s="25" t="str">
        <f t="shared" si="51"/>
        <v>Trimark Income Growth_ACB</v>
      </c>
      <c r="Y390" s="10" t="str">
        <f>IF(S391&lt;&gt;eRRSP_Tx_Table[[#This Row],[Year]],SUMIFS($W$4:$W390,$S$4:$S390,eRRSP_Tx_Table[[#This Row],[Year]],$W$4:$W390,"&gt;0"),"")</f>
        <v/>
      </c>
      <c r="Z390" s="10" t="str">
        <f>IF(S391&lt;&gt;eRRSP_Tx_Table[[#This Row],[Year]],SUMIFS($W$4:$W390,$S$4:$S390,eRRSP_Tx_Table[[#This Row],[Year]],$W$4:$W390,"&lt;0"),"")</f>
        <v/>
      </c>
      <c r="AA390" s="3">
        <f>(SUMIF($U$4:$U390,CONCATENATE("Buy",$C390),$N$4:$N390)+SUMIF($U$4:$U390,CONCATENATE("ReinvDiv",$C390),$N$4:$N390))</f>
        <v>-2571.3000000000002</v>
      </c>
      <c r="AB390" s="3">
        <f>(SUMIF($U$4:$U390,CONCATENATE("Buy",$C390),$F$4:$F390)+SUMIF($U$4:$U390,CONCATENATE("ReinvDiv",$C390),$F$4:$F390)+SUMIF($U$4:$U390,CONCATENATE("StkSplit",$C390),$F$4:$F390)-SUMIF($U$4:$U390,CONCATENATE("Sell",$C390),$F$4:$F390))</f>
        <v>316.94299999999998</v>
      </c>
      <c r="AC390" s="3">
        <f>IF(B390="Sell",F390*INDEX(V:V,LOOKUP(2,1/(X$4:X389=CONCATENATE(C390,"_ACB")),ROW(V$4:V389))),0)</f>
        <v>0</v>
      </c>
    </row>
    <row r="391" spans="1:29" x14ac:dyDescent="0.25">
      <c r="A391" s="20">
        <v>39006</v>
      </c>
      <c r="B391" t="s">
        <v>43</v>
      </c>
      <c r="C391" t="s">
        <v>36</v>
      </c>
      <c r="D391" s="3">
        <v>4.6399999999999997</v>
      </c>
      <c r="M391" s="21">
        <f t="shared" si="47"/>
        <v>4.6399999999999997</v>
      </c>
      <c r="N391" s="8">
        <f t="shared" si="45"/>
        <v>4.6399999999999997</v>
      </c>
      <c r="O391" s="25">
        <f t="shared" si="48"/>
        <v>10048.400000000001</v>
      </c>
      <c r="P391" s="8">
        <f t="shared" si="49"/>
        <v>0</v>
      </c>
      <c r="Q391" s="4">
        <f>IF(AND(S391&gt;=[1]eRRSP_Rpt!$C$6,S391&lt;=[1]eRRSP_Rpt!$C$7),1,0)</f>
        <v>0</v>
      </c>
      <c r="R391" s="4"/>
      <c r="S391" s="4">
        <f t="shared" si="46"/>
        <v>2006</v>
      </c>
      <c r="T391" s="4"/>
      <c r="U391" s="4" t="str">
        <f t="shared" si="50"/>
        <v>IntIncTDW</v>
      </c>
      <c r="V391" s="23">
        <f>IFERROR(IF(AND(AB391&gt;0,B391&lt;&gt;"Sell"),(AA391-SUMIF(C$4:C390,C391,AC$4:AC391))/AB391,0),"")</f>
        <v>0</v>
      </c>
      <c r="W391" s="24" t="str">
        <f t="shared" si="52"/>
        <v/>
      </c>
      <c r="X391" s="25" t="str">
        <f t="shared" si="51"/>
        <v/>
      </c>
      <c r="Y391" s="10" t="str">
        <f>IF(S392&lt;&gt;eRRSP_Tx_Table[[#This Row],[Year]],SUMIFS($W$4:$W391,$S$4:$S391,eRRSP_Tx_Table[[#This Row],[Year]],$W$4:$W391,"&gt;0"),"")</f>
        <v/>
      </c>
      <c r="Z391" s="10" t="str">
        <f>IF(S392&lt;&gt;eRRSP_Tx_Table[[#This Row],[Year]],SUMIFS($W$4:$W391,$S$4:$S391,eRRSP_Tx_Table[[#This Row],[Year]],$W$4:$W391,"&lt;0"),"")</f>
        <v/>
      </c>
      <c r="AA391" s="3">
        <f>(SUMIF($U$4:$U391,CONCATENATE("Buy",$C391),$N$4:$N391)+SUMIF($U$4:$U391,CONCATENATE("ReinvDiv",$C391),$N$4:$N391))</f>
        <v>0</v>
      </c>
      <c r="AB391" s="3">
        <f>(SUMIF($U$4:$U391,CONCATENATE("Buy",$C391),$F$4:$F391)+SUMIF($U$4:$U391,CONCATENATE("ReinvDiv",$C391),$F$4:$F391)+SUMIF($U$4:$U391,CONCATENATE("StkSplit",$C391),$F$4:$F391)-SUMIF($U$4:$U391,CONCATENATE("Sell",$C391),$F$4:$F391))</f>
        <v>0</v>
      </c>
      <c r="AC391" s="3">
        <f>IF(B391="Sell",F391*INDEX(V:V,LOOKUP(2,1/(X$4:X390=CONCATENATE(C391,"_ACB")),ROW(V$4:V390))),0)</f>
        <v>0</v>
      </c>
    </row>
    <row r="392" spans="1:29" x14ac:dyDescent="0.25">
      <c r="A392" s="20">
        <v>39015</v>
      </c>
      <c r="B392" t="s">
        <v>30</v>
      </c>
      <c r="C392" t="s">
        <v>31</v>
      </c>
      <c r="D392" s="3">
        <v>2933</v>
      </c>
      <c r="M392" s="21">
        <f t="shared" si="47"/>
        <v>2933</v>
      </c>
      <c r="N392" s="8">
        <f t="shared" si="45"/>
        <v>2933</v>
      </c>
      <c r="O392" s="25">
        <f t="shared" si="48"/>
        <v>12981.400000000001</v>
      </c>
      <c r="P392" s="8">
        <f t="shared" si="49"/>
        <v>2933</v>
      </c>
      <c r="Q392" s="4">
        <f>IF(AND(S392&gt;=[1]eRRSP_Rpt!$C$6,S392&lt;=[1]eRRSP_Rpt!$C$7),1,0)</f>
        <v>0</v>
      </c>
      <c r="R392" s="4"/>
      <c r="S392" s="4">
        <f t="shared" si="46"/>
        <v>2006</v>
      </c>
      <c r="T392" s="4"/>
      <c r="U392" s="4" t="str">
        <f t="shared" si="50"/>
        <v>CashContribution</v>
      </c>
      <c r="V392" s="23">
        <f>IFERROR(IF(AND(AB392&gt;0,B392&lt;&gt;"Sell"),(AA392-SUMIF(C$4:C391,C392,AC$4:AC392))/AB392,0),"")</f>
        <v>0</v>
      </c>
      <c r="W392" s="24" t="str">
        <f t="shared" si="52"/>
        <v/>
      </c>
      <c r="X392" s="25" t="str">
        <f t="shared" si="51"/>
        <v/>
      </c>
      <c r="Y392" s="10" t="str">
        <f>IF(S393&lt;&gt;eRRSP_Tx_Table[[#This Row],[Year]],SUMIFS($W$4:$W392,$S$4:$S392,eRRSP_Tx_Table[[#This Row],[Year]],$W$4:$W392,"&gt;0"),"")</f>
        <v/>
      </c>
      <c r="Z392" s="10" t="str">
        <f>IF(S393&lt;&gt;eRRSP_Tx_Table[[#This Row],[Year]],SUMIFS($W$4:$W392,$S$4:$S392,eRRSP_Tx_Table[[#This Row],[Year]],$W$4:$W392,"&lt;0"),"")</f>
        <v/>
      </c>
      <c r="AA392" s="3">
        <f>(SUMIF($U$4:$U392,CONCATENATE("Buy",$C392),$N$4:$N392)+SUMIF($U$4:$U392,CONCATENATE("ReinvDiv",$C392),$N$4:$N392))</f>
        <v>0</v>
      </c>
      <c r="AB392" s="3">
        <f>(SUMIF($U$4:$U392,CONCATENATE("Buy",$C392),$F$4:$F392)+SUMIF($U$4:$U392,CONCATENATE("ReinvDiv",$C392),$F$4:$F392)+SUMIF($U$4:$U392,CONCATENATE("StkSplit",$C392),$F$4:$F392)-SUMIF($U$4:$U392,CONCATENATE("Sell",$C392),$F$4:$F392))</f>
        <v>0</v>
      </c>
      <c r="AC392" s="3">
        <f>IF(B392="Sell",F392*INDEX(V:V,LOOKUP(2,1/(X$4:X391=CONCATENATE(C392,"_ACB")),ROW(V$4:V391))),0)</f>
        <v>0</v>
      </c>
    </row>
    <row r="393" spans="1:29" x14ac:dyDescent="0.25">
      <c r="A393" s="20">
        <v>39016</v>
      </c>
      <c r="B393" t="s">
        <v>40</v>
      </c>
      <c r="C393" t="s">
        <v>71</v>
      </c>
      <c r="D393" s="3">
        <v>3800</v>
      </c>
      <c r="E393">
        <v>6.6421950000000001</v>
      </c>
      <c r="F393" s="3">
        <v>572.1</v>
      </c>
      <c r="M393" s="21">
        <f t="shared" si="47"/>
        <v>3800</v>
      </c>
      <c r="N393" s="8">
        <f t="shared" si="45"/>
        <v>3800</v>
      </c>
      <c r="O393" s="25">
        <f t="shared" si="48"/>
        <v>16781.400000000001</v>
      </c>
      <c r="P393" s="8">
        <f t="shared" si="49"/>
        <v>0</v>
      </c>
      <c r="Q393" s="4">
        <f>IF(AND(S393&gt;=[1]eRRSP_Rpt!$C$6,S393&lt;=[1]eRRSP_Rpt!$C$7),1,0)</f>
        <v>0</v>
      </c>
      <c r="R393" s="4"/>
      <c r="S393" s="4">
        <f t="shared" si="46"/>
        <v>2006</v>
      </c>
      <c r="T393" s="4"/>
      <c r="U393" s="4" t="str">
        <f t="shared" si="50"/>
        <v>SellFront St SmallCap</v>
      </c>
      <c r="V393" s="23">
        <f>IFERROR(IF(AND(AB393&gt;0,B393&lt;&gt;"Sell"),(AA393-SUMIF(C$4:C392,C393,AC$4:AC393))/AB393,0),"")</f>
        <v>0</v>
      </c>
      <c r="W393" s="24">
        <f t="shared" si="52"/>
        <v>1094.7391729711999</v>
      </c>
      <c r="X393" s="25" t="str">
        <f t="shared" si="51"/>
        <v/>
      </c>
      <c r="Y393" s="10" t="str">
        <f>IF(S394&lt;&gt;eRRSP_Tx_Table[[#This Row],[Year]],SUMIFS($W$4:$W393,$S$4:$S393,eRRSP_Tx_Table[[#This Row],[Year]],$W$4:$W393,"&gt;0"),"")</f>
        <v/>
      </c>
      <c r="Z393" s="10" t="str">
        <f>IF(S394&lt;&gt;eRRSP_Tx_Table[[#This Row],[Year]],SUMIFS($W$4:$W393,$S$4:$S393,eRRSP_Tx_Table[[#This Row],[Year]],$W$4:$W393,"&lt;0"),"")</f>
        <v/>
      </c>
      <c r="AA393" s="3">
        <f>(SUMIF($U$4:$U393,CONCATENATE("Buy",$C393),$N$4:$N393)+SUMIF($U$4:$U393,CONCATENATE("ReinvDiv",$C393),$N$4:$N393))</f>
        <v>-8506.7000000000007</v>
      </c>
      <c r="AB393" s="3">
        <f>(SUMIF($U$4:$U393,CONCATENATE("Buy",$C393),$F$4:$F393)+SUMIF($U$4:$U393,CONCATENATE("ReinvDiv",$C393),$F$4:$F393)+SUMIF($U$4:$U393,CONCATENATE("StkSplit",$C393),$F$4:$F393)-SUMIF($U$4:$U393,CONCATENATE("Sell",$C393),$F$4:$F393))</f>
        <v>456.33500000000004</v>
      </c>
      <c r="AC393" s="3">
        <f>IF(B393="Sell",F393*INDEX(V:V,LOOKUP(2,1/(X$4:X392=CONCATENATE(C393,"_ACB")),ROW(V$4:V392))),0)</f>
        <v>-2705.2608270288001</v>
      </c>
    </row>
    <row r="394" spans="1:29" x14ac:dyDescent="0.25">
      <c r="A394" s="20">
        <v>39021</v>
      </c>
      <c r="B394" t="s">
        <v>42</v>
      </c>
      <c r="C394" t="s">
        <v>45</v>
      </c>
      <c r="D394" s="3">
        <v>9.6</v>
      </c>
      <c r="M394" s="21">
        <f t="shared" si="47"/>
        <v>9.6</v>
      </c>
      <c r="N394" s="8">
        <f t="shared" ref="N394:N457" si="53">IF(OR(B394="Buy",B394="ReinvDiv"),-M394-G394,M394-G394)</f>
        <v>9.6</v>
      </c>
      <c r="O394" s="25">
        <f t="shared" si="48"/>
        <v>16791</v>
      </c>
      <c r="P394" s="8">
        <f t="shared" si="49"/>
        <v>0</v>
      </c>
      <c r="Q394" s="4">
        <f>IF(AND(S394&gt;=[1]eRRSP_Rpt!$C$6,S394&lt;=[1]eRRSP_Rpt!$C$7),1,0)</f>
        <v>0</v>
      </c>
      <c r="R394" s="4"/>
      <c r="S394" s="4">
        <f t="shared" si="46"/>
        <v>2006</v>
      </c>
      <c r="T394" s="4"/>
      <c r="U394" s="4" t="str">
        <f t="shared" si="50"/>
        <v>DivTD Bank</v>
      </c>
      <c r="V394" s="23">
        <f>IFERROR(IF(AND(AB394&gt;0,B394&lt;&gt;"Sell"),(AA394-SUMIF(C$4:C393,C394,AC$4:AC394))/AB394,0),"")</f>
        <v>-44.29</v>
      </c>
      <c r="W394" s="24" t="str">
        <f t="shared" si="52"/>
        <v/>
      </c>
      <c r="X394" s="25" t="str">
        <f t="shared" si="51"/>
        <v>TD Bank_ACB</v>
      </c>
      <c r="Y394" s="10" t="str">
        <f>IF(S395&lt;&gt;eRRSP_Tx_Table[[#This Row],[Year]],SUMIFS($W$4:$W394,$S$4:$S394,eRRSP_Tx_Table[[#This Row],[Year]],$W$4:$W394,"&gt;0"),"")</f>
        <v/>
      </c>
      <c r="Z394" s="10" t="str">
        <f>IF(S395&lt;&gt;eRRSP_Tx_Table[[#This Row],[Year]],SUMIFS($W$4:$W394,$S$4:$S394,eRRSP_Tx_Table[[#This Row],[Year]],$W$4:$W394,"&lt;0"),"")</f>
        <v/>
      </c>
      <c r="AA394" s="3">
        <f>(SUMIF($U$4:$U394,CONCATENATE("Buy",$C394),$N$4:$N394)+SUMIF($U$4:$U394,CONCATENATE("ReinvDiv",$C394),$N$4:$N394))</f>
        <v>-885.8</v>
      </c>
      <c r="AB394" s="3">
        <f>(SUMIF($U$4:$U394,CONCATENATE("Buy",$C394),$F$4:$F394)+SUMIF($U$4:$U394,CONCATENATE("ReinvDiv",$C394),$F$4:$F394)+SUMIF($U$4:$U394,CONCATENATE("StkSplit",$C394),$F$4:$F394)-SUMIF($U$4:$U394,CONCATENATE("Sell",$C394),$F$4:$F394))</f>
        <v>20</v>
      </c>
      <c r="AC394" s="3">
        <f>IF(B394="Sell",F394*INDEX(V:V,LOOKUP(2,1/(X$4:X393=CONCATENATE(C394,"_ACB")),ROW(V$4:V393))),0)</f>
        <v>0</v>
      </c>
    </row>
    <row r="395" spans="1:29" x14ac:dyDescent="0.25">
      <c r="A395" s="20">
        <v>39031</v>
      </c>
      <c r="B395" t="s">
        <v>42</v>
      </c>
      <c r="C395" t="s">
        <v>79</v>
      </c>
      <c r="D395" s="3">
        <v>1.64</v>
      </c>
      <c r="M395" s="21">
        <f t="shared" si="47"/>
        <v>1.64</v>
      </c>
      <c r="N395" s="8">
        <f t="shared" si="53"/>
        <v>1.64</v>
      </c>
      <c r="O395" s="25">
        <f t="shared" si="48"/>
        <v>16792.64</v>
      </c>
      <c r="P395" s="8">
        <f t="shared" si="49"/>
        <v>0</v>
      </c>
      <c r="Q395" s="4">
        <f>IF(AND(S395&gt;=[1]eRRSP_Rpt!$C$6,S395&lt;=[1]eRRSP_Rpt!$C$7),1,0)</f>
        <v>0</v>
      </c>
      <c r="R395" s="4"/>
      <c r="S395" s="4">
        <f t="shared" si="46"/>
        <v>2006</v>
      </c>
      <c r="T395" s="4"/>
      <c r="U395" s="4" t="str">
        <f t="shared" si="50"/>
        <v>DivCentral Fund of Canada</v>
      </c>
      <c r="V395" s="23">
        <f>IFERROR(IF(AND(AB395&gt;0,B395&lt;&gt;"Sell"),(AA395-SUMIF(C$4:C394,C395,AC$4:AC395))/AB395,0),"")</f>
        <v>-8.8740000000000006</v>
      </c>
      <c r="W395" s="24" t="str">
        <f t="shared" si="52"/>
        <v/>
      </c>
      <c r="X395" s="25" t="str">
        <f t="shared" si="51"/>
        <v>Central Fund of Canada_ACB</v>
      </c>
      <c r="Y395" s="10" t="str">
        <f>IF(S396&lt;&gt;eRRSP_Tx_Table[[#This Row],[Year]],SUMIFS($W$4:$W395,$S$4:$S395,eRRSP_Tx_Table[[#This Row],[Year]],$W$4:$W395,"&gt;0"),"")</f>
        <v/>
      </c>
      <c r="Z395" s="10" t="str">
        <f>IF(S396&lt;&gt;eRRSP_Tx_Table[[#This Row],[Year]],SUMIFS($W$4:$W395,$S$4:$S395,eRRSP_Tx_Table[[#This Row],[Year]],$W$4:$W395,"&lt;0"),"")</f>
        <v/>
      </c>
      <c r="AA395" s="3">
        <f>(SUMIF($U$4:$U395,CONCATENATE("Buy",$C395),$N$4:$N395)+SUMIF($U$4:$U395,CONCATENATE("ReinvDiv",$C395),$N$4:$N395))</f>
        <v>-1286.73</v>
      </c>
      <c r="AB395" s="3">
        <f>(SUMIF($U$4:$U395,CONCATENATE("Buy",$C395),$F$4:$F395)+SUMIF($U$4:$U395,CONCATENATE("ReinvDiv",$C395),$F$4:$F395)+SUMIF($U$4:$U395,CONCATENATE("StkSplit",$C395),$F$4:$F395)-SUMIF($U$4:$U395,CONCATENATE("Sell",$C395),$F$4:$F395))</f>
        <v>145</v>
      </c>
      <c r="AC395" s="3">
        <f>IF(B395="Sell",F395*INDEX(V:V,LOOKUP(2,1/(X$4:X394=CONCATENATE(C395,"_ACB")),ROW(V$4:V394))),0)</f>
        <v>0</v>
      </c>
    </row>
    <row r="396" spans="1:29" x14ac:dyDescent="0.25">
      <c r="A396" s="20">
        <v>39036</v>
      </c>
      <c r="B396" t="s">
        <v>41</v>
      </c>
      <c r="C396" t="s">
        <v>39</v>
      </c>
      <c r="D396" s="3">
        <v>1.93</v>
      </c>
      <c r="E396">
        <v>11.7</v>
      </c>
      <c r="F396" s="3">
        <v>0.16500000000000001</v>
      </c>
      <c r="M396" s="21">
        <f t="shared" si="47"/>
        <v>1.93</v>
      </c>
      <c r="N396" s="8">
        <f t="shared" si="53"/>
        <v>-1.93</v>
      </c>
      <c r="O396" s="25">
        <f t="shared" si="48"/>
        <v>16792.64</v>
      </c>
      <c r="P396" s="8">
        <f t="shared" si="49"/>
        <v>0</v>
      </c>
      <c r="Q396" s="4">
        <f>IF(AND(S396&gt;=[1]eRRSP_Rpt!$C$6,S396&lt;=[1]eRRSP_Rpt!$C$7),1,0)</f>
        <v>0</v>
      </c>
      <c r="R396" s="4"/>
      <c r="S396" s="4">
        <f t="shared" si="46"/>
        <v>2006</v>
      </c>
      <c r="T396" s="4"/>
      <c r="U396" s="4" t="str">
        <f t="shared" si="50"/>
        <v>ReinvDivTrimark Income Growth</v>
      </c>
      <c r="V396" s="23">
        <f>IFERROR(IF(AND(AB396&gt;0,B396&lt;&gt;"Sell"),(AA396-SUMIF(C$4:C395,C396,AC$4:AC396))/AB396,0),"")</f>
        <v>-8.1146801720549462</v>
      </c>
      <c r="W396" s="24" t="str">
        <f t="shared" si="52"/>
        <v/>
      </c>
      <c r="X396" s="25" t="str">
        <f t="shared" si="51"/>
        <v>Trimark Income Growth_ACB</v>
      </c>
      <c r="Y396" s="10" t="str">
        <f>IF(S397&lt;&gt;eRRSP_Tx_Table[[#This Row],[Year]],SUMIFS($W$4:$W396,$S$4:$S396,eRRSP_Tx_Table[[#This Row],[Year]],$W$4:$W396,"&gt;0"),"")</f>
        <v/>
      </c>
      <c r="Z396" s="10" t="str">
        <f>IF(S397&lt;&gt;eRRSP_Tx_Table[[#This Row],[Year]],SUMIFS($W$4:$W396,$S$4:$S396,eRRSP_Tx_Table[[#This Row],[Year]],$W$4:$W396,"&lt;0"),"")</f>
        <v/>
      </c>
      <c r="AA396" s="3">
        <f>(SUMIF($U$4:$U396,CONCATENATE("Buy",$C396),$N$4:$N396)+SUMIF($U$4:$U396,CONCATENATE("ReinvDiv",$C396),$N$4:$N396))</f>
        <v>-2573.23</v>
      </c>
      <c r="AB396" s="3">
        <f>(SUMIF($U$4:$U396,CONCATENATE("Buy",$C396),$F$4:$F396)+SUMIF($U$4:$U396,CONCATENATE("ReinvDiv",$C396),$F$4:$F396)+SUMIF($U$4:$U396,CONCATENATE("StkSplit",$C396),$F$4:$F396)-SUMIF($U$4:$U396,CONCATENATE("Sell",$C396),$F$4:$F396))</f>
        <v>317.108</v>
      </c>
      <c r="AC396" s="3">
        <f>IF(B396="Sell",F396*INDEX(V:V,LOOKUP(2,1/(X$4:X395=CONCATENATE(C396,"_ACB")),ROW(V$4:V395))),0)</f>
        <v>0</v>
      </c>
    </row>
    <row r="397" spans="1:29" x14ac:dyDescent="0.25">
      <c r="A397" s="20">
        <v>39037</v>
      </c>
      <c r="B397" t="s">
        <v>43</v>
      </c>
      <c r="C397" t="s">
        <v>36</v>
      </c>
      <c r="D397" s="3">
        <v>15.61</v>
      </c>
      <c r="M397" s="21">
        <f t="shared" si="47"/>
        <v>15.61</v>
      </c>
      <c r="N397" s="8">
        <f t="shared" si="53"/>
        <v>15.61</v>
      </c>
      <c r="O397" s="25">
        <f t="shared" si="48"/>
        <v>16808.25</v>
      </c>
      <c r="P397" s="8">
        <f t="shared" si="49"/>
        <v>0</v>
      </c>
      <c r="Q397" s="4">
        <f>IF(AND(S397&gt;=[1]eRRSP_Rpt!$C$6,S397&lt;=[1]eRRSP_Rpt!$C$7),1,0)</f>
        <v>0</v>
      </c>
      <c r="R397" s="4"/>
      <c r="S397" s="4">
        <f t="shared" si="46"/>
        <v>2006</v>
      </c>
      <c r="T397" s="4"/>
      <c r="U397" s="4" t="str">
        <f t="shared" si="50"/>
        <v>IntIncTDW</v>
      </c>
      <c r="V397" s="23">
        <f>IFERROR(IF(AND(AB397&gt;0,B397&lt;&gt;"Sell"),(AA397-SUMIF(C$4:C396,C397,AC$4:AC397))/AB397,0),"")</f>
        <v>0</v>
      </c>
      <c r="W397" s="24" t="str">
        <f t="shared" si="52"/>
        <v/>
      </c>
      <c r="X397" s="25" t="str">
        <f t="shared" si="51"/>
        <v/>
      </c>
      <c r="Y397" s="10" t="str">
        <f>IF(S398&lt;&gt;eRRSP_Tx_Table[[#This Row],[Year]],SUMIFS($W$4:$W397,$S$4:$S397,eRRSP_Tx_Table[[#This Row],[Year]],$W$4:$W397,"&gt;0"),"")</f>
        <v/>
      </c>
      <c r="Z397" s="10" t="str">
        <f>IF(S398&lt;&gt;eRRSP_Tx_Table[[#This Row],[Year]],SUMIFS($W$4:$W397,$S$4:$S397,eRRSP_Tx_Table[[#This Row],[Year]],$W$4:$W397,"&lt;0"),"")</f>
        <v/>
      </c>
      <c r="AA397" s="3">
        <f>(SUMIF($U$4:$U397,CONCATENATE("Buy",$C397),$N$4:$N397)+SUMIF($U$4:$U397,CONCATENATE("ReinvDiv",$C397),$N$4:$N397))</f>
        <v>0</v>
      </c>
      <c r="AB397" s="3">
        <f>(SUMIF($U$4:$U397,CONCATENATE("Buy",$C397),$F$4:$F397)+SUMIF($U$4:$U397,CONCATENATE("ReinvDiv",$C397),$F$4:$F397)+SUMIF($U$4:$U397,CONCATENATE("StkSplit",$C397),$F$4:$F397)-SUMIF($U$4:$U397,CONCATENATE("Sell",$C397),$F$4:$F397))</f>
        <v>0</v>
      </c>
      <c r="AC397" s="3">
        <f>IF(B397="Sell",F397*INDEX(V:V,LOOKUP(2,1/(X$4:X396=CONCATENATE(C397,"_ACB")),ROW(V$4:V396))),0)</f>
        <v>0</v>
      </c>
    </row>
    <row r="398" spans="1:29" x14ac:dyDescent="0.25">
      <c r="A398" s="20">
        <v>39052</v>
      </c>
      <c r="B398" t="s">
        <v>42</v>
      </c>
      <c r="C398" t="s">
        <v>33</v>
      </c>
      <c r="D398" s="3">
        <v>20.98</v>
      </c>
      <c r="M398" s="21">
        <f t="shared" si="47"/>
        <v>20.98</v>
      </c>
      <c r="N398" s="8">
        <f t="shared" si="53"/>
        <v>20.98</v>
      </c>
      <c r="O398" s="25">
        <f t="shared" si="48"/>
        <v>16829.23</v>
      </c>
      <c r="P398" s="8">
        <f t="shared" si="49"/>
        <v>0</v>
      </c>
      <c r="Q398" s="4">
        <f>IF(AND(S398&gt;=[1]eRRSP_Rpt!$C$6,S398&lt;=[1]eRRSP_Rpt!$C$7),1,0)</f>
        <v>0</v>
      </c>
      <c r="R398" s="4"/>
      <c r="S398" s="4">
        <f t="shared" si="46"/>
        <v>2006</v>
      </c>
      <c r="T398" s="4"/>
      <c r="U398" s="4" t="str">
        <f t="shared" si="50"/>
        <v>DivEnbridge</v>
      </c>
      <c r="V398" s="23">
        <f>IFERROR(IF(AND(AB398&gt;0,B398&lt;&gt;"Sell"),(AA398-SUMIF(C$4:C397,C398,AC$4:AC398))/AB398,0),"")</f>
        <v>-12.859027777777776</v>
      </c>
      <c r="W398" s="24" t="str">
        <f t="shared" si="52"/>
        <v/>
      </c>
      <c r="X398" s="25" t="str">
        <f t="shared" si="51"/>
        <v>Enbridge_ACB</v>
      </c>
      <c r="Y398" s="10" t="str">
        <f>IF(S399&lt;&gt;eRRSP_Tx_Table[[#This Row],[Year]],SUMIFS($W$4:$W398,$S$4:$S398,eRRSP_Tx_Table[[#This Row],[Year]],$W$4:$W398,"&gt;0"),"")</f>
        <v/>
      </c>
      <c r="Z398" s="10" t="str">
        <f>IF(S399&lt;&gt;eRRSP_Tx_Table[[#This Row],[Year]],SUMIFS($W$4:$W398,$S$4:$S398,eRRSP_Tx_Table[[#This Row],[Year]],$W$4:$W398,"&lt;0"),"")</f>
        <v/>
      </c>
      <c r="AA398" s="3">
        <f>(SUMIF($U$4:$U398,CONCATENATE("Buy",$C398),$N$4:$N398)+SUMIF($U$4:$U398,CONCATENATE("ReinvDiv",$C398),$N$4:$N398))</f>
        <v>-1851.7</v>
      </c>
      <c r="AB398" s="3">
        <f>(SUMIF($U$4:$U398,CONCATENATE("Buy",$C398),$F$4:$F398)+SUMIF($U$4:$U398,CONCATENATE("ReinvDiv",$C398),$F$4:$F398)+SUMIF($U$4:$U398,CONCATENATE("StkSplit",$C398),$F$4:$F398)-SUMIF($U$4:$U398,CONCATENATE("Sell",$C398),$F$4:$F398))</f>
        <v>73</v>
      </c>
      <c r="AC398" s="3">
        <f>IF(B398="Sell",F398*INDEX(V:V,LOOKUP(2,1/(X$4:X397=CONCATENATE(C398,"_ACB")),ROW(V$4:V397))),0)</f>
        <v>0</v>
      </c>
    </row>
    <row r="399" spans="1:29" x14ac:dyDescent="0.25">
      <c r="A399" s="20">
        <v>39067</v>
      </c>
      <c r="B399" t="s">
        <v>43</v>
      </c>
      <c r="C399" t="s">
        <v>36</v>
      </c>
      <c r="D399" s="3">
        <v>17.27</v>
      </c>
      <c r="M399" s="21">
        <f t="shared" si="47"/>
        <v>17.27</v>
      </c>
      <c r="N399" s="8">
        <f t="shared" si="53"/>
        <v>17.27</v>
      </c>
      <c r="O399" s="25">
        <f t="shared" si="48"/>
        <v>16846.5</v>
      </c>
      <c r="P399" s="8">
        <f t="shared" si="49"/>
        <v>0</v>
      </c>
      <c r="Q399" s="4">
        <f>IF(AND(S399&gt;=[1]eRRSP_Rpt!$C$6,S399&lt;=[1]eRRSP_Rpt!$C$7),1,0)</f>
        <v>0</v>
      </c>
      <c r="R399" s="4"/>
      <c r="S399" s="4">
        <f t="shared" ref="S399:S464" si="54">YEAR(A399)</f>
        <v>2006</v>
      </c>
      <c r="T399" s="4"/>
      <c r="U399" s="4" t="str">
        <f t="shared" si="50"/>
        <v>IntIncTDW</v>
      </c>
      <c r="V399" s="23">
        <f>IFERROR(IF(AND(AB399&gt;0,B399&lt;&gt;"Sell"),(AA399-SUMIF(C$4:C398,C399,AC$4:AC399))/AB399,0),"")</f>
        <v>0</v>
      </c>
      <c r="W399" s="24" t="str">
        <f t="shared" si="52"/>
        <v/>
      </c>
      <c r="X399" s="25" t="str">
        <f t="shared" si="51"/>
        <v/>
      </c>
      <c r="Y399" s="10" t="str">
        <f>IF(S400&lt;&gt;eRRSP_Tx_Table[[#This Row],[Year]],SUMIFS($W$4:$W399,$S$4:$S399,eRRSP_Tx_Table[[#This Row],[Year]],$W$4:$W399,"&gt;0"),"")</f>
        <v/>
      </c>
      <c r="Z399" s="10" t="str">
        <f>IF(S400&lt;&gt;eRRSP_Tx_Table[[#This Row],[Year]],SUMIFS($W$4:$W399,$S$4:$S399,eRRSP_Tx_Table[[#This Row],[Year]],$W$4:$W399,"&lt;0"),"")</f>
        <v/>
      </c>
      <c r="AA399" s="3">
        <f>(SUMIF($U$4:$U399,CONCATENATE("Buy",$C399),$N$4:$N399)+SUMIF($U$4:$U399,CONCATENATE("ReinvDiv",$C399),$N$4:$N399))</f>
        <v>0</v>
      </c>
      <c r="AB399" s="3">
        <f>(SUMIF($U$4:$U399,CONCATENATE("Buy",$C399),$F$4:$F399)+SUMIF($U$4:$U399,CONCATENATE("ReinvDiv",$C399),$F$4:$F399)+SUMIF($U$4:$U399,CONCATENATE("StkSplit",$C399),$F$4:$F399)-SUMIF($U$4:$U399,CONCATENATE("Sell",$C399),$F$4:$F399))</f>
        <v>0</v>
      </c>
      <c r="AC399" s="3">
        <f>IF(B399="Sell",F399*INDEX(V:V,LOOKUP(2,1/(X$4:X398=CONCATENATE(C399,"_ACB")),ROW(V$4:V398))),0)</f>
        <v>0</v>
      </c>
    </row>
    <row r="400" spans="1:29" x14ac:dyDescent="0.25">
      <c r="A400" s="20">
        <v>39070</v>
      </c>
      <c r="B400" t="s">
        <v>41</v>
      </c>
      <c r="C400" t="s">
        <v>39</v>
      </c>
      <c r="D400" s="3">
        <v>160.38999999999999</v>
      </c>
      <c r="E400">
        <v>11.52</v>
      </c>
      <c r="F400" s="3">
        <v>13.917999999999999</v>
      </c>
      <c r="M400" s="21">
        <f t="shared" si="47"/>
        <v>160.38999999999999</v>
      </c>
      <c r="N400" s="8">
        <f t="shared" si="53"/>
        <v>-160.38999999999999</v>
      </c>
      <c r="O400" s="25">
        <f t="shared" si="48"/>
        <v>16846.5</v>
      </c>
      <c r="P400" s="8">
        <f t="shared" si="49"/>
        <v>0</v>
      </c>
      <c r="Q400" s="4">
        <f>IF(AND(S400&gt;=[1]eRRSP_Rpt!$C$6,S400&lt;=[1]eRRSP_Rpt!$C$7),1,0)</f>
        <v>0</v>
      </c>
      <c r="R400" s="4"/>
      <c r="S400" s="4">
        <f t="shared" si="54"/>
        <v>2006</v>
      </c>
      <c r="T400" s="4"/>
      <c r="U400" s="4" t="str">
        <f t="shared" si="50"/>
        <v>ReinvDivTrimark Income Growth</v>
      </c>
      <c r="V400" s="23">
        <f>IFERROR(IF(AND(AB400&gt;0,B400&lt;&gt;"Sell"),(AA400-SUMIF(C$4:C399,C400,AC$4:AC400))/AB400,0),"")</f>
        <v>-8.2580220284811467</v>
      </c>
      <c r="W400" s="24" t="str">
        <f t="shared" si="52"/>
        <v/>
      </c>
      <c r="X400" s="25" t="str">
        <f t="shared" si="51"/>
        <v>Trimark Income Growth_ACB</v>
      </c>
      <c r="Y400" s="10" t="str">
        <f>IF(S401&lt;&gt;eRRSP_Tx_Table[[#This Row],[Year]],SUMIFS($W$4:$W400,$S$4:$S400,eRRSP_Tx_Table[[#This Row],[Year]],$W$4:$W400,"&gt;0"),"")</f>
        <v/>
      </c>
      <c r="Z400" s="10" t="str">
        <f>IF(S401&lt;&gt;eRRSP_Tx_Table[[#This Row],[Year]],SUMIFS($W$4:$W400,$S$4:$S400,eRRSP_Tx_Table[[#This Row],[Year]],$W$4:$W400,"&lt;0"),"")</f>
        <v/>
      </c>
      <c r="AA400" s="3">
        <f>(SUMIF($U$4:$U400,CONCATENATE("Buy",$C400),$N$4:$N400)+SUMIF($U$4:$U400,CONCATENATE("ReinvDiv",$C400),$N$4:$N400))</f>
        <v>-2733.62</v>
      </c>
      <c r="AB400" s="3">
        <f>(SUMIF($U$4:$U400,CONCATENATE("Buy",$C400),$F$4:$F400)+SUMIF($U$4:$U400,CONCATENATE("ReinvDiv",$C400),$F$4:$F400)+SUMIF($U$4:$U400,CONCATENATE("StkSplit",$C400),$F$4:$F400)-SUMIF($U$4:$U400,CONCATENATE("Sell",$C400),$F$4:$F400))</f>
        <v>331.02599999999995</v>
      </c>
      <c r="AC400" s="3">
        <f>IF(B400="Sell",F400*INDEX(V:V,LOOKUP(2,1/(X$4:X399=CONCATENATE(C400,"_ACB")),ROW(V$4:V399))),0)</f>
        <v>0</v>
      </c>
    </row>
    <row r="401" spans="1:29" x14ac:dyDescent="0.25">
      <c r="A401" s="20">
        <v>39072</v>
      </c>
      <c r="B401" t="s">
        <v>41</v>
      </c>
      <c r="C401" t="s">
        <v>62</v>
      </c>
      <c r="D401" s="3">
        <v>25.54</v>
      </c>
      <c r="E401">
        <v>15.25</v>
      </c>
      <c r="F401" s="3">
        <v>1.675</v>
      </c>
      <c r="M401" s="21">
        <f t="shared" si="47"/>
        <v>25.54</v>
      </c>
      <c r="N401" s="8">
        <f t="shared" si="53"/>
        <v>-25.54</v>
      </c>
      <c r="O401" s="25">
        <f t="shared" si="48"/>
        <v>16846.5</v>
      </c>
      <c r="P401" s="8">
        <f t="shared" si="49"/>
        <v>0</v>
      </c>
      <c r="Q401" s="4">
        <f>IF(AND(S401&gt;=[1]eRRSP_Rpt!$C$6,S401&lt;=[1]eRRSP_Rpt!$C$7),1,0)</f>
        <v>0</v>
      </c>
      <c r="R401" s="4"/>
      <c r="S401" s="4">
        <f t="shared" si="54"/>
        <v>2006</v>
      </c>
      <c r="T401" s="4"/>
      <c r="U401" s="4" t="str">
        <f t="shared" si="50"/>
        <v>ReinvDivTD RR Bond</v>
      </c>
      <c r="V401" s="23">
        <f>IFERROR(IF(AND(AB401&gt;0,B401&lt;&gt;"Sell"),(AA401-SUMIF(C$4:C400,C401,AC$4:AC401))/AB401,0),"")</f>
        <v>-14.488997618349876</v>
      </c>
      <c r="W401" s="24" t="str">
        <f t="shared" si="52"/>
        <v/>
      </c>
      <c r="X401" s="25" t="str">
        <f t="shared" si="51"/>
        <v>TD RR Bond_ACB</v>
      </c>
      <c r="Y401" s="10" t="str">
        <f>IF(S402&lt;&gt;eRRSP_Tx_Table[[#This Row],[Year]],SUMIFS($W$4:$W401,$S$4:$S401,eRRSP_Tx_Table[[#This Row],[Year]],$W$4:$W401,"&gt;0"),"")</f>
        <v/>
      </c>
      <c r="Z401" s="10" t="str">
        <f>IF(S402&lt;&gt;eRRSP_Tx_Table[[#This Row],[Year]],SUMIFS($W$4:$W401,$S$4:$S401,eRRSP_Tx_Table[[#This Row],[Year]],$W$4:$W401,"&lt;0"),"")</f>
        <v/>
      </c>
      <c r="AA401" s="3">
        <f>(SUMIF($U$4:$U401,CONCATENATE("Buy",$C401),$N$4:$N401)+SUMIF($U$4:$U401,CONCATENATE("ReinvDiv",$C401),$N$4:$N401))</f>
        <v>-8948.9699999999993</v>
      </c>
      <c r="AB401" s="3">
        <f>(SUMIF($U$4:$U401,CONCATENATE("Buy",$C401),$F$4:$F401)+SUMIF($U$4:$U401,CONCATENATE("ReinvDiv",$C401),$F$4:$F401)+SUMIF($U$4:$U401,CONCATENATE("StkSplit",$C401),$F$4:$F401)-SUMIF($U$4:$U401,CONCATENATE("Sell",$C401),$F$4:$F401))</f>
        <v>617.63900000000001</v>
      </c>
      <c r="AC401" s="3">
        <f>IF(B401="Sell",F401*INDEX(V:V,LOOKUP(2,1/(X$4:X400=CONCATENATE(C401,"_ACB")),ROW(V$4:V400))),0)</f>
        <v>0</v>
      </c>
    </row>
    <row r="402" spans="1:29" x14ac:dyDescent="0.25">
      <c r="A402" s="20">
        <v>39079</v>
      </c>
      <c r="B402" t="s">
        <v>42</v>
      </c>
      <c r="C402" t="s">
        <v>86</v>
      </c>
      <c r="D402" s="3">
        <v>15.54</v>
      </c>
      <c r="M402" s="21">
        <f t="shared" si="47"/>
        <v>15.54</v>
      </c>
      <c r="N402" s="8">
        <f t="shared" si="53"/>
        <v>15.54</v>
      </c>
      <c r="O402" s="25">
        <f t="shared" si="48"/>
        <v>16862.04</v>
      </c>
      <c r="P402" s="8">
        <f t="shared" si="49"/>
        <v>0</v>
      </c>
      <c r="Q402" s="4">
        <f>IF(AND(S402&gt;=[1]eRRSP_Rpt!$C$6,S402&lt;=[1]eRRSP_Rpt!$C$7),1,0)</f>
        <v>0</v>
      </c>
      <c r="R402" s="4"/>
      <c r="S402" s="4">
        <f t="shared" si="54"/>
        <v>2006</v>
      </c>
      <c r="T402" s="4"/>
      <c r="U402" s="4" t="str">
        <f t="shared" si="50"/>
        <v>DiviShares S&amp;P SmallCap</v>
      </c>
      <c r="V402" s="23">
        <f>IFERROR(IF(AND(AB402&gt;0,B402&lt;&gt;"Sell"),(AA402-SUMIF(C$4:C401,C402,AC$4:AC402))/AB402,0),"")</f>
        <v>-70.414404761904763</v>
      </c>
      <c r="W402" s="24" t="str">
        <f t="shared" si="52"/>
        <v/>
      </c>
      <c r="X402" s="25" t="str">
        <f t="shared" si="51"/>
        <v>iShares S&amp;P SmallCap_ACB</v>
      </c>
      <c r="Y402" s="10" t="str">
        <f>IF(S403&lt;&gt;eRRSP_Tx_Table[[#This Row],[Year]],SUMIFS($W$4:$W402,$S$4:$S402,eRRSP_Tx_Table[[#This Row],[Year]],$W$4:$W402,"&gt;0"),"")</f>
        <v/>
      </c>
      <c r="Z402" s="10" t="str">
        <f>IF(S403&lt;&gt;eRRSP_Tx_Table[[#This Row],[Year]],SUMIFS($W$4:$W402,$S$4:$S402,eRRSP_Tx_Table[[#This Row],[Year]],$W$4:$W402,"&lt;0"),"")</f>
        <v/>
      </c>
      <c r="AA402" s="3">
        <f>(SUMIF($U$4:$U402,CONCATENATE("Buy",$C402),$N$4:$N402)+SUMIF($U$4:$U402,CONCATENATE("ReinvDiv",$C402),$N$4:$N402))</f>
        <v>-5914.81</v>
      </c>
      <c r="AB402" s="3">
        <f>(SUMIF($U$4:$U402,CONCATENATE("Buy",$C402),$F$4:$F402)+SUMIF($U$4:$U402,CONCATENATE("ReinvDiv",$C402),$F$4:$F402)+SUMIF($U$4:$U402,CONCATENATE("StkSplit",$C402),$F$4:$F402)-SUMIF($U$4:$U402,CONCATENATE("Sell",$C402),$F$4:$F402))</f>
        <v>84</v>
      </c>
      <c r="AC402" s="3">
        <f>IF(B402="Sell",F402*INDEX(V:V,LOOKUP(2,1/(X$4:X401=CONCATENATE(C402,"_ACB")),ROW(V$4:V401))),0)</f>
        <v>0</v>
      </c>
    </row>
    <row r="403" spans="1:29" x14ac:dyDescent="0.25">
      <c r="A403" s="20">
        <v>39079</v>
      </c>
      <c r="B403" t="s">
        <v>42</v>
      </c>
      <c r="C403" t="s">
        <v>84</v>
      </c>
      <c r="D403" s="3">
        <v>60.53</v>
      </c>
      <c r="M403" s="21">
        <f t="shared" ref="M403:M468" si="55">ROUND(IF(OR(B403="Buy",B403="Sell"),E403*F403,D403),2)</f>
        <v>60.53</v>
      </c>
      <c r="N403" s="8">
        <f t="shared" si="53"/>
        <v>60.53</v>
      </c>
      <c r="O403" s="25">
        <f t="shared" ref="O403:O408" si="56">O402+IF(OR(B403="Cash",B403="Buy",B403="Sell",B403="Div",B403="Rebate",B403="Fees",B403="IntInc",B403="Tax",B403="Distr"),N403,0)</f>
        <v>16922.57</v>
      </c>
      <c r="P403" s="8">
        <f t="shared" ref="P403:P468" si="57">IF(OR($B403="Cash"),$N403,0)</f>
        <v>0</v>
      </c>
      <c r="Q403" s="4">
        <f>IF(AND(S403&gt;=[1]eRRSP_Rpt!$C$6,S403&lt;=[1]eRRSP_Rpt!$C$7),1,0)</f>
        <v>0</v>
      </c>
      <c r="R403" s="4"/>
      <c r="S403" s="4">
        <f t="shared" si="54"/>
        <v>2006</v>
      </c>
      <c r="T403" s="4"/>
      <c r="U403" s="4" t="str">
        <f t="shared" ref="U403:U468" si="58">CONCATENATE(B403,C403)</f>
        <v>DiviShares S&amp;P Europe 350 (US$)</v>
      </c>
      <c r="V403" s="23">
        <f>IFERROR(IF(AND(AB403&gt;0,B403&lt;&gt;"Sell"),(AA403-SUMIF(C$4:C402,C403,AC$4:AC403))/AB403,0),"")</f>
        <v>-98.637999999999991</v>
      </c>
      <c r="W403" s="24" t="str">
        <f t="shared" si="52"/>
        <v/>
      </c>
      <c r="X403" s="25" t="str">
        <f t="shared" si="51"/>
        <v>iShares S&amp;P Europe 350 (US$)_ACB</v>
      </c>
      <c r="Y403" s="10" t="str">
        <f>IF(S404&lt;&gt;eRRSP_Tx_Table[[#This Row],[Year]],SUMIFS($W$4:$W403,$S$4:$S403,eRRSP_Tx_Table[[#This Row],[Year]],$W$4:$W403,"&gt;0"),"")</f>
        <v/>
      </c>
      <c r="Z403" s="10" t="str">
        <f>IF(S404&lt;&gt;eRRSP_Tx_Table[[#This Row],[Year]],SUMIFS($W$4:$W403,$S$4:$S403,eRRSP_Tx_Table[[#This Row],[Year]],$W$4:$W403,"&lt;0"),"")</f>
        <v/>
      </c>
      <c r="AA403" s="3">
        <f>(SUMIF($U$4:$U403,CONCATENATE("Buy",$C403),$N$4:$N403)+SUMIF($U$4:$U403,CONCATENATE("ReinvDiv",$C403),$N$4:$N403))</f>
        <v>-2465.9499999999998</v>
      </c>
      <c r="AB403" s="3">
        <f>(SUMIF($U$4:$U403,CONCATENATE("Buy",$C403),$F$4:$F403)+SUMIF($U$4:$U403,CONCATENATE("ReinvDiv",$C403),$F$4:$F403)+SUMIF($U$4:$U403,CONCATENATE("StkSplit",$C403),$F$4:$F403)-SUMIF($U$4:$U403,CONCATENATE("Sell",$C403),$F$4:$F403))</f>
        <v>25</v>
      </c>
      <c r="AC403" s="3">
        <f>IF(B403="Sell",F403*INDEX(V:V,LOOKUP(2,1/(X$4:X402=CONCATENATE(C403,"_ACB")),ROW(V$4:V402))),0)</f>
        <v>0</v>
      </c>
    </row>
    <row r="404" spans="1:29" x14ac:dyDescent="0.25">
      <c r="A404" s="20">
        <v>39079</v>
      </c>
      <c r="B404" t="s">
        <v>42</v>
      </c>
      <c r="C404" t="s">
        <v>82</v>
      </c>
      <c r="D404" s="3">
        <v>162.97999999999999</v>
      </c>
      <c r="M404" s="21">
        <f t="shared" si="55"/>
        <v>162.97999999999999</v>
      </c>
      <c r="N404" s="8">
        <f t="shared" si="53"/>
        <v>162.97999999999999</v>
      </c>
      <c r="O404" s="25">
        <f t="shared" si="56"/>
        <v>17085.55</v>
      </c>
      <c r="P404" s="8">
        <f t="shared" si="57"/>
        <v>0</v>
      </c>
      <c r="Q404" s="4">
        <f>IF(AND(S404&gt;=[1]eRRSP_Rpt!$C$6,S404&lt;=[1]eRRSP_Rpt!$C$7),1,0)</f>
        <v>0</v>
      </c>
      <c r="R404" s="4"/>
      <c r="S404" s="4">
        <f t="shared" si="54"/>
        <v>2006</v>
      </c>
      <c r="T404" s="4"/>
      <c r="U404" s="4" t="str">
        <f t="shared" si="58"/>
        <v>DiviShares S&amp;P Latin America (US$)</v>
      </c>
      <c r="V404" s="23">
        <f>IFERROR(IF(AND(AB404&gt;0,B404&lt;&gt;"Sell"),(AA404-SUMIF(C$4:C403,C404,AC$4:AC404))/AB404,0),"")</f>
        <v>-162.38837209302326</v>
      </c>
      <c r="W404" s="24" t="str">
        <f t="shared" si="52"/>
        <v/>
      </c>
      <c r="X404" s="25" t="str">
        <f t="shared" si="51"/>
        <v>iShares S&amp;P Latin America (US$)_ACB</v>
      </c>
      <c r="Y404" s="10" t="str">
        <f>IF(S405&lt;&gt;eRRSP_Tx_Table[[#This Row],[Year]],SUMIFS($W$4:$W404,$S$4:$S404,eRRSP_Tx_Table[[#This Row],[Year]],$W$4:$W404,"&gt;0"),"")</f>
        <v/>
      </c>
      <c r="Z404" s="10" t="str">
        <f>IF(S405&lt;&gt;eRRSP_Tx_Table[[#This Row],[Year]],SUMIFS($W$4:$W404,$S$4:$S404,eRRSP_Tx_Table[[#This Row],[Year]],$W$4:$W404,"&lt;0"),"")</f>
        <v/>
      </c>
      <c r="AA404" s="3">
        <f>(SUMIF($U$4:$U404,CONCATENATE("Buy",$C404),$N$4:$N404)+SUMIF($U$4:$U404,CONCATENATE("ReinvDiv",$C404),$N$4:$N404))</f>
        <v>-6982.7</v>
      </c>
      <c r="AB404" s="3">
        <f>(SUMIF($U$4:$U404,CONCATENATE("Buy",$C404),$F$4:$F404)+SUMIF($U$4:$U404,CONCATENATE("ReinvDiv",$C404),$F$4:$F404)+SUMIF($U$4:$U404,CONCATENATE("StkSplit",$C404),$F$4:$F404)-SUMIF($U$4:$U404,CONCATENATE("Sell",$C404),$F$4:$F404))</f>
        <v>43</v>
      </c>
      <c r="AC404" s="3">
        <f>IF(B404="Sell",F404*INDEX(V:V,LOOKUP(2,1/(X$4:X403=CONCATENATE(C404,"_ACB")),ROW(V$4:V403))),0)</f>
        <v>0</v>
      </c>
    </row>
    <row r="405" spans="1:29" x14ac:dyDescent="0.25">
      <c r="A405" s="20">
        <v>39080</v>
      </c>
      <c r="B405" t="s">
        <v>42</v>
      </c>
      <c r="C405" t="s">
        <v>81</v>
      </c>
      <c r="D405" s="3">
        <v>33.42</v>
      </c>
      <c r="M405" s="21">
        <f t="shared" si="55"/>
        <v>33.42</v>
      </c>
      <c r="N405" s="8">
        <f t="shared" si="53"/>
        <v>33.42</v>
      </c>
      <c r="O405" s="25">
        <f t="shared" si="56"/>
        <v>17118.969999999998</v>
      </c>
      <c r="P405" s="8">
        <f t="shared" si="57"/>
        <v>0</v>
      </c>
      <c r="Q405" s="4">
        <f>IF(AND(S405&gt;=[1]eRRSP_Rpt!$C$6,S405&lt;=[1]eRRSP_Rpt!$C$7),1,0)</f>
        <v>0</v>
      </c>
      <c r="R405" s="4"/>
      <c r="S405" s="4">
        <f t="shared" si="54"/>
        <v>2006</v>
      </c>
      <c r="T405" s="4"/>
      <c r="U405" s="4" t="str">
        <f t="shared" si="58"/>
        <v>DiviShares MSCI Japan (US$)</v>
      </c>
      <c r="V405" s="23">
        <f>IFERROR(IF(AND(AB405&gt;0,B405&lt;&gt;"Sell"),(AA405-SUMIF(C$4:C404,C405,AC$4:AC405))/AB405,0),"")</f>
        <v>-15.999758620689656</v>
      </c>
      <c r="W405" s="24" t="str">
        <f t="shared" si="52"/>
        <v/>
      </c>
      <c r="X405" s="25" t="str">
        <f t="shared" si="51"/>
        <v>iShares MSCI Japan (US$)_ACB</v>
      </c>
      <c r="Y405" s="10" t="str">
        <f>IF(S406&lt;&gt;eRRSP_Tx_Table[[#This Row],[Year]],SUMIFS($W$4:$W405,$S$4:$S405,eRRSP_Tx_Table[[#This Row],[Year]],$W$4:$W405,"&gt;0"),"")</f>
        <v/>
      </c>
      <c r="Z405" s="10" t="str">
        <f>IF(S406&lt;&gt;eRRSP_Tx_Table[[#This Row],[Year]],SUMIFS($W$4:$W405,$S$4:$S405,eRRSP_Tx_Table[[#This Row],[Year]],$W$4:$W405,"&lt;0"),"")</f>
        <v/>
      </c>
      <c r="AA405" s="3">
        <f>(SUMIF($U$4:$U405,CONCATENATE("Buy",$C405),$N$4:$N405)+SUMIF($U$4:$U405,CONCATENATE("ReinvDiv",$C405),$N$4:$N405))</f>
        <v>-4639.93</v>
      </c>
      <c r="AB405" s="3">
        <f>(SUMIF($U$4:$U405,CONCATENATE("Buy",$C405),$F$4:$F405)+SUMIF($U$4:$U405,CONCATENATE("ReinvDiv",$C405),$F$4:$F405)+SUMIF($U$4:$U405,CONCATENATE("StkSplit",$C405),$F$4:$F405)-SUMIF($U$4:$U405,CONCATENATE("Sell",$C405),$F$4:$F405))</f>
        <v>290</v>
      </c>
      <c r="AC405" s="3">
        <f>IF(B405="Sell",F405*INDEX(V:V,LOOKUP(2,1/(X$4:X404=CONCATENATE(C405,"_ACB")),ROW(V$4:V404))),0)</f>
        <v>0</v>
      </c>
    </row>
    <row r="406" spans="1:29" x14ac:dyDescent="0.25">
      <c r="A406" s="20">
        <v>39080</v>
      </c>
      <c r="B406" t="s">
        <v>42</v>
      </c>
      <c r="C406" t="s">
        <v>83</v>
      </c>
      <c r="D406" s="3">
        <v>150.99</v>
      </c>
      <c r="M406" s="21">
        <f t="shared" si="55"/>
        <v>150.99</v>
      </c>
      <c r="N406" s="8">
        <f t="shared" si="53"/>
        <v>150.99</v>
      </c>
      <c r="O406" s="25">
        <f t="shared" si="56"/>
        <v>17269.96</v>
      </c>
      <c r="P406" s="8">
        <f t="shared" si="57"/>
        <v>0</v>
      </c>
      <c r="Q406" s="4">
        <f>IF(AND(S406&gt;=[1]eRRSP_Rpt!$C$6,S406&lt;=[1]eRRSP_Rpt!$C$7),1,0)</f>
        <v>0</v>
      </c>
      <c r="R406" s="4"/>
      <c r="S406" s="4">
        <f t="shared" si="54"/>
        <v>2006</v>
      </c>
      <c r="T406" s="4"/>
      <c r="U406" s="4" t="str">
        <f t="shared" si="58"/>
        <v>DiviShares MSCI South Africa (US$)</v>
      </c>
      <c r="V406" s="23">
        <f>IFERROR(IF(AND(AB406&gt;0,B406&lt;&gt;"Sell"),(AA406-SUMIF(C$4:C405,C406,AC$4:AC406))/AB406,0),"")</f>
        <v>-133.39884615384614</v>
      </c>
      <c r="W406" s="24" t="str">
        <f t="shared" si="52"/>
        <v/>
      </c>
      <c r="X406" s="25" t="str">
        <f t="shared" si="51"/>
        <v>iShares MSCI South Africa (US$)_ACB</v>
      </c>
      <c r="Y406" s="10" t="str">
        <f>IF(S407&lt;&gt;eRRSP_Tx_Table[[#This Row],[Year]],SUMIFS($W$4:$W406,$S$4:$S406,eRRSP_Tx_Table[[#This Row],[Year]],$W$4:$W406,"&gt;0"),"")</f>
        <v/>
      </c>
      <c r="Z406" s="10" t="str">
        <f>IF(S407&lt;&gt;eRRSP_Tx_Table[[#This Row],[Year]],SUMIFS($W$4:$W406,$S$4:$S406,eRRSP_Tx_Table[[#This Row],[Year]],$W$4:$W406,"&lt;0"),"")</f>
        <v/>
      </c>
      <c r="AA406" s="3">
        <f>(SUMIF($U$4:$U406,CONCATENATE("Buy",$C406),$N$4:$N406)+SUMIF($U$4:$U406,CONCATENATE("ReinvDiv",$C406),$N$4:$N406))</f>
        <v>-6936.74</v>
      </c>
      <c r="AB406" s="3">
        <f>(SUMIF($U$4:$U406,CONCATENATE("Buy",$C406),$F$4:$F406)+SUMIF($U$4:$U406,CONCATENATE("ReinvDiv",$C406),$F$4:$F406)+SUMIF($U$4:$U406,CONCATENATE("StkSplit",$C406),$F$4:$F406)-SUMIF($U$4:$U406,CONCATENATE("Sell",$C406),$F$4:$F406))</f>
        <v>52</v>
      </c>
      <c r="AC406" s="3">
        <f>IF(B406="Sell",F406*INDEX(V:V,LOOKUP(2,1/(X$4:X405=CONCATENATE(C406,"_ACB")),ROW(V$4:V405))),0)</f>
        <v>0</v>
      </c>
    </row>
    <row r="407" spans="1:29" x14ac:dyDescent="0.25">
      <c r="A407" s="20">
        <v>39080</v>
      </c>
      <c r="B407" t="s">
        <v>42</v>
      </c>
      <c r="C407" t="s">
        <v>75</v>
      </c>
      <c r="D407" s="3">
        <v>150.31</v>
      </c>
      <c r="M407" s="21">
        <f t="shared" si="55"/>
        <v>150.31</v>
      </c>
      <c r="N407" s="8">
        <f t="shared" si="53"/>
        <v>150.31</v>
      </c>
      <c r="O407" s="25">
        <f t="shared" si="56"/>
        <v>17420.27</v>
      </c>
      <c r="P407" s="8">
        <f t="shared" si="57"/>
        <v>0</v>
      </c>
      <c r="Q407" s="4">
        <f>IF(AND(S407&gt;=[1]eRRSP_Rpt!$C$6,S407&lt;=[1]eRRSP_Rpt!$C$7),1,0)</f>
        <v>0</v>
      </c>
      <c r="R407" s="4"/>
      <c r="S407" s="4">
        <f t="shared" si="54"/>
        <v>2006</v>
      </c>
      <c r="T407" s="4"/>
      <c r="U407" s="4" t="str">
        <f t="shared" si="58"/>
        <v>DiviShares MSCI CDN</v>
      </c>
      <c r="V407" s="23">
        <f>IFERROR(IF(AND(AB407&gt;0,B407&lt;&gt;"Sell"),(AA407-SUMIF(C$4:C406,C407,AC$4:AC407))/AB407,0),"")</f>
        <v>-22.416666666666668</v>
      </c>
      <c r="W407" s="24" t="str">
        <f t="shared" si="52"/>
        <v/>
      </c>
      <c r="X407" s="25" t="str">
        <f t="shared" si="51"/>
        <v>iShares MSCI CDN_ACB</v>
      </c>
      <c r="Y407" s="10" t="str">
        <f>IF(S408&lt;&gt;eRRSP_Tx_Table[[#This Row],[Year]],SUMIFS($W$4:$W407,$S$4:$S407,eRRSP_Tx_Table[[#This Row],[Year]],$W$4:$W407,"&gt;0"),"")</f>
        <v/>
      </c>
      <c r="Z407" s="10" t="str">
        <f>IF(S408&lt;&gt;eRRSP_Tx_Table[[#This Row],[Year]],SUMIFS($W$4:$W407,$S$4:$S407,eRRSP_Tx_Table[[#This Row],[Year]],$W$4:$W407,"&lt;0"),"")</f>
        <v/>
      </c>
      <c r="AA407" s="3">
        <f>(SUMIF($U$4:$U407,CONCATENATE("Buy",$C407),$N$4:$N407)+SUMIF($U$4:$U407,CONCATENATE("ReinvDiv",$C407),$N$4:$N407))</f>
        <v>-6725</v>
      </c>
      <c r="AB407" s="3">
        <f>(SUMIF($U$4:$U407,CONCATENATE("Buy",$C407),$F$4:$F407)+SUMIF($U$4:$U407,CONCATENATE("ReinvDiv",$C407),$F$4:$F407)+SUMIF($U$4:$U407,CONCATENATE("StkSplit",$C407),$F$4:$F407)-SUMIF($U$4:$U407,CONCATENATE("Sell",$C407),$F$4:$F407))</f>
        <v>300</v>
      </c>
      <c r="AC407" s="3">
        <f>IF(B407="Sell",F407*INDEX(V:V,LOOKUP(2,1/(X$4:X406=CONCATENATE(C407,"_ACB")),ROW(V$4:V406))),0)</f>
        <v>0</v>
      </c>
    </row>
    <row r="408" spans="1:29" x14ac:dyDescent="0.25">
      <c r="A408" s="20">
        <v>39080</v>
      </c>
      <c r="B408" t="s">
        <v>41</v>
      </c>
      <c r="C408" t="s">
        <v>71</v>
      </c>
      <c r="D408" s="3">
        <v>239.42</v>
      </c>
      <c r="E408">
        <v>6.6793139999999998</v>
      </c>
      <c r="F408" s="3">
        <v>35.844999999999999</v>
      </c>
      <c r="M408" s="21">
        <f t="shared" si="55"/>
        <v>239.42</v>
      </c>
      <c r="N408" s="8">
        <f t="shared" si="53"/>
        <v>-239.42</v>
      </c>
      <c r="O408" s="25">
        <f t="shared" si="56"/>
        <v>17420.27</v>
      </c>
      <c r="P408" s="8">
        <f t="shared" si="57"/>
        <v>0</v>
      </c>
      <c r="Q408" s="4">
        <f>IF(AND(S408&gt;=[1]eRRSP_Rpt!$C$6,S408&lt;=[1]eRRSP_Rpt!$C$7),1,0)</f>
        <v>0</v>
      </c>
      <c r="R408" s="4"/>
      <c r="S408" s="4">
        <f t="shared" si="54"/>
        <v>2006</v>
      </c>
      <c r="T408" s="4"/>
      <c r="U408" s="4" t="str">
        <f t="shared" si="58"/>
        <v>ReinvDivFront St SmallCap</v>
      </c>
      <c r="V408" s="23">
        <f>IFERROR(IF(AND(AB408&gt;0,B408&lt;&gt;"Sell"),(AA408-SUMIF(C$4:C407,C408,AC$4:AC408))/AB408,0),"")</f>
        <v>-4.8707152403431913</v>
      </c>
      <c r="W408" s="24" t="str">
        <f t="shared" si="52"/>
        <v/>
      </c>
      <c r="X408" s="25" t="str">
        <f t="shared" si="51"/>
        <v>Front St SmallCap_ACB</v>
      </c>
      <c r="Y408" s="10" t="str">
        <f>IF(S409&lt;&gt;eRRSP_Tx_Table[[#This Row],[Year]],SUMIFS($W$4:$W408,$S$4:$S408,eRRSP_Tx_Table[[#This Row],[Year]],$W$4:$W408,"&gt;0"),"")</f>
        <v/>
      </c>
      <c r="Z408" s="10" t="str">
        <f>IF(S409&lt;&gt;eRRSP_Tx_Table[[#This Row],[Year]],SUMIFS($W$4:$W408,$S$4:$S408,eRRSP_Tx_Table[[#This Row],[Year]],$W$4:$W408,"&lt;0"),"")</f>
        <v/>
      </c>
      <c r="AA408" s="3">
        <f>(SUMIF($U$4:$U408,CONCATENATE("Buy",$C408),$N$4:$N408)+SUMIF($U$4:$U408,CONCATENATE("ReinvDiv",$C408),$N$4:$N408))</f>
        <v>-8746.1200000000008</v>
      </c>
      <c r="AB408" s="3">
        <f>(SUMIF($U$4:$U408,CONCATENATE("Buy",$C408),$F$4:$F408)+SUMIF($U$4:$U408,CONCATENATE("ReinvDiv",$C408),$F$4:$F408)+SUMIF($U$4:$U408,CONCATENATE("StkSplit",$C408),$F$4:$F408)-SUMIF($U$4:$U408,CONCATENATE("Sell",$C408),$F$4:$F408))</f>
        <v>492.18000000000006</v>
      </c>
      <c r="AC408" s="3">
        <f>IF(B408="Sell",F408*INDEX(V:V,LOOKUP(2,1/(X$4:X407=CONCATENATE(C408,"_ACB")),ROW(V$4:V407))),0)</f>
        <v>0</v>
      </c>
    </row>
    <row r="409" spans="1:29" ht="13.5" customHeight="1" x14ac:dyDescent="0.25">
      <c r="A409" s="32">
        <f>A337+364</f>
        <v>39082</v>
      </c>
      <c r="B409" s="33"/>
      <c r="C409" s="33"/>
      <c r="D409" s="34"/>
      <c r="E409" s="33"/>
      <c r="F409" s="34"/>
      <c r="G409" s="33"/>
      <c r="H409" s="33"/>
      <c r="I409" s="33"/>
      <c r="J409" s="33"/>
      <c r="K409" s="33"/>
      <c r="L409" s="33"/>
      <c r="M409" s="35"/>
      <c r="N409" s="8">
        <f t="shared" si="53"/>
        <v>0</v>
      </c>
      <c r="O409" s="36"/>
      <c r="P409" s="37">
        <v>-83910.05</v>
      </c>
      <c r="Q409" s="4">
        <f>IF(AND(S409&gt;=[1]eRRSP_Rpt!$C$6,S409&lt;=[1]eRRSP_Rpt!$C$7),1,0)</f>
        <v>0</v>
      </c>
      <c r="R409" s="4" t="s">
        <v>34</v>
      </c>
      <c r="S409" s="4">
        <f>YEAR(A409)</f>
        <v>2006</v>
      </c>
      <c r="T409" s="22"/>
      <c r="U409" s="4"/>
      <c r="V409" s="23">
        <f>IFERROR(IF(AND(AB409&gt;0,B409&lt;&gt;"Sell"),(AA409-SUMIF(C$4:C408,C409,AC$4:AC409))/AB409,0),"")</f>
        <v>0</v>
      </c>
      <c r="W409" s="24" t="str">
        <f t="shared" si="52"/>
        <v/>
      </c>
      <c r="X409" s="25" t="str">
        <f t="shared" si="51"/>
        <v/>
      </c>
      <c r="Y409" s="10">
        <f>IF(S410&lt;&gt;eRRSP_Tx_Table[[#This Row],[Year]],SUMIFS($W$4:$W409,$S$4:$S409,eRRSP_Tx_Table[[#This Row],[Year]],$W$4:$W409,"&gt;0"),"")</f>
        <v>6606.0588576402115</v>
      </c>
      <c r="Z409" s="10">
        <f>IF(S410&lt;&gt;eRRSP_Tx_Table[[#This Row],[Year]],SUMIFS($W$4:$W409,$S$4:$S409,eRRSP_Tx_Table[[#This Row],[Year]],$W$4:$W409,"&lt;0"),"")</f>
        <v>-604.49438681362562</v>
      </c>
      <c r="AA409" s="3">
        <f>(SUMIF($U$4:$U409,CONCATENATE("Buy",$C409),$N$4:$N409)+SUMIF($U$4:$U409,CONCATENATE("ReinvDiv",$C409),$N$4:$N409))</f>
        <v>0</v>
      </c>
      <c r="AB409" s="3">
        <f>(SUMIF($U$4:$U409,CONCATENATE("Buy",$C409),$F$4:$F409)+SUMIF($U$4:$U409,CONCATENATE("ReinvDiv",$C409),$F$4:$F409)+SUMIF($U$4:$U409,CONCATENATE("StkSplit",$C409),$F$4:$F409)-SUMIF($U$4:$U409,CONCATENATE("Sell",$C409),$F$4:$F409))</f>
        <v>0</v>
      </c>
      <c r="AC409" s="3">
        <f>IF(B409="Sell",F409*INDEX(V:V,LOOKUP(2,1/(X$4:X408=CONCATENATE(C409,"_ACB")),ROW(V$4:V408))),0)</f>
        <v>0</v>
      </c>
    </row>
    <row r="410" spans="1:29" ht="13.5" customHeight="1" x14ac:dyDescent="0.25">
      <c r="A410" s="32">
        <f>A409+1</f>
        <v>39083</v>
      </c>
      <c r="B410" s="33"/>
      <c r="C410" s="33"/>
      <c r="D410" s="34"/>
      <c r="E410" s="33"/>
      <c r="F410" s="34"/>
      <c r="G410" s="33"/>
      <c r="H410" s="33"/>
      <c r="I410" s="33"/>
      <c r="J410" s="33"/>
      <c r="K410" s="33"/>
      <c r="L410" s="33"/>
      <c r="M410" s="35"/>
      <c r="N410" s="8">
        <f t="shared" si="53"/>
        <v>0</v>
      </c>
      <c r="O410" s="36"/>
      <c r="P410" s="37">
        <f>-P409</f>
        <v>83910.05</v>
      </c>
      <c r="Q410" s="4">
        <f>IF(AND(S410&gt;=[1]eRRSP_Rpt!$C$6,S410&lt;=[1]eRRSP_Rpt!$C$7),1,0)</f>
        <v>0</v>
      </c>
      <c r="R410" s="4" t="s">
        <v>34</v>
      </c>
      <c r="S410" s="4">
        <f>YEAR(A410)</f>
        <v>2007</v>
      </c>
      <c r="T410" s="22"/>
      <c r="U410" s="4"/>
      <c r="V410" s="23">
        <f>IFERROR(IF(AND(AB410&gt;0,B410&lt;&gt;"Sell"),(AA410-SUMIF(C$4:C409,C410,AC$4:AC410))/AB410,0),"")</f>
        <v>0</v>
      </c>
      <c r="W410" s="24" t="str">
        <f t="shared" si="52"/>
        <v/>
      </c>
      <c r="X410" s="25" t="str">
        <f t="shared" si="51"/>
        <v/>
      </c>
      <c r="Y410" s="10" t="str">
        <f>IF(S411&lt;&gt;eRRSP_Tx_Table[[#This Row],[Year]],SUMIFS($W$4:$W410,$S$4:$S410,eRRSP_Tx_Table[[#This Row],[Year]],$W$4:$W410,"&gt;0"),"")</f>
        <v/>
      </c>
      <c r="Z410" s="10" t="str">
        <f>IF(S411&lt;&gt;eRRSP_Tx_Table[[#This Row],[Year]],SUMIFS($W$4:$W410,$S$4:$S410,eRRSP_Tx_Table[[#This Row],[Year]],$W$4:$W410,"&lt;0"),"")</f>
        <v/>
      </c>
      <c r="AA410" s="3">
        <f>(SUMIF($U$4:$U410,CONCATENATE("Buy",$C410),$N$4:$N410)+SUMIF($U$4:$U410,CONCATENATE("ReinvDiv",$C410),$N$4:$N410))</f>
        <v>0</v>
      </c>
      <c r="AB410" s="3">
        <f>(SUMIF($U$4:$U410,CONCATENATE("Buy",$C410),$F$4:$F410)+SUMIF($U$4:$U410,CONCATENATE("ReinvDiv",$C410),$F$4:$F410)+SUMIF($U$4:$U410,CONCATENATE("StkSplit",$C410),$F$4:$F410)-SUMIF($U$4:$U410,CONCATENATE("Sell",$C410),$F$4:$F410))</f>
        <v>0</v>
      </c>
      <c r="AC410" s="3">
        <f>IF(B410="Sell",F410*INDEX(V:V,LOOKUP(2,1/(X$4:X409=CONCATENATE(C410,"_ACB")),ROW(V$4:V409))),0)</f>
        <v>0</v>
      </c>
    </row>
    <row r="411" spans="1:29" x14ac:dyDescent="0.25">
      <c r="A411" s="20">
        <v>39097</v>
      </c>
      <c r="B411" t="s">
        <v>41</v>
      </c>
      <c r="C411" t="s">
        <v>39</v>
      </c>
      <c r="D411" s="3">
        <v>2.3199999999999998</v>
      </c>
      <c r="E411">
        <v>11.72</v>
      </c>
      <c r="F411" s="3">
        <v>0.19800000000000001</v>
      </c>
      <c r="M411" s="21">
        <f t="shared" si="55"/>
        <v>2.3199999999999998</v>
      </c>
      <c r="N411" s="8">
        <f t="shared" si="53"/>
        <v>-2.3199999999999998</v>
      </c>
      <c r="O411" s="25">
        <f>O408+IF(OR(B411="Cash",B411="Buy",B411="Sell",B411="Div",B411="Rebate",B411="Fees",B411="IntInc",B411="Tax",B411="Distr"),N411,0)</f>
        <v>17420.27</v>
      </c>
      <c r="P411" s="8">
        <f t="shared" si="57"/>
        <v>0</v>
      </c>
      <c r="Q411" s="4">
        <f>IF(AND(S411&gt;=[1]eRRSP_Rpt!$C$6,S411&lt;=[1]eRRSP_Rpt!$C$7),1,0)</f>
        <v>0</v>
      </c>
      <c r="R411" s="4"/>
      <c r="S411" s="4">
        <f t="shared" si="54"/>
        <v>2007</v>
      </c>
      <c r="T411" s="4"/>
      <c r="U411" s="4" t="str">
        <f t="shared" si="58"/>
        <v>ReinvDivTrimark Income Growth</v>
      </c>
      <c r="V411" s="23">
        <f>IFERROR(IF(AND(AB411&gt;0,B411&lt;&gt;"Sell"),(AA411-SUMIF(C$4:C410,C411,AC$4:AC411))/AB411,0),"")</f>
        <v>-8.260089848561698</v>
      </c>
      <c r="W411" s="24" t="str">
        <f t="shared" si="52"/>
        <v/>
      </c>
      <c r="X411" s="25" t="str">
        <f t="shared" si="51"/>
        <v>Trimark Income Growth_ACB</v>
      </c>
      <c r="Y411" s="10" t="str">
        <f>IF(S412&lt;&gt;eRRSP_Tx_Table[[#This Row],[Year]],SUMIFS($W$4:$W411,$S$4:$S411,eRRSP_Tx_Table[[#This Row],[Year]],$W$4:$W411,"&gt;0"),"")</f>
        <v/>
      </c>
      <c r="Z411" s="10" t="str">
        <f>IF(S412&lt;&gt;eRRSP_Tx_Table[[#This Row],[Year]],SUMIFS($W$4:$W411,$S$4:$S411,eRRSP_Tx_Table[[#This Row],[Year]],$W$4:$W411,"&lt;0"),"")</f>
        <v/>
      </c>
      <c r="AA411" s="3">
        <f>(SUMIF($U$4:$U411,CONCATENATE("Buy",$C411),$N$4:$N411)+SUMIF($U$4:$U411,CONCATENATE("ReinvDiv",$C411),$N$4:$N411))</f>
        <v>-2735.94</v>
      </c>
      <c r="AB411" s="3">
        <f>(SUMIF($U$4:$U411,CONCATENATE("Buy",$C411),$F$4:$F411)+SUMIF($U$4:$U411,CONCATENATE("ReinvDiv",$C411),$F$4:$F411)+SUMIF($U$4:$U411,CONCATENATE("StkSplit",$C411),$F$4:$F411)-SUMIF($U$4:$U411,CONCATENATE("Sell",$C411),$F$4:$F411))</f>
        <v>331.22399999999999</v>
      </c>
      <c r="AC411" s="3">
        <f>IF(B411="Sell",F411*INDEX(V:V,LOOKUP(2,1/(X$4:X410=CONCATENATE(C411,"_ACB")),ROW(V$4:V410))),0)</f>
        <v>0</v>
      </c>
    </row>
    <row r="412" spans="1:29" x14ac:dyDescent="0.25">
      <c r="A412" s="20">
        <v>39098</v>
      </c>
      <c r="B412" t="s">
        <v>43</v>
      </c>
      <c r="C412" t="s">
        <v>36</v>
      </c>
      <c r="D412" s="3">
        <v>18.239999999999998</v>
      </c>
      <c r="M412" s="21">
        <f t="shared" si="55"/>
        <v>18.239999999999998</v>
      </c>
      <c r="N412" s="8">
        <f t="shared" si="53"/>
        <v>18.239999999999998</v>
      </c>
      <c r="O412" s="25">
        <f t="shared" ref="O412:O475" si="59">O411+IF(OR(B412="Cash",B412="Buy",B412="Sell",B412="Div",B412="Rebate",B412="Fees",B412="IntInc",B412="Tax",B412="Distr"),N412,0)</f>
        <v>17438.510000000002</v>
      </c>
      <c r="P412" s="8">
        <f t="shared" si="57"/>
        <v>0</v>
      </c>
      <c r="Q412" s="4">
        <f>IF(AND(S412&gt;=[1]eRRSP_Rpt!$C$6,S412&lt;=[1]eRRSP_Rpt!$C$7),1,0)</f>
        <v>0</v>
      </c>
      <c r="R412" s="4"/>
      <c r="S412" s="4">
        <f t="shared" si="54"/>
        <v>2007</v>
      </c>
      <c r="T412" s="4"/>
      <c r="U412" s="4" t="str">
        <f t="shared" si="58"/>
        <v>IntIncTDW</v>
      </c>
      <c r="V412" s="23">
        <f>IFERROR(IF(AND(AB412&gt;0,B412&lt;&gt;"Sell"),(AA412-SUMIF(C$4:C411,C412,AC$4:AC412))/AB412,0),"")</f>
        <v>0</v>
      </c>
      <c r="W412" s="24" t="str">
        <f t="shared" si="52"/>
        <v/>
      </c>
      <c r="X412" s="25" t="str">
        <f t="shared" si="51"/>
        <v/>
      </c>
      <c r="Y412" s="10" t="str">
        <f>IF(S413&lt;&gt;eRRSP_Tx_Table[[#This Row],[Year]],SUMIFS($W$4:$W412,$S$4:$S412,eRRSP_Tx_Table[[#This Row],[Year]],$W$4:$W412,"&gt;0"),"")</f>
        <v/>
      </c>
      <c r="Z412" s="10" t="str">
        <f>IF(S413&lt;&gt;eRRSP_Tx_Table[[#This Row],[Year]],SUMIFS($W$4:$W412,$S$4:$S412,eRRSP_Tx_Table[[#This Row],[Year]],$W$4:$W412,"&lt;0"),"")</f>
        <v/>
      </c>
      <c r="AA412" s="3">
        <f>(SUMIF($U$4:$U412,CONCATENATE("Buy",$C412),$N$4:$N412)+SUMIF($U$4:$U412,CONCATENATE("ReinvDiv",$C412),$N$4:$N412))</f>
        <v>0</v>
      </c>
      <c r="AB412" s="3">
        <f>(SUMIF($U$4:$U412,CONCATENATE("Buy",$C412),$F$4:$F412)+SUMIF($U$4:$U412,CONCATENATE("ReinvDiv",$C412),$F$4:$F412)+SUMIF($U$4:$U412,CONCATENATE("StkSplit",$C412),$F$4:$F412)-SUMIF($U$4:$U412,CONCATENATE("Sell",$C412),$F$4:$F412))</f>
        <v>0</v>
      </c>
      <c r="AC412" s="3">
        <f>IF(B412="Sell",F412*INDEX(V:V,LOOKUP(2,1/(X$4:X411=CONCATENATE(C412,"_ACB")),ROW(V$4:V411))),0)</f>
        <v>0</v>
      </c>
    </row>
    <row r="413" spans="1:29" x14ac:dyDescent="0.25">
      <c r="A413" s="20">
        <v>39099</v>
      </c>
      <c r="B413" t="s">
        <v>30</v>
      </c>
      <c r="C413" t="s">
        <v>31</v>
      </c>
      <c r="D413" s="3">
        <v>4500</v>
      </c>
      <c r="M413" s="21">
        <f t="shared" si="55"/>
        <v>4500</v>
      </c>
      <c r="N413" s="8">
        <f t="shared" si="53"/>
        <v>4500</v>
      </c>
      <c r="O413" s="25">
        <f t="shared" si="59"/>
        <v>21938.510000000002</v>
      </c>
      <c r="P413" s="8">
        <f t="shared" si="57"/>
        <v>4500</v>
      </c>
      <c r="Q413" s="4">
        <f>IF(AND(S413&gt;=[1]eRRSP_Rpt!$C$6,S413&lt;=[1]eRRSP_Rpt!$C$7),1,0)</f>
        <v>0</v>
      </c>
      <c r="R413" s="4"/>
      <c r="S413" s="4">
        <f t="shared" si="54"/>
        <v>2007</v>
      </c>
      <c r="T413" s="4"/>
      <c r="U413" s="4" t="str">
        <f t="shared" si="58"/>
        <v>CashContribution</v>
      </c>
      <c r="V413" s="23">
        <f>IFERROR(IF(AND(AB413&gt;0,B413&lt;&gt;"Sell"),(AA413-SUMIF(C$4:C412,C413,AC$4:AC413))/AB413,0),"")</f>
        <v>0</v>
      </c>
      <c r="W413" s="24" t="str">
        <f t="shared" si="52"/>
        <v/>
      </c>
      <c r="X413" s="25" t="str">
        <f t="shared" si="51"/>
        <v/>
      </c>
      <c r="Y413" s="10" t="str">
        <f>IF(S414&lt;&gt;eRRSP_Tx_Table[[#This Row],[Year]],SUMIFS($W$4:$W413,$S$4:$S413,eRRSP_Tx_Table[[#This Row],[Year]],$W$4:$W413,"&gt;0"),"")</f>
        <v/>
      </c>
      <c r="Z413" s="10" t="str">
        <f>IF(S414&lt;&gt;eRRSP_Tx_Table[[#This Row],[Year]],SUMIFS($W$4:$W413,$S$4:$S413,eRRSP_Tx_Table[[#This Row],[Year]],$W$4:$W413,"&lt;0"),"")</f>
        <v/>
      </c>
      <c r="AA413" s="3">
        <f>(SUMIF($U$4:$U413,CONCATENATE("Buy",$C413),$N$4:$N413)+SUMIF($U$4:$U413,CONCATENATE("ReinvDiv",$C413),$N$4:$N413))</f>
        <v>0</v>
      </c>
      <c r="AB413" s="3">
        <f>(SUMIF($U$4:$U413,CONCATENATE("Buy",$C413),$F$4:$F413)+SUMIF($U$4:$U413,CONCATENATE("ReinvDiv",$C413),$F$4:$F413)+SUMIF($U$4:$U413,CONCATENATE("StkSplit",$C413),$F$4:$F413)-SUMIF($U$4:$U413,CONCATENATE("Sell",$C413),$F$4:$F413))</f>
        <v>0</v>
      </c>
      <c r="AC413" s="3">
        <f>IF(B413="Sell",F413*INDEX(V:V,LOOKUP(2,1/(X$4:X412=CONCATENATE(C413,"_ACB")),ROW(V$4:V412))),0)</f>
        <v>0</v>
      </c>
    </row>
    <row r="414" spans="1:29" x14ac:dyDescent="0.25">
      <c r="A414" s="20">
        <v>39108</v>
      </c>
      <c r="B414" t="s">
        <v>30</v>
      </c>
      <c r="C414" t="s">
        <v>31</v>
      </c>
      <c r="D414" s="3">
        <v>3000</v>
      </c>
      <c r="M414" s="21">
        <f t="shared" si="55"/>
        <v>3000</v>
      </c>
      <c r="N414" s="8">
        <f t="shared" si="53"/>
        <v>3000</v>
      </c>
      <c r="O414" s="25">
        <f t="shared" si="59"/>
        <v>24938.510000000002</v>
      </c>
      <c r="P414" s="8">
        <f t="shared" si="57"/>
        <v>3000</v>
      </c>
      <c r="Q414" s="4">
        <f>IF(AND(S414&gt;=[1]eRRSP_Rpt!$C$6,S414&lt;=[1]eRRSP_Rpt!$C$7),1,0)</f>
        <v>0</v>
      </c>
      <c r="R414" s="4"/>
      <c r="S414" s="4">
        <f t="shared" si="54"/>
        <v>2007</v>
      </c>
      <c r="T414" s="4"/>
      <c r="U414" s="4" t="str">
        <f t="shared" si="58"/>
        <v>CashContribution</v>
      </c>
      <c r="V414" s="23">
        <f>IFERROR(IF(AND(AB414&gt;0,B414&lt;&gt;"Sell"),(AA414-SUMIF(C$4:C413,C414,AC$4:AC414))/AB414,0),"")</f>
        <v>0</v>
      </c>
      <c r="W414" s="24" t="str">
        <f t="shared" si="52"/>
        <v/>
      </c>
      <c r="X414" s="25" t="str">
        <f t="shared" si="51"/>
        <v/>
      </c>
      <c r="Y414" s="10" t="str">
        <f>IF(S415&lt;&gt;eRRSP_Tx_Table[[#This Row],[Year]],SUMIFS($W$4:$W414,$S$4:$S414,eRRSP_Tx_Table[[#This Row],[Year]],$W$4:$W414,"&gt;0"),"")</f>
        <v/>
      </c>
      <c r="Z414" s="10" t="str">
        <f>IF(S415&lt;&gt;eRRSP_Tx_Table[[#This Row],[Year]],SUMIFS($W$4:$W414,$S$4:$S414,eRRSP_Tx_Table[[#This Row],[Year]],$W$4:$W414,"&lt;0"),"")</f>
        <v/>
      </c>
      <c r="AA414" s="3">
        <f>(SUMIF($U$4:$U414,CONCATENATE("Buy",$C414),$N$4:$N414)+SUMIF($U$4:$U414,CONCATENATE("ReinvDiv",$C414),$N$4:$N414))</f>
        <v>0</v>
      </c>
      <c r="AB414" s="3">
        <f>(SUMIF($U$4:$U414,CONCATENATE("Buy",$C414),$F$4:$F414)+SUMIF($U$4:$U414,CONCATENATE("ReinvDiv",$C414),$F$4:$F414)+SUMIF($U$4:$U414,CONCATENATE("StkSplit",$C414),$F$4:$F414)-SUMIF($U$4:$U414,CONCATENATE("Sell",$C414),$F$4:$F414))</f>
        <v>0</v>
      </c>
      <c r="AC414" s="3">
        <f>IF(B414="Sell",F414*INDEX(V:V,LOOKUP(2,1/(X$4:X413=CONCATENATE(C414,"_ACB")),ROW(V$4:V413))),0)</f>
        <v>0</v>
      </c>
    </row>
    <row r="415" spans="1:29" x14ac:dyDescent="0.25">
      <c r="A415" s="20">
        <v>39113</v>
      </c>
      <c r="B415" t="s">
        <v>30</v>
      </c>
      <c r="C415" t="s">
        <v>31</v>
      </c>
      <c r="D415" s="3">
        <v>10250.19</v>
      </c>
      <c r="M415" s="21">
        <f t="shared" si="55"/>
        <v>10250.19</v>
      </c>
      <c r="N415" s="8">
        <f t="shared" si="53"/>
        <v>10250.19</v>
      </c>
      <c r="O415" s="25">
        <f t="shared" si="59"/>
        <v>35188.700000000004</v>
      </c>
      <c r="P415" s="8">
        <f t="shared" si="57"/>
        <v>10250.19</v>
      </c>
      <c r="Q415" s="4">
        <f>IF(AND(S415&gt;=[1]eRRSP_Rpt!$C$6,S415&lt;=[1]eRRSP_Rpt!$C$7),1,0)</f>
        <v>0</v>
      </c>
      <c r="R415" s="4"/>
      <c r="S415" s="4">
        <f t="shared" si="54"/>
        <v>2007</v>
      </c>
      <c r="T415" s="4"/>
      <c r="U415" s="4" t="str">
        <f t="shared" si="58"/>
        <v>CashContribution</v>
      </c>
      <c r="V415" s="23">
        <f>IFERROR(IF(AND(AB415&gt;0,B415&lt;&gt;"Sell"),(AA415-SUMIF(C$4:C414,C415,AC$4:AC415))/AB415,0),"")</f>
        <v>0</v>
      </c>
      <c r="W415" s="24" t="str">
        <f t="shared" si="52"/>
        <v/>
      </c>
      <c r="X415" s="25" t="str">
        <f t="shared" si="51"/>
        <v/>
      </c>
      <c r="Y415" s="10" t="str">
        <f>IF(S416&lt;&gt;eRRSP_Tx_Table[[#This Row],[Year]],SUMIFS($W$4:$W415,$S$4:$S415,eRRSP_Tx_Table[[#This Row],[Year]],$W$4:$W415,"&gt;0"),"")</f>
        <v/>
      </c>
      <c r="Z415" s="10" t="str">
        <f>IF(S416&lt;&gt;eRRSP_Tx_Table[[#This Row],[Year]],SUMIFS($W$4:$W415,$S$4:$S415,eRRSP_Tx_Table[[#This Row],[Year]],$W$4:$W415,"&lt;0"),"")</f>
        <v/>
      </c>
      <c r="AA415" s="3">
        <f>(SUMIF($U$4:$U415,CONCATENATE("Buy",$C415),$N$4:$N415)+SUMIF($U$4:$U415,CONCATENATE("ReinvDiv",$C415),$N$4:$N415))</f>
        <v>0</v>
      </c>
      <c r="AB415" s="3">
        <f>(SUMIF($U$4:$U415,CONCATENATE("Buy",$C415),$F$4:$F415)+SUMIF($U$4:$U415,CONCATENATE("ReinvDiv",$C415),$F$4:$F415)+SUMIF($U$4:$U415,CONCATENATE("StkSplit",$C415),$F$4:$F415)-SUMIF($U$4:$U415,CONCATENATE("Sell",$C415),$F$4:$F415))</f>
        <v>0</v>
      </c>
      <c r="AC415" s="3">
        <f>IF(B415="Sell",F415*INDEX(V:V,LOOKUP(2,1/(X$4:X414=CONCATENATE(C415,"_ACB")),ROW(V$4:V414))),0)</f>
        <v>0</v>
      </c>
    </row>
    <row r="416" spans="1:29" x14ac:dyDescent="0.25">
      <c r="A416" s="20">
        <v>39113</v>
      </c>
      <c r="B416" t="s">
        <v>42</v>
      </c>
      <c r="C416" t="s">
        <v>45</v>
      </c>
      <c r="D416" s="3">
        <v>9.6</v>
      </c>
      <c r="M416" s="21">
        <f t="shared" si="55"/>
        <v>9.6</v>
      </c>
      <c r="N416" s="8">
        <f t="shared" si="53"/>
        <v>9.6</v>
      </c>
      <c r="O416" s="25">
        <f t="shared" si="59"/>
        <v>35198.300000000003</v>
      </c>
      <c r="P416" s="8">
        <f t="shared" si="57"/>
        <v>0</v>
      </c>
      <c r="Q416" s="4">
        <f>IF(AND(S416&gt;=[1]eRRSP_Rpt!$C$6,S416&lt;=[1]eRRSP_Rpt!$C$7),1,0)</f>
        <v>0</v>
      </c>
      <c r="R416" s="4"/>
      <c r="S416" s="4">
        <f t="shared" si="54"/>
        <v>2007</v>
      </c>
      <c r="T416" s="4"/>
      <c r="U416" s="4" t="str">
        <f t="shared" si="58"/>
        <v>DivTD Bank</v>
      </c>
      <c r="V416" s="23">
        <f>IFERROR(IF(AND(AB416&gt;0,B416&lt;&gt;"Sell"),(AA416-SUMIF(C$4:C415,C416,AC$4:AC416))/AB416,0),"")</f>
        <v>-44.29</v>
      </c>
      <c r="W416" s="24" t="str">
        <f t="shared" si="52"/>
        <v/>
      </c>
      <c r="X416" s="25" t="str">
        <f t="shared" si="51"/>
        <v>TD Bank_ACB</v>
      </c>
      <c r="Y416" s="10" t="str">
        <f>IF(S417&lt;&gt;eRRSP_Tx_Table[[#This Row],[Year]],SUMIFS($W$4:$W416,$S$4:$S416,eRRSP_Tx_Table[[#This Row],[Year]],$W$4:$W416,"&gt;0"),"")</f>
        <v/>
      </c>
      <c r="Z416" s="10" t="str">
        <f>IF(S417&lt;&gt;eRRSP_Tx_Table[[#This Row],[Year]],SUMIFS($W$4:$W416,$S$4:$S416,eRRSP_Tx_Table[[#This Row],[Year]],$W$4:$W416,"&lt;0"),"")</f>
        <v/>
      </c>
      <c r="AA416" s="3">
        <f>(SUMIF($U$4:$U416,CONCATENATE("Buy",$C416),$N$4:$N416)+SUMIF($U$4:$U416,CONCATENATE("ReinvDiv",$C416),$N$4:$N416))</f>
        <v>-885.8</v>
      </c>
      <c r="AB416" s="3">
        <f>(SUMIF($U$4:$U416,CONCATENATE("Buy",$C416),$F$4:$F416)+SUMIF($U$4:$U416,CONCATENATE("ReinvDiv",$C416),$F$4:$F416)+SUMIF($U$4:$U416,CONCATENATE("StkSplit",$C416),$F$4:$F416)-SUMIF($U$4:$U416,CONCATENATE("Sell",$C416),$F$4:$F416))</f>
        <v>20</v>
      </c>
      <c r="AC416" s="3">
        <f>IF(B416="Sell",F416*INDEX(V:V,LOOKUP(2,1/(X$4:X415=CONCATENATE(C416,"_ACB")),ROW(V$4:V415))),0)</f>
        <v>0</v>
      </c>
    </row>
    <row r="417" spans="1:29" x14ac:dyDescent="0.25">
      <c r="A417" s="20">
        <v>39122</v>
      </c>
      <c r="B417" t="s">
        <v>40</v>
      </c>
      <c r="C417" t="s">
        <v>75</v>
      </c>
      <c r="D417" s="3">
        <v>8401</v>
      </c>
      <c r="E417">
        <v>28.1</v>
      </c>
      <c r="F417" s="3">
        <v>300</v>
      </c>
      <c r="G417">
        <v>29</v>
      </c>
      <c r="M417" s="21">
        <f t="shared" si="55"/>
        <v>8430</v>
      </c>
      <c r="N417" s="8">
        <f t="shared" si="53"/>
        <v>8401</v>
      </c>
      <c r="O417" s="25">
        <f t="shared" si="59"/>
        <v>43599.3</v>
      </c>
      <c r="P417" s="8">
        <f t="shared" si="57"/>
        <v>0</v>
      </c>
      <c r="Q417" s="4">
        <f>IF(AND(S417&gt;=[1]eRRSP_Rpt!$C$6,S417&lt;=[1]eRRSP_Rpt!$C$7),1,0)</f>
        <v>0</v>
      </c>
      <c r="R417" s="4"/>
      <c r="S417" s="4">
        <f t="shared" si="54"/>
        <v>2007</v>
      </c>
      <c r="T417" s="4"/>
      <c r="U417" s="4" t="str">
        <f t="shared" si="58"/>
        <v>SelliShares MSCI CDN</v>
      </c>
      <c r="V417" s="23">
        <f>IFERROR(IF(AND(AB417&gt;0,B417&lt;&gt;"Sell"),(AA417-SUMIF(C$4:C416,C417,AC$4:AC417))/AB417,0),"")</f>
        <v>0</v>
      </c>
      <c r="W417" s="24">
        <f t="shared" si="52"/>
        <v>1676</v>
      </c>
      <c r="X417" s="25" t="str">
        <f t="shared" si="51"/>
        <v/>
      </c>
      <c r="Y417" s="10" t="str">
        <f>IF(S418&lt;&gt;eRRSP_Tx_Table[[#This Row],[Year]],SUMIFS($W$4:$W417,$S$4:$S417,eRRSP_Tx_Table[[#This Row],[Year]],$W$4:$W417,"&gt;0"),"")</f>
        <v/>
      </c>
      <c r="Z417" s="10" t="str">
        <f>IF(S418&lt;&gt;eRRSP_Tx_Table[[#This Row],[Year]],SUMIFS($W$4:$W417,$S$4:$S417,eRRSP_Tx_Table[[#This Row],[Year]],$W$4:$W417,"&lt;0"),"")</f>
        <v/>
      </c>
      <c r="AA417" s="3">
        <f>(SUMIF($U$4:$U417,CONCATENATE("Buy",$C417),$N$4:$N417)+SUMIF($U$4:$U417,CONCATENATE("ReinvDiv",$C417),$N$4:$N417))</f>
        <v>-6725</v>
      </c>
      <c r="AB417" s="3">
        <f>(SUMIF($U$4:$U417,CONCATENATE("Buy",$C417),$F$4:$F417)+SUMIF($U$4:$U417,CONCATENATE("ReinvDiv",$C417),$F$4:$F417)+SUMIF($U$4:$U417,CONCATENATE("StkSplit",$C417),$F$4:$F417)-SUMIF($U$4:$U417,CONCATENATE("Sell",$C417),$F$4:$F417))</f>
        <v>0</v>
      </c>
      <c r="AC417" s="3">
        <f>IF(B417="Sell",F417*INDEX(V:V,LOOKUP(2,1/(X$4:X416=CONCATENATE(C417,"_ACB")),ROW(V$4:V416))),0)</f>
        <v>-6725</v>
      </c>
    </row>
    <row r="418" spans="1:29" x14ac:dyDescent="0.25">
      <c r="A418" s="20">
        <v>39122</v>
      </c>
      <c r="B418" t="s">
        <v>40</v>
      </c>
      <c r="C418" t="s">
        <v>71</v>
      </c>
      <c r="D418" s="3">
        <v>3305.19</v>
      </c>
      <c r="E418">
        <v>6.7153999999999998</v>
      </c>
      <c r="F418" s="3">
        <v>492.18</v>
      </c>
      <c r="M418" s="21">
        <f t="shared" si="55"/>
        <v>3305.19</v>
      </c>
      <c r="N418" s="8">
        <f t="shared" si="53"/>
        <v>3305.19</v>
      </c>
      <c r="O418" s="25">
        <f t="shared" si="59"/>
        <v>46904.490000000005</v>
      </c>
      <c r="P418" s="8">
        <f t="shared" si="57"/>
        <v>0</v>
      </c>
      <c r="Q418" s="4">
        <f>IF(AND(S418&gt;=[1]eRRSP_Rpt!$C$6,S418&lt;=[1]eRRSP_Rpt!$C$7),1,0)</f>
        <v>0</v>
      </c>
      <c r="R418" s="4"/>
      <c r="S418" s="4">
        <f t="shared" si="54"/>
        <v>2007</v>
      </c>
      <c r="T418" s="4"/>
      <c r="U418" s="4" t="str">
        <f t="shared" si="58"/>
        <v>SellFront St SmallCap</v>
      </c>
      <c r="V418" s="23">
        <f>IFERROR(IF(AND(AB418&gt;0,B418&lt;&gt;"Sell"),(AA418-SUMIF(C$4:C417,C418,AC$4:AC418))/AB418,0),"")</f>
        <v>0</v>
      </c>
      <c r="W418" s="24">
        <f t="shared" si="52"/>
        <v>907.92137300788818</v>
      </c>
      <c r="X418" s="25" t="str">
        <f t="shared" si="51"/>
        <v/>
      </c>
      <c r="Y418" s="10" t="str">
        <f>IF(S419&lt;&gt;eRRSP_Tx_Table[[#This Row],[Year]],SUMIFS($W$4:$W418,$S$4:$S418,eRRSP_Tx_Table[[#This Row],[Year]],$W$4:$W418,"&gt;0"),"")</f>
        <v/>
      </c>
      <c r="Z418" s="10" t="str">
        <f>IF(S419&lt;&gt;eRRSP_Tx_Table[[#This Row],[Year]],SUMIFS($W$4:$W418,$S$4:$S418,eRRSP_Tx_Table[[#This Row],[Year]],$W$4:$W418,"&lt;0"),"")</f>
        <v/>
      </c>
      <c r="AA418" s="3">
        <f>(SUMIF($U$4:$U418,CONCATENATE("Buy",$C418),$N$4:$N418)+SUMIF($U$4:$U418,CONCATENATE("ReinvDiv",$C418),$N$4:$N418))</f>
        <v>-8746.1200000000008</v>
      </c>
      <c r="AB418" s="3">
        <f>(SUMIF($U$4:$U418,CONCATENATE("Buy",$C418),$F$4:$F418)+SUMIF($U$4:$U418,CONCATENATE("ReinvDiv",$C418),$F$4:$F418)+SUMIF($U$4:$U418,CONCATENATE("StkSplit",$C418),$F$4:$F418)-SUMIF($U$4:$U418,CONCATENATE("Sell",$C418),$F$4:$F418))</f>
        <v>0</v>
      </c>
      <c r="AC418" s="3">
        <f>IF(B418="Sell",F418*INDEX(V:V,LOOKUP(2,1/(X$4:X417=CONCATENATE(C418,"_ACB")),ROW(V$4:V417))),0)</f>
        <v>-2397.2686269921119</v>
      </c>
    </row>
    <row r="419" spans="1:29" x14ac:dyDescent="0.25">
      <c r="A419" s="20">
        <v>39122</v>
      </c>
      <c r="B419" t="s">
        <v>40</v>
      </c>
      <c r="C419" t="s">
        <v>51</v>
      </c>
      <c r="D419" s="3">
        <v>1575.17</v>
      </c>
      <c r="E419">
        <v>37.359059000000002</v>
      </c>
      <c r="F419" s="3">
        <v>42.162999999999997</v>
      </c>
      <c r="M419" s="21">
        <f t="shared" si="55"/>
        <v>1575.17</v>
      </c>
      <c r="N419" s="8">
        <f t="shared" si="53"/>
        <v>1575.17</v>
      </c>
      <c r="O419" s="25">
        <f t="shared" si="59"/>
        <v>48479.66</v>
      </c>
      <c r="P419" s="8">
        <f t="shared" si="57"/>
        <v>0</v>
      </c>
      <c r="Q419" s="4">
        <f>IF(AND(S419&gt;=[1]eRRSP_Rpt!$C$6,S419&lt;=[1]eRRSP_Rpt!$C$7),1,0)</f>
        <v>0</v>
      </c>
      <c r="R419" s="4"/>
      <c r="S419" s="4">
        <f t="shared" si="54"/>
        <v>2007</v>
      </c>
      <c r="T419" s="4"/>
      <c r="U419" s="4" t="str">
        <f t="shared" si="58"/>
        <v>SellCIBC Energy Fund</v>
      </c>
      <c r="V419" s="23">
        <f>IFERROR(IF(AND(AB419&gt;0,B419&lt;&gt;"Sell"),(AA419-SUMIF(C$4:C418,C419,AC$4:AC419))/AB419,0),"")</f>
        <v>0</v>
      </c>
      <c r="W419" s="24">
        <f t="shared" si="52"/>
        <v>948.26060991445559</v>
      </c>
      <c r="X419" s="25" t="str">
        <f t="shared" si="51"/>
        <v/>
      </c>
      <c r="Y419" s="10" t="str">
        <f>IF(S420&lt;&gt;eRRSP_Tx_Table[[#This Row],[Year]],SUMIFS($W$4:$W419,$S$4:$S419,eRRSP_Tx_Table[[#This Row],[Year]],$W$4:$W419,"&gt;0"),"")</f>
        <v/>
      </c>
      <c r="Z419" s="10" t="str">
        <f>IF(S420&lt;&gt;eRRSP_Tx_Table[[#This Row],[Year]],SUMIFS($W$4:$W419,$S$4:$S419,eRRSP_Tx_Table[[#This Row],[Year]],$W$4:$W419,"&lt;0"),"")</f>
        <v/>
      </c>
      <c r="AA419" s="3">
        <f>(SUMIF($U$4:$U419,CONCATENATE("Buy",$C419),$N$4:$N419)+SUMIF($U$4:$U419,CONCATENATE("ReinvDiv",$C419),$N$4:$N419))</f>
        <v>-1500</v>
      </c>
      <c r="AB419" s="3">
        <f>(SUMIF($U$4:$U419,CONCATENATE("Buy",$C419),$F$4:$F419)+SUMIF($U$4:$U419,CONCATENATE("ReinvDiv",$C419),$F$4:$F419)+SUMIF($U$4:$U419,CONCATENATE("StkSplit",$C419),$F$4:$F419)-SUMIF($U$4:$U419,CONCATENATE("Sell",$C419),$F$4:$F419))</f>
        <v>0</v>
      </c>
      <c r="AC419" s="3">
        <f>IF(B419="Sell",F419*INDEX(V:V,LOOKUP(2,1/(X$4:X418=CONCATENATE(C419,"_ACB")),ROW(V$4:V418))),0)</f>
        <v>-626.90939008554449</v>
      </c>
    </row>
    <row r="420" spans="1:29" x14ac:dyDescent="0.25">
      <c r="A420" s="20">
        <v>39122</v>
      </c>
      <c r="B420" t="s">
        <v>40</v>
      </c>
      <c r="C420" t="s">
        <v>78</v>
      </c>
      <c r="D420" s="3">
        <v>2163.4699999999998</v>
      </c>
      <c r="E420">
        <v>19.372911999999999</v>
      </c>
      <c r="F420" s="3">
        <v>111.675</v>
      </c>
      <c r="M420" s="21">
        <f t="shared" si="55"/>
        <v>2163.4699999999998</v>
      </c>
      <c r="N420" s="8">
        <f t="shared" si="53"/>
        <v>2163.4699999999998</v>
      </c>
      <c r="O420" s="25">
        <f t="shared" si="59"/>
        <v>50643.130000000005</v>
      </c>
      <c r="P420" s="8">
        <f t="shared" si="57"/>
        <v>0</v>
      </c>
      <c r="Q420" s="4">
        <f>IF(AND(S420&gt;=[1]eRRSP_Rpt!$C$6,S420&lt;=[1]eRRSP_Rpt!$C$7),1,0)</f>
        <v>0</v>
      </c>
      <c r="R420" s="4"/>
      <c r="S420" s="4">
        <f t="shared" si="54"/>
        <v>2007</v>
      </c>
      <c r="T420" s="4"/>
      <c r="U420" s="4" t="str">
        <f t="shared" si="58"/>
        <v>SellTalvest Global Health Care</v>
      </c>
      <c r="V420" s="23">
        <f>IFERROR(IF(AND(AB420&gt;0,B420&lt;&gt;"Sell"),(AA420-SUMIF(C$4:C419,C420,AC$4:AC420))/AB420,0),"")</f>
        <v>0</v>
      </c>
      <c r="W420" s="24">
        <f t="shared" si="52"/>
        <v>399.86999999999989</v>
      </c>
      <c r="X420" s="25" t="str">
        <f t="shared" si="51"/>
        <v/>
      </c>
      <c r="Y420" s="10" t="str">
        <f>IF(S421&lt;&gt;eRRSP_Tx_Table[[#This Row],[Year]],SUMIFS($W$4:$W420,$S$4:$S420,eRRSP_Tx_Table[[#This Row],[Year]],$W$4:$W420,"&gt;0"),"")</f>
        <v/>
      </c>
      <c r="Z420" s="10" t="str">
        <f>IF(S421&lt;&gt;eRRSP_Tx_Table[[#This Row],[Year]],SUMIFS($W$4:$W420,$S$4:$S420,eRRSP_Tx_Table[[#This Row],[Year]],$W$4:$W420,"&lt;0"),"")</f>
        <v/>
      </c>
      <c r="AA420" s="3">
        <f>(SUMIF($U$4:$U420,CONCATENATE("Buy",$C420),$N$4:$N420)+SUMIF($U$4:$U420,CONCATENATE("ReinvDiv",$C420),$N$4:$N420))</f>
        <v>-1763.6</v>
      </c>
      <c r="AB420" s="3">
        <f>(SUMIF($U$4:$U420,CONCATENATE("Buy",$C420),$F$4:$F420)+SUMIF($U$4:$U420,CONCATENATE("ReinvDiv",$C420),$F$4:$F420)+SUMIF($U$4:$U420,CONCATENATE("StkSplit",$C420),$F$4:$F420)-SUMIF($U$4:$U420,CONCATENATE("Sell",$C420),$F$4:$F420))</f>
        <v>0</v>
      </c>
      <c r="AC420" s="3">
        <f>IF(B420="Sell",F420*INDEX(V:V,LOOKUP(2,1/(X$4:X419=CONCATENATE(C420,"_ACB")),ROW(V$4:V419))),0)</f>
        <v>-1763.6</v>
      </c>
    </row>
    <row r="421" spans="1:29" x14ac:dyDescent="0.25">
      <c r="A421" s="20">
        <v>39122</v>
      </c>
      <c r="B421" t="s">
        <v>40</v>
      </c>
      <c r="C421" t="s">
        <v>39</v>
      </c>
      <c r="D421" s="3">
        <v>3965.08</v>
      </c>
      <c r="E421">
        <v>11.970992000000001</v>
      </c>
      <c r="F421" s="3">
        <v>331.22399999999999</v>
      </c>
      <c r="M421" s="21">
        <f t="shared" si="55"/>
        <v>3965.08</v>
      </c>
      <c r="N421" s="8">
        <f t="shared" si="53"/>
        <v>3965.08</v>
      </c>
      <c r="O421" s="25">
        <f t="shared" si="59"/>
        <v>54608.210000000006</v>
      </c>
      <c r="P421" s="8">
        <f t="shared" si="57"/>
        <v>0</v>
      </c>
      <c r="Q421" s="4">
        <f>IF(AND(S421&gt;=[1]eRRSP_Rpt!$C$6,S421&lt;=[1]eRRSP_Rpt!$C$7),1,0)</f>
        <v>0</v>
      </c>
      <c r="R421" s="4"/>
      <c r="S421" s="4">
        <f t="shared" si="54"/>
        <v>2007</v>
      </c>
      <c r="T421" s="4"/>
      <c r="U421" s="4" t="str">
        <f t="shared" si="58"/>
        <v>SellTrimark Income Growth</v>
      </c>
      <c r="V421" s="23">
        <f>IFERROR(IF(AND(AB421&gt;0,B421&lt;&gt;"Sell"),(AA421-SUMIF(C$4:C420,C421,AC$4:AC421))/AB421,0),"")</f>
        <v>0</v>
      </c>
      <c r="W421" s="24">
        <f t="shared" si="52"/>
        <v>1229.1400000000003</v>
      </c>
      <c r="X421" s="25" t="str">
        <f t="shared" si="51"/>
        <v/>
      </c>
      <c r="Y421" s="10" t="str">
        <f>IF(S422&lt;&gt;eRRSP_Tx_Table[[#This Row],[Year]],SUMIFS($W$4:$W421,$S$4:$S421,eRRSP_Tx_Table[[#This Row],[Year]],$W$4:$W421,"&gt;0"),"")</f>
        <v/>
      </c>
      <c r="Z421" s="10" t="str">
        <f>IF(S422&lt;&gt;eRRSP_Tx_Table[[#This Row],[Year]],SUMIFS($W$4:$W421,$S$4:$S421,eRRSP_Tx_Table[[#This Row],[Year]],$W$4:$W421,"&lt;0"),"")</f>
        <v/>
      </c>
      <c r="AA421" s="3">
        <f>(SUMIF($U$4:$U421,CONCATENATE("Buy",$C421),$N$4:$N421)+SUMIF($U$4:$U421,CONCATENATE("ReinvDiv",$C421),$N$4:$N421))</f>
        <v>-2735.94</v>
      </c>
      <c r="AB421" s="3">
        <f>(SUMIF($U$4:$U421,CONCATENATE("Buy",$C421),$F$4:$F421)+SUMIF($U$4:$U421,CONCATENATE("ReinvDiv",$C421),$F$4:$F421)+SUMIF($U$4:$U421,CONCATENATE("StkSplit",$C421),$F$4:$F421)-SUMIF($U$4:$U421,CONCATENATE("Sell",$C421),$F$4:$F421))</f>
        <v>0</v>
      </c>
      <c r="AC421" s="3">
        <f>IF(B421="Sell",F421*INDEX(V:V,LOOKUP(2,1/(X$4:X420=CONCATENATE(C421,"_ACB")),ROW(V$4:V420))),0)</f>
        <v>-2735.9399999999996</v>
      </c>
    </row>
    <row r="422" spans="1:29" x14ac:dyDescent="0.25">
      <c r="A422" s="20">
        <v>39129</v>
      </c>
      <c r="B422" t="s">
        <v>43</v>
      </c>
      <c r="C422" t="s">
        <v>36</v>
      </c>
      <c r="D422" s="3">
        <v>40.35</v>
      </c>
      <c r="M422" s="21">
        <f t="shared" si="55"/>
        <v>40.35</v>
      </c>
      <c r="N422" s="8">
        <f t="shared" si="53"/>
        <v>40.35</v>
      </c>
      <c r="O422" s="25">
        <f t="shared" si="59"/>
        <v>54648.560000000005</v>
      </c>
      <c r="P422" s="8">
        <f t="shared" si="57"/>
        <v>0</v>
      </c>
      <c r="Q422" s="4">
        <f>IF(AND(S422&gt;=[1]eRRSP_Rpt!$C$6,S422&lt;=[1]eRRSP_Rpt!$C$7),1,0)</f>
        <v>0</v>
      </c>
      <c r="R422" s="4"/>
      <c r="S422" s="4">
        <f t="shared" si="54"/>
        <v>2007</v>
      </c>
      <c r="T422" s="4"/>
      <c r="U422" s="4" t="str">
        <f t="shared" si="58"/>
        <v>IntIncTDW</v>
      </c>
      <c r="V422" s="23">
        <f>IFERROR(IF(AND(AB422&gt;0,B422&lt;&gt;"Sell"),(AA422-SUMIF(C$4:C421,C422,AC$4:AC422))/AB422,0),"")</f>
        <v>0</v>
      </c>
      <c r="W422" s="24" t="str">
        <f t="shared" si="52"/>
        <v/>
      </c>
      <c r="X422" s="25" t="str">
        <f t="shared" si="51"/>
        <v/>
      </c>
      <c r="Y422" s="10" t="str">
        <f>IF(S423&lt;&gt;eRRSP_Tx_Table[[#This Row],[Year]],SUMIFS($W$4:$W422,$S$4:$S422,eRRSP_Tx_Table[[#This Row],[Year]],$W$4:$W422,"&gt;0"),"")</f>
        <v/>
      </c>
      <c r="Z422" s="10" t="str">
        <f>IF(S423&lt;&gt;eRRSP_Tx_Table[[#This Row],[Year]],SUMIFS($W$4:$W422,$S$4:$S422,eRRSP_Tx_Table[[#This Row],[Year]],$W$4:$W422,"&lt;0"),"")</f>
        <v/>
      </c>
      <c r="AA422" s="3">
        <f>(SUMIF($U$4:$U422,CONCATENATE("Buy",$C422),$N$4:$N422)+SUMIF($U$4:$U422,CONCATENATE("ReinvDiv",$C422),$N$4:$N422))</f>
        <v>0</v>
      </c>
      <c r="AB422" s="3">
        <f>(SUMIF($U$4:$U422,CONCATENATE("Buy",$C422),$F$4:$F422)+SUMIF($U$4:$U422,CONCATENATE("ReinvDiv",$C422),$F$4:$F422)+SUMIF($U$4:$U422,CONCATENATE("StkSplit",$C422),$F$4:$F422)-SUMIF($U$4:$U422,CONCATENATE("Sell",$C422),$F$4:$F422))</f>
        <v>0</v>
      </c>
      <c r="AC422" s="3">
        <f>IF(B422="Sell",F422*INDEX(V:V,LOOKUP(2,1/(X$4:X421=CONCATENATE(C422,"_ACB")),ROW(V$4:V421))),0)</f>
        <v>0</v>
      </c>
    </row>
    <row r="423" spans="1:29" x14ac:dyDescent="0.25">
      <c r="A423" s="20">
        <v>39129</v>
      </c>
      <c r="B423" t="s">
        <v>40</v>
      </c>
      <c r="C423" t="s">
        <v>70</v>
      </c>
      <c r="D423" s="3">
        <v>2599.77</v>
      </c>
      <c r="E423">
        <v>11.4</v>
      </c>
      <c r="F423" s="3">
        <v>228.05</v>
      </c>
      <c r="M423" s="21">
        <f t="shared" si="55"/>
        <v>2599.77</v>
      </c>
      <c r="N423" s="8">
        <f t="shared" si="53"/>
        <v>2599.77</v>
      </c>
      <c r="O423" s="25">
        <f t="shared" si="59"/>
        <v>57248.33</v>
      </c>
      <c r="P423" s="8">
        <f t="shared" si="57"/>
        <v>0</v>
      </c>
      <c r="Q423" s="4">
        <f>IF(AND(S423&gt;=[1]eRRSP_Rpt!$C$6,S423&lt;=[1]eRRSP_Rpt!$C$7),1,0)</f>
        <v>0</v>
      </c>
      <c r="R423" s="4"/>
      <c r="S423" s="4">
        <f t="shared" si="54"/>
        <v>2007</v>
      </c>
      <c r="T423" s="4"/>
      <c r="U423" s="4" t="str">
        <f t="shared" si="58"/>
        <v>SellTD Japan Index</v>
      </c>
      <c r="V423" s="23">
        <f>IFERROR(IF(AND(AB423&gt;0,B423&lt;&gt;"Sell"),(AA423-SUMIF(C$4:C422,C423,AC$4:AC423))/AB423,0),"")</f>
        <v>0</v>
      </c>
      <c r="W423" s="24">
        <f t="shared" si="52"/>
        <v>599.77</v>
      </c>
      <c r="X423" s="25" t="str">
        <f t="shared" si="51"/>
        <v/>
      </c>
      <c r="Y423" s="10" t="str">
        <f>IF(S424&lt;&gt;eRRSP_Tx_Table[[#This Row],[Year]],SUMIFS($W$4:$W423,$S$4:$S423,eRRSP_Tx_Table[[#This Row],[Year]],$W$4:$W423,"&gt;0"),"")</f>
        <v/>
      </c>
      <c r="Z423" s="10" t="str">
        <f>IF(S424&lt;&gt;eRRSP_Tx_Table[[#This Row],[Year]],SUMIFS($W$4:$W423,$S$4:$S423,eRRSP_Tx_Table[[#This Row],[Year]],$W$4:$W423,"&lt;0"),"")</f>
        <v/>
      </c>
      <c r="AA423" s="3">
        <f>(SUMIF($U$4:$U423,CONCATENATE("Buy",$C423),$N$4:$N423)+SUMIF($U$4:$U423,CONCATENATE("ReinvDiv",$C423),$N$4:$N423))</f>
        <v>-2000</v>
      </c>
      <c r="AB423" s="3">
        <f>(SUMIF($U$4:$U423,CONCATENATE("Buy",$C423),$F$4:$F423)+SUMIF($U$4:$U423,CONCATENATE("ReinvDiv",$C423),$F$4:$F423)+SUMIF($U$4:$U423,CONCATENATE("StkSplit",$C423),$F$4:$F423)-SUMIF($U$4:$U423,CONCATENATE("Sell",$C423),$F$4:$F423))</f>
        <v>0</v>
      </c>
      <c r="AC423" s="3">
        <f>IF(B423="Sell",F423*INDEX(V:V,LOOKUP(2,1/(X$4:X422=CONCATENATE(C423,"_ACB")),ROW(V$4:V422))),0)</f>
        <v>-2000</v>
      </c>
    </row>
    <row r="424" spans="1:29" x14ac:dyDescent="0.25">
      <c r="A424" s="20">
        <v>39136</v>
      </c>
      <c r="B424" t="s">
        <v>32</v>
      </c>
      <c r="C424" t="s">
        <v>87</v>
      </c>
      <c r="D424" s="3">
        <v>8619.69</v>
      </c>
      <c r="E424">
        <v>7.4336140000000004</v>
      </c>
      <c r="F424" s="3">
        <v>1154</v>
      </c>
      <c r="G424">
        <v>41.3</v>
      </c>
      <c r="M424" s="21">
        <f t="shared" si="55"/>
        <v>8578.39</v>
      </c>
      <c r="N424" s="8">
        <f t="shared" si="53"/>
        <v>-8619.6899999999987</v>
      </c>
      <c r="O424" s="25">
        <f t="shared" si="59"/>
        <v>48628.639999999999</v>
      </c>
      <c r="P424" s="8">
        <f t="shared" si="57"/>
        <v>0</v>
      </c>
      <c r="Q424" s="4">
        <f>IF(AND(S424&gt;=[1]eRRSP_Rpt!$C$6,S424&lt;=[1]eRRSP_Rpt!$C$7),1,0)</f>
        <v>0</v>
      </c>
      <c r="R424" s="4"/>
      <c r="S424" s="4">
        <f t="shared" si="54"/>
        <v>2007</v>
      </c>
      <c r="T424" s="4"/>
      <c r="U424" s="4" t="str">
        <f t="shared" si="58"/>
        <v>BuyAberdeen Asia Pacific Income Fund</v>
      </c>
      <c r="V424" s="23">
        <f>IFERROR(IF(AND(AB424&gt;0,B424&lt;&gt;"Sell"),(AA424-SUMIF(C$4:C423,C424,AC$4:AC424))/AB424,0),"")</f>
        <v>-7.4694020797227028</v>
      </c>
      <c r="W424" s="24" t="str">
        <f t="shared" si="52"/>
        <v/>
      </c>
      <c r="X424" s="25" t="str">
        <f t="shared" si="51"/>
        <v>Aberdeen Asia Pacific Income Fund_ACB</v>
      </c>
      <c r="Y424" s="10" t="str">
        <f>IF(S425&lt;&gt;eRRSP_Tx_Table[[#This Row],[Year]],SUMIFS($W$4:$W424,$S$4:$S424,eRRSP_Tx_Table[[#This Row],[Year]],$W$4:$W424,"&gt;0"),"")</f>
        <v/>
      </c>
      <c r="Z424" s="10" t="str">
        <f>IF(S425&lt;&gt;eRRSP_Tx_Table[[#This Row],[Year]],SUMIFS($W$4:$W424,$S$4:$S424,eRRSP_Tx_Table[[#This Row],[Year]],$W$4:$W424,"&lt;0"),"")</f>
        <v/>
      </c>
      <c r="AA424" s="3">
        <f>(SUMIF($U$4:$U424,CONCATENATE("Buy",$C424),$N$4:$N424)+SUMIF($U$4:$U424,CONCATENATE("ReinvDiv",$C424),$N$4:$N424))</f>
        <v>-8619.6899999999987</v>
      </c>
      <c r="AB424" s="3">
        <f>(SUMIF($U$4:$U424,CONCATENATE("Buy",$C424),$F$4:$F424)+SUMIF($U$4:$U424,CONCATENATE("ReinvDiv",$C424),$F$4:$F424)+SUMIF($U$4:$U424,CONCATENATE("StkSplit",$C424),$F$4:$F424)-SUMIF($U$4:$U424,CONCATENATE("Sell",$C424),$F$4:$F424))</f>
        <v>1154</v>
      </c>
      <c r="AC424" s="3">
        <f>IF(B424="Sell",F424*INDEX(V:V,LOOKUP(2,1/(X$4:X423=CONCATENATE(C424,"_ACB")),ROW(V$4:V423))),0)</f>
        <v>0</v>
      </c>
    </row>
    <row r="425" spans="1:29" x14ac:dyDescent="0.25">
      <c r="A425" s="20">
        <v>39136</v>
      </c>
      <c r="B425" t="s">
        <v>32</v>
      </c>
      <c r="C425" t="s">
        <v>88</v>
      </c>
      <c r="D425" s="3">
        <v>6640.85</v>
      </c>
      <c r="E425">
        <v>127.0506</v>
      </c>
      <c r="F425" s="3">
        <v>52</v>
      </c>
      <c r="G425">
        <v>34.22</v>
      </c>
      <c r="M425" s="21">
        <f t="shared" si="55"/>
        <v>6606.63</v>
      </c>
      <c r="N425" s="8">
        <f t="shared" si="53"/>
        <v>-6640.85</v>
      </c>
      <c r="O425" s="25">
        <f t="shared" si="59"/>
        <v>41987.79</v>
      </c>
      <c r="P425" s="8">
        <f t="shared" si="57"/>
        <v>0</v>
      </c>
      <c r="Q425" s="4">
        <f>IF(AND(S425&gt;=[1]eRRSP_Rpt!$C$6,S425&lt;=[1]eRRSP_Rpt!$C$7),1,0)</f>
        <v>0</v>
      </c>
      <c r="R425" s="4"/>
      <c r="S425" s="4">
        <f t="shared" si="54"/>
        <v>2007</v>
      </c>
      <c r="T425" s="4"/>
      <c r="U425" s="4" t="str">
        <f t="shared" si="58"/>
        <v>BuyiShares IBOXX (US$)</v>
      </c>
      <c r="V425" s="23">
        <f>IFERROR(IF(AND(AB425&gt;0,B425&lt;&gt;"Sell"),(AA425-SUMIF(C$4:C424,C425,AC$4:AC425))/AB425,0),"")</f>
        <v>-127.70865384615385</v>
      </c>
      <c r="W425" s="24" t="str">
        <f t="shared" si="52"/>
        <v/>
      </c>
      <c r="X425" s="25" t="str">
        <f t="shared" si="51"/>
        <v>iShares IBOXX (US$)_ACB</v>
      </c>
      <c r="Y425" s="10" t="str">
        <f>IF(S426&lt;&gt;eRRSP_Tx_Table[[#This Row],[Year]],SUMIFS($W$4:$W425,$S$4:$S425,eRRSP_Tx_Table[[#This Row],[Year]],$W$4:$W425,"&gt;0"),"")</f>
        <v/>
      </c>
      <c r="Z425" s="10" t="str">
        <f>IF(S426&lt;&gt;eRRSP_Tx_Table[[#This Row],[Year]],SUMIFS($W$4:$W425,$S$4:$S425,eRRSP_Tx_Table[[#This Row],[Year]],$W$4:$W425,"&lt;0"),"")</f>
        <v/>
      </c>
      <c r="AA425" s="3">
        <f>(SUMIF($U$4:$U425,CONCATENATE("Buy",$C425),$N$4:$N425)+SUMIF($U$4:$U425,CONCATENATE("ReinvDiv",$C425),$N$4:$N425))</f>
        <v>-6640.85</v>
      </c>
      <c r="AB425" s="3">
        <f>(SUMIF($U$4:$U425,CONCATENATE("Buy",$C425),$F$4:$F425)+SUMIF($U$4:$U425,CONCATENATE("ReinvDiv",$C425),$F$4:$F425)+SUMIF($U$4:$U425,CONCATENATE("StkSplit",$C425),$F$4:$F425)-SUMIF($U$4:$U425,CONCATENATE("Sell",$C425),$F$4:$F425))</f>
        <v>52</v>
      </c>
      <c r="AC425" s="3">
        <f>IF(B425="Sell",F425*INDEX(V:V,LOOKUP(2,1/(X$4:X424=CONCATENATE(C425,"_ACB")),ROW(V$4:V424))),0)</f>
        <v>0</v>
      </c>
    </row>
    <row r="426" spans="1:29" x14ac:dyDescent="0.25">
      <c r="A426" s="20">
        <v>39139</v>
      </c>
      <c r="B426" t="s">
        <v>32</v>
      </c>
      <c r="C426" t="s">
        <v>81</v>
      </c>
      <c r="D426" s="3">
        <v>2288.98</v>
      </c>
      <c r="E426">
        <v>17.346537999999999</v>
      </c>
      <c r="F426" s="3">
        <v>130</v>
      </c>
      <c r="G426">
        <v>33.93</v>
      </c>
      <c r="M426" s="21">
        <f t="shared" si="55"/>
        <v>2255.0500000000002</v>
      </c>
      <c r="N426" s="8">
        <f t="shared" si="53"/>
        <v>-2288.98</v>
      </c>
      <c r="O426" s="25">
        <f t="shared" si="59"/>
        <v>39698.81</v>
      </c>
      <c r="P426" s="8">
        <f t="shared" si="57"/>
        <v>0</v>
      </c>
      <c r="Q426" s="4">
        <f>IF(AND(S426&gt;=[1]eRRSP_Rpt!$C$6,S426&lt;=[1]eRRSP_Rpt!$C$7),1,0)</f>
        <v>0</v>
      </c>
      <c r="R426" s="4"/>
      <c r="S426" s="4">
        <f t="shared" si="54"/>
        <v>2007</v>
      </c>
      <c r="T426" s="4"/>
      <c r="U426" s="4" t="str">
        <f t="shared" si="58"/>
        <v>BuyiShares MSCI Japan (US$)</v>
      </c>
      <c r="V426" s="23">
        <f>IFERROR(IF(AND(AB426&gt;0,B426&lt;&gt;"Sell"),(AA426-SUMIF(C$4:C425,C426,AC$4:AC426))/AB426,0),"")</f>
        <v>-16.497404761904761</v>
      </c>
      <c r="W426" s="24" t="str">
        <f t="shared" si="52"/>
        <v/>
      </c>
      <c r="X426" s="25" t="str">
        <f t="shared" si="51"/>
        <v>iShares MSCI Japan (US$)_ACB</v>
      </c>
      <c r="Y426" s="10" t="str">
        <f>IF(S427&lt;&gt;eRRSP_Tx_Table[[#This Row],[Year]],SUMIFS($W$4:$W426,$S$4:$S426,eRRSP_Tx_Table[[#This Row],[Year]],$W$4:$W426,"&gt;0"),"")</f>
        <v/>
      </c>
      <c r="Z426" s="10" t="str">
        <f>IF(S427&lt;&gt;eRRSP_Tx_Table[[#This Row],[Year]],SUMIFS($W$4:$W426,$S$4:$S426,eRRSP_Tx_Table[[#This Row],[Year]],$W$4:$W426,"&lt;0"),"")</f>
        <v/>
      </c>
      <c r="AA426" s="3">
        <f>(SUMIF($U$4:$U426,CONCATENATE("Buy",$C426),$N$4:$N426)+SUMIF($U$4:$U426,CONCATENATE("ReinvDiv",$C426),$N$4:$N426))</f>
        <v>-6928.91</v>
      </c>
      <c r="AB426" s="3">
        <f>(SUMIF($U$4:$U426,CONCATENATE("Buy",$C426),$F$4:$F426)+SUMIF($U$4:$U426,CONCATENATE("ReinvDiv",$C426),$F$4:$F426)+SUMIF($U$4:$U426,CONCATENATE("StkSplit",$C426),$F$4:$F426)-SUMIF($U$4:$U426,CONCATENATE("Sell",$C426),$F$4:$F426))</f>
        <v>420</v>
      </c>
      <c r="AC426" s="3">
        <f>IF(B426="Sell",F426*INDEX(V:V,LOOKUP(2,1/(X$4:X425=CONCATENATE(C426,"_ACB")),ROW(V$4:V425))),0)</f>
        <v>0</v>
      </c>
    </row>
    <row r="427" spans="1:29" x14ac:dyDescent="0.25">
      <c r="A427" s="20">
        <v>39142</v>
      </c>
      <c r="B427" t="s">
        <v>42</v>
      </c>
      <c r="C427" t="s">
        <v>33</v>
      </c>
      <c r="D427" s="3">
        <v>22.44</v>
      </c>
      <c r="M427" s="21">
        <f t="shared" si="55"/>
        <v>22.44</v>
      </c>
      <c r="N427" s="8">
        <f t="shared" si="53"/>
        <v>22.44</v>
      </c>
      <c r="O427" s="25">
        <f t="shared" si="59"/>
        <v>39721.25</v>
      </c>
      <c r="P427" s="8">
        <f t="shared" si="57"/>
        <v>0</v>
      </c>
      <c r="Q427" s="4">
        <f>IF(AND(S427&gt;=[1]eRRSP_Rpt!$C$6,S427&lt;=[1]eRRSP_Rpt!$C$7),1,0)</f>
        <v>0</v>
      </c>
      <c r="R427" s="4"/>
      <c r="S427" s="4">
        <f t="shared" si="54"/>
        <v>2007</v>
      </c>
      <c r="T427" s="4"/>
      <c r="U427" s="4" t="str">
        <f t="shared" si="58"/>
        <v>DivEnbridge</v>
      </c>
      <c r="V427" s="23">
        <f>IFERROR(IF(AND(AB427&gt;0,B427&lt;&gt;"Sell"),(AA427-SUMIF(C$4:C426,C427,AC$4:AC427))/AB427,0),"")</f>
        <v>-12.859027777777776</v>
      </c>
      <c r="W427" s="24" t="str">
        <f t="shared" si="52"/>
        <v/>
      </c>
      <c r="X427" s="25" t="str">
        <f t="shared" si="51"/>
        <v>Enbridge_ACB</v>
      </c>
      <c r="Y427" s="10" t="str">
        <f>IF(S428&lt;&gt;eRRSP_Tx_Table[[#This Row],[Year]],SUMIFS($W$4:$W427,$S$4:$S427,eRRSP_Tx_Table[[#This Row],[Year]],$W$4:$W427,"&gt;0"),"")</f>
        <v/>
      </c>
      <c r="Z427" s="10" t="str">
        <f>IF(S428&lt;&gt;eRRSP_Tx_Table[[#This Row],[Year]],SUMIFS($W$4:$W427,$S$4:$S427,eRRSP_Tx_Table[[#This Row],[Year]],$W$4:$W427,"&lt;0"),"")</f>
        <v/>
      </c>
      <c r="AA427" s="3">
        <f>(SUMIF($U$4:$U427,CONCATENATE("Buy",$C427),$N$4:$N427)+SUMIF($U$4:$U427,CONCATENATE("ReinvDiv",$C427),$N$4:$N427))</f>
        <v>-1851.7</v>
      </c>
      <c r="AB427" s="3">
        <f>(SUMIF($U$4:$U427,CONCATENATE("Buy",$C427),$F$4:$F427)+SUMIF($U$4:$U427,CONCATENATE("ReinvDiv",$C427),$F$4:$F427)+SUMIF($U$4:$U427,CONCATENATE("StkSplit",$C427),$F$4:$F427)-SUMIF($U$4:$U427,CONCATENATE("Sell",$C427),$F$4:$F427))</f>
        <v>73</v>
      </c>
      <c r="AC427" s="3">
        <f>IF(B427="Sell",F427*INDEX(V:V,LOOKUP(2,1/(X$4:X426=CONCATENATE(C427,"_ACB")),ROW(V$4:V426))),0)</f>
        <v>0</v>
      </c>
    </row>
    <row r="428" spans="1:29" x14ac:dyDescent="0.25">
      <c r="A428" s="20">
        <v>39146</v>
      </c>
      <c r="B428" t="s">
        <v>32</v>
      </c>
      <c r="C428" t="s">
        <v>89</v>
      </c>
      <c r="D428" s="3">
        <v>3104.27</v>
      </c>
      <c r="E428">
        <v>87.714600000000004</v>
      </c>
      <c r="F428" s="3">
        <v>35</v>
      </c>
      <c r="G428">
        <v>34.26</v>
      </c>
      <c r="M428" s="21">
        <f t="shared" si="55"/>
        <v>3070.01</v>
      </c>
      <c r="N428" s="8">
        <f t="shared" si="53"/>
        <v>-3104.2700000000004</v>
      </c>
      <c r="O428" s="25">
        <f t="shared" si="59"/>
        <v>36616.979999999996</v>
      </c>
      <c r="P428" s="8">
        <f t="shared" si="57"/>
        <v>0</v>
      </c>
      <c r="Q428" s="4">
        <f>IF(AND(S428&gt;=[1]eRRSP_Rpt!$C$6,S428&lt;=[1]eRRSP_Rpt!$C$7),1,0)</f>
        <v>0</v>
      </c>
      <c r="R428" s="4"/>
      <c r="S428" s="4">
        <f t="shared" si="54"/>
        <v>2007</v>
      </c>
      <c r="T428" s="4"/>
      <c r="U428" s="4" t="str">
        <f t="shared" si="58"/>
        <v>BuyiShares MSCI EAFE (US$)</v>
      </c>
      <c r="V428" s="23">
        <f>IFERROR(IF(AND(AB428&gt;0,B428&lt;&gt;"Sell"),(AA428-SUMIF(C$4:C427,C428,AC$4:AC428))/AB428,0),"")</f>
        <v>-88.693428571428583</v>
      </c>
      <c r="W428" s="24" t="str">
        <f t="shared" si="52"/>
        <v/>
      </c>
      <c r="X428" s="25" t="str">
        <f t="shared" si="51"/>
        <v>iShares MSCI EAFE (US$)_ACB</v>
      </c>
      <c r="Y428" s="10" t="str">
        <f>IF(S429&lt;&gt;eRRSP_Tx_Table[[#This Row],[Year]],SUMIFS($W$4:$W428,$S$4:$S428,eRRSP_Tx_Table[[#This Row],[Year]],$W$4:$W428,"&gt;0"),"")</f>
        <v/>
      </c>
      <c r="Z428" s="10" t="str">
        <f>IF(S429&lt;&gt;eRRSP_Tx_Table[[#This Row],[Year]],SUMIFS($W$4:$W428,$S$4:$S428,eRRSP_Tx_Table[[#This Row],[Year]],$W$4:$W428,"&lt;0"),"")</f>
        <v/>
      </c>
      <c r="AA428" s="3">
        <f>(SUMIF($U$4:$U428,CONCATENATE("Buy",$C428),$N$4:$N428)+SUMIF($U$4:$U428,CONCATENATE("ReinvDiv",$C428),$N$4:$N428))</f>
        <v>-3104.2700000000004</v>
      </c>
      <c r="AB428" s="3">
        <f>(SUMIF($U$4:$U428,CONCATENATE("Buy",$C428),$F$4:$F428)+SUMIF($U$4:$U428,CONCATENATE("ReinvDiv",$C428),$F$4:$F428)+SUMIF($U$4:$U428,CONCATENATE("StkSplit",$C428),$F$4:$F428)-SUMIF($U$4:$U428,CONCATENATE("Sell",$C428),$F$4:$F428))</f>
        <v>35</v>
      </c>
      <c r="AC428" s="3">
        <f>IF(B428="Sell",F428*INDEX(V:V,LOOKUP(2,1/(X$4:X427=CONCATENATE(C428,"_ACB")),ROW(V$4:V427))),0)</f>
        <v>0</v>
      </c>
    </row>
    <row r="429" spans="1:29" x14ac:dyDescent="0.25">
      <c r="A429" s="20">
        <v>39146</v>
      </c>
      <c r="B429" t="s">
        <v>32</v>
      </c>
      <c r="C429" t="s">
        <v>84</v>
      </c>
      <c r="D429" s="3">
        <v>1766.93</v>
      </c>
      <c r="E429">
        <v>123.7621</v>
      </c>
      <c r="F429" s="3">
        <v>14</v>
      </c>
      <c r="G429">
        <v>34.26</v>
      </c>
      <c r="M429" s="21">
        <f t="shared" si="55"/>
        <v>1732.67</v>
      </c>
      <c r="N429" s="8">
        <f t="shared" si="53"/>
        <v>-1766.93</v>
      </c>
      <c r="O429" s="25">
        <f t="shared" si="59"/>
        <v>34850.049999999996</v>
      </c>
      <c r="P429" s="8">
        <f t="shared" si="57"/>
        <v>0</v>
      </c>
      <c r="Q429" s="4">
        <f>IF(AND(S429&gt;=[1]eRRSP_Rpt!$C$6,S429&lt;=[1]eRRSP_Rpt!$C$7),1,0)</f>
        <v>0</v>
      </c>
      <c r="R429" s="4"/>
      <c r="S429" s="4">
        <f t="shared" si="54"/>
        <v>2007</v>
      </c>
      <c r="T429" s="4"/>
      <c r="U429" s="4" t="str">
        <f t="shared" si="58"/>
        <v>BuyiShares S&amp;P Europe 350 (US$)</v>
      </c>
      <c r="V429" s="23">
        <f>IFERROR(IF(AND(AB429&gt;0,B429&lt;&gt;"Sell"),(AA429-SUMIF(C$4:C428,C429,AC$4:AC429))/AB429,0),"")</f>
        <v>-108.53538461538461</v>
      </c>
      <c r="W429" s="24" t="str">
        <f t="shared" si="52"/>
        <v/>
      </c>
      <c r="X429" s="25" t="str">
        <f t="shared" si="51"/>
        <v>iShares S&amp;P Europe 350 (US$)_ACB</v>
      </c>
      <c r="Y429" s="10" t="str">
        <f>IF(S430&lt;&gt;eRRSP_Tx_Table[[#This Row],[Year]],SUMIFS($W$4:$W429,$S$4:$S429,eRRSP_Tx_Table[[#This Row],[Year]],$W$4:$W429,"&gt;0"),"")</f>
        <v/>
      </c>
      <c r="Z429" s="10" t="str">
        <f>IF(S430&lt;&gt;eRRSP_Tx_Table[[#This Row],[Year]],SUMIFS($W$4:$W429,$S$4:$S429,eRRSP_Tx_Table[[#This Row],[Year]],$W$4:$W429,"&lt;0"),"")</f>
        <v/>
      </c>
      <c r="AA429" s="3">
        <f>(SUMIF($U$4:$U429,CONCATENATE("Buy",$C429),$N$4:$N429)+SUMIF($U$4:$U429,CONCATENATE("ReinvDiv",$C429),$N$4:$N429))</f>
        <v>-4232.88</v>
      </c>
      <c r="AB429" s="3">
        <f>(SUMIF($U$4:$U429,CONCATENATE("Buy",$C429),$F$4:$F429)+SUMIF($U$4:$U429,CONCATENATE("ReinvDiv",$C429),$F$4:$F429)+SUMIF($U$4:$U429,CONCATENATE("StkSplit",$C429),$F$4:$F429)-SUMIF($U$4:$U429,CONCATENATE("Sell",$C429),$F$4:$F429))</f>
        <v>39</v>
      </c>
      <c r="AC429" s="3">
        <f>IF(B429="Sell",F429*INDEX(V:V,LOOKUP(2,1/(X$4:X428=CONCATENATE(C429,"_ACB")),ROW(V$4:V428))),0)</f>
        <v>0</v>
      </c>
    </row>
    <row r="430" spans="1:29" x14ac:dyDescent="0.25">
      <c r="A430" s="20">
        <v>39146</v>
      </c>
      <c r="B430" t="s">
        <v>32</v>
      </c>
      <c r="C430" t="s">
        <v>90</v>
      </c>
      <c r="D430" s="3">
        <v>5208.08</v>
      </c>
      <c r="E430">
        <v>73.9131</v>
      </c>
      <c r="F430" s="3">
        <v>70</v>
      </c>
      <c r="G430">
        <v>34.159999999999997</v>
      </c>
      <c r="M430" s="21">
        <f t="shared" si="55"/>
        <v>5173.92</v>
      </c>
      <c r="N430" s="8">
        <f t="shared" si="53"/>
        <v>-5208.08</v>
      </c>
      <c r="O430" s="25">
        <f t="shared" si="59"/>
        <v>29641.969999999994</v>
      </c>
      <c r="P430" s="8">
        <f t="shared" si="57"/>
        <v>0</v>
      </c>
      <c r="Q430" s="4">
        <f>IF(AND(S430&gt;=[1]eRRSP_Rpt!$C$6,S430&lt;=[1]eRRSP_Rpt!$C$7),1,0)</f>
        <v>0</v>
      </c>
      <c r="R430" s="4"/>
      <c r="S430" s="4">
        <f t="shared" si="54"/>
        <v>2007</v>
      </c>
      <c r="T430" s="4"/>
      <c r="U430" s="4" t="str">
        <f t="shared" si="58"/>
        <v>BuyVanguard Large Cap ETF</v>
      </c>
      <c r="V430" s="23">
        <f>IFERROR(IF(AND(AB430&gt;0,B430&lt;&gt;"Sell"),(AA430-SUMIF(C$4:C429,C430,AC$4:AC430))/AB430,0),"")</f>
        <v>-74.401142857142858</v>
      </c>
      <c r="W430" s="24" t="str">
        <f t="shared" si="52"/>
        <v/>
      </c>
      <c r="X430" s="25" t="str">
        <f t="shared" si="51"/>
        <v>Vanguard Large Cap ETF_ACB</v>
      </c>
      <c r="Y430" s="10" t="str">
        <f>IF(S431&lt;&gt;eRRSP_Tx_Table[[#This Row],[Year]],SUMIFS($W$4:$W430,$S$4:$S430,eRRSP_Tx_Table[[#This Row],[Year]],$W$4:$W430,"&gt;0"),"")</f>
        <v/>
      </c>
      <c r="Z430" s="10" t="str">
        <f>IF(S431&lt;&gt;eRRSP_Tx_Table[[#This Row],[Year]],SUMIFS($W$4:$W430,$S$4:$S430,eRRSP_Tx_Table[[#This Row],[Year]],$W$4:$W430,"&lt;0"),"")</f>
        <v/>
      </c>
      <c r="AA430" s="3">
        <f>(SUMIF($U$4:$U430,CONCATENATE("Buy",$C430),$N$4:$N430)+SUMIF($U$4:$U430,CONCATENATE("ReinvDiv",$C430),$N$4:$N430))</f>
        <v>-5208.08</v>
      </c>
      <c r="AB430" s="3">
        <f>(SUMIF($U$4:$U430,CONCATENATE("Buy",$C430),$F$4:$F430)+SUMIF($U$4:$U430,CONCATENATE("ReinvDiv",$C430),$F$4:$F430)+SUMIF($U$4:$U430,CONCATENATE("StkSplit",$C430),$F$4:$F430)-SUMIF($U$4:$U430,CONCATENATE("Sell",$C430),$F$4:$F430))</f>
        <v>70</v>
      </c>
      <c r="AC430" s="3">
        <f>IF(B430="Sell",F430*INDEX(V:V,LOOKUP(2,1/(X$4:X429=CONCATENATE(C430,"_ACB")),ROW(V$4:V429))),0)</f>
        <v>0</v>
      </c>
    </row>
    <row r="431" spans="1:29" x14ac:dyDescent="0.25">
      <c r="A431" s="20">
        <v>39148</v>
      </c>
      <c r="B431" t="s">
        <v>42</v>
      </c>
      <c r="C431" t="s">
        <v>88</v>
      </c>
      <c r="D431" s="3">
        <v>27.59</v>
      </c>
      <c r="M431" s="21">
        <f t="shared" si="55"/>
        <v>27.59</v>
      </c>
      <c r="N431" s="8">
        <f t="shared" si="53"/>
        <v>27.59</v>
      </c>
      <c r="O431" s="25">
        <f t="shared" si="59"/>
        <v>29669.559999999994</v>
      </c>
      <c r="P431" s="8">
        <f t="shared" si="57"/>
        <v>0</v>
      </c>
      <c r="Q431" s="4">
        <f>IF(AND(S431&gt;=[1]eRRSP_Rpt!$C$6,S431&lt;=[1]eRRSP_Rpt!$C$7),1,0)</f>
        <v>0</v>
      </c>
      <c r="R431" s="4"/>
      <c r="S431" s="4">
        <f t="shared" si="54"/>
        <v>2007</v>
      </c>
      <c r="T431" s="4"/>
      <c r="U431" s="4" t="str">
        <f t="shared" si="58"/>
        <v>DiviShares IBOXX (US$)</v>
      </c>
      <c r="V431" s="23">
        <f>IFERROR(IF(AND(AB431&gt;0,B431&lt;&gt;"Sell"),(AA431-SUMIF(C$4:C430,C431,AC$4:AC431))/AB431,0),"")</f>
        <v>-127.70865384615385</v>
      </c>
      <c r="W431" s="24" t="str">
        <f t="shared" si="52"/>
        <v/>
      </c>
      <c r="X431" s="25" t="str">
        <f t="shared" si="51"/>
        <v>iShares IBOXX (US$)_ACB</v>
      </c>
      <c r="Y431" s="10" t="str">
        <f>IF(S432&lt;&gt;eRRSP_Tx_Table[[#This Row],[Year]],SUMIFS($W$4:$W431,$S$4:$S431,eRRSP_Tx_Table[[#This Row],[Year]],$W$4:$W431,"&gt;0"),"")</f>
        <v/>
      </c>
      <c r="Z431" s="10" t="str">
        <f>IF(S432&lt;&gt;eRRSP_Tx_Table[[#This Row],[Year]],SUMIFS($W$4:$W431,$S$4:$S431,eRRSP_Tx_Table[[#This Row],[Year]],$W$4:$W431,"&lt;0"),"")</f>
        <v/>
      </c>
      <c r="AA431" s="3">
        <f>(SUMIF($U$4:$U431,CONCATENATE("Buy",$C431),$N$4:$N431)+SUMIF($U$4:$U431,CONCATENATE("ReinvDiv",$C431),$N$4:$N431))</f>
        <v>-6640.85</v>
      </c>
      <c r="AB431" s="3">
        <f>(SUMIF($U$4:$U431,CONCATENATE("Buy",$C431),$F$4:$F431)+SUMIF($U$4:$U431,CONCATENATE("ReinvDiv",$C431),$F$4:$F431)+SUMIF($U$4:$U431,CONCATENATE("StkSplit",$C431),$F$4:$F431)-SUMIF($U$4:$U431,CONCATENATE("Sell",$C431),$F$4:$F431))</f>
        <v>52</v>
      </c>
      <c r="AC431" s="3">
        <f>IF(B431="Sell",F431*INDEX(V:V,LOOKUP(2,1/(X$4:X430=CONCATENATE(C431,"_ACB")),ROW(V$4:V430))),0)</f>
        <v>0</v>
      </c>
    </row>
    <row r="432" spans="1:29" x14ac:dyDescent="0.25">
      <c r="A432" s="20">
        <v>39157</v>
      </c>
      <c r="B432" t="s">
        <v>43</v>
      </c>
      <c r="C432" t="s">
        <v>36</v>
      </c>
      <c r="D432" s="3">
        <v>46.47</v>
      </c>
      <c r="M432" s="21">
        <f t="shared" si="55"/>
        <v>46.47</v>
      </c>
      <c r="N432" s="8">
        <f t="shared" si="53"/>
        <v>46.47</v>
      </c>
      <c r="O432" s="25">
        <f t="shared" si="59"/>
        <v>29716.029999999995</v>
      </c>
      <c r="P432" s="8">
        <f t="shared" si="57"/>
        <v>0</v>
      </c>
      <c r="Q432" s="4">
        <f>IF(AND(S432&gt;=[1]eRRSP_Rpt!$C$6,S432&lt;=[1]eRRSP_Rpt!$C$7),1,0)</f>
        <v>0</v>
      </c>
      <c r="R432" s="4"/>
      <c r="S432" s="4">
        <f t="shared" si="54"/>
        <v>2007</v>
      </c>
      <c r="T432" s="4"/>
      <c r="U432" s="4" t="str">
        <f t="shared" si="58"/>
        <v>IntIncTDW</v>
      </c>
      <c r="V432" s="23">
        <f>IFERROR(IF(AND(AB432&gt;0,B432&lt;&gt;"Sell"),(AA432-SUMIF(C$4:C431,C432,AC$4:AC432))/AB432,0),"")</f>
        <v>0</v>
      </c>
      <c r="W432" s="24" t="str">
        <f t="shared" si="52"/>
        <v/>
      </c>
      <c r="X432" s="25" t="str">
        <f t="shared" si="51"/>
        <v/>
      </c>
      <c r="Y432" s="10" t="str">
        <f>IF(S433&lt;&gt;eRRSP_Tx_Table[[#This Row],[Year]],SUMIFS($W$4:$W432,$S$4:$S432,eRRSP_Tx_Table[[#This Row],[Year]],$W$4:$W432,"&gt;0"),"")</f>
        <v/>
      </c>
      <c r="Z432" s="10" t="str">
        <f>IF(S433&lt;&gt;eRRSP_Tx_Table[[#This Row],[Year]],SUMIFS($W$4:$W432,$S$4:$S432,eRRSP_Tx_Table[[#This Row],[Year]],$W$4:$W432,"&lt;0"),"")</f>
        <v/>
      </c>
      <c r="AA432" s="3">
        <f>(SUMIF($U$4:$U432,CONCATENATE("Buy",$C432),$N$4:$N432)+SUMIF($U$4:$U432,CONCATENATE("ReinvDiv",$C432),$N$4:$N432))</f>
        <v>0</v>
      </c>
      <c r="AB432" s="3">
        <f>(SUMIF($U$4:$U432,CONCATENATE("Buy",$C432),$F$4:$F432)+SUMIF($U$4:$U432,CONCATENATE("ReinvDiv",$C432),$F$4:$F432)+SUMIF($U$4:$U432,CONCATENATE("StkSplit",$C432),$F$4:$F432)-SUMIF($U$4:$U432,CONCATENATE("Sell",$C432),$F$4:$F432))</f>
        <v>0</v>
      </c>
      <c r="AC432" s="3">
        <f>IF(B432="Sell",F432*INDEX(V:V,LOOKUP(2,1/(X$4:X431=CONCATENATE(C432,"_ACB")),ROW(V$4:V431))),0)</f>
        <v>0</v>
      </c>
    </row>
    <row r="433" spans="1:29" x14ac:dyDescent="0.25">
      <c r="A433" s="20">
        <v>39157</v>
      </c>
      <c r="B433" t="s">
        <v>42</v>
      </c>
      <c r="C433" t="s">
        <v>87</v>
      </c>
      <c r="D433" s="3">
        <v>47.43</v>
      </c>
      <c r="M433" s="21">
        <f t="shared" si="55"/>
        <v>47.43</v>
      </c>
      <c r="N433" s="8">
        <f t="shared" si="53"/>
        <v>47.43</v>
      </c>
      <c r="O433" s="25">
        <f t="shared" si="59"/>
        <v>29763.459999999995</v>
      </c>
      <c r="P433" s="8">
        <f t="shared" si="57"/>
        <v>0</v>
      </c>
      <c r="Q433" s="4">
        <f>IF(AND(S433&gt;=[1]eRRSP_Rpt!$C$6,S433&lt;=[1]eRRSP_Rpt!$C$7),1,0)</f>
        <v>0</v>
      </c>
      <c r="R433" s="4"/>
      <c r="S433" s="4">
        <f t="shared" si="54"/>
        <v>2007</v>
      </c>
      <c r="T433" s="4"/>
      <c r="U433" s="4" t="str">
        <f t="shared" si="58"/>
        <v>DivAberdeen Asia Pacific Income Fund</v>
      </c>
      <c r="V433" s="23">
        <f>IFERROR(IF(AND(AB433&gt;0,B433&lt;&gt;"Sell"),(AA433-SUMIF(C$4:C432,C433,AC$4:AC433))/AB433,0),"")</f>
        <v>-7.4694020797227028</v>
      </c>
      <c r="W433" s="24" t="str">
        <f t="shared" si="52"/>
        <v/>
      </c>
      <c r="X433" s="25" t="str">
        <f t="shared" si="51"/>
        <v>Aberdeen Asia Pacific Income Fund_ACB</v>
      </c>
      <c r="Y433" s="10" t="str">
        <f>IF(S434&lt;&gt;eRRSP_Tx_Table[[#This Row],[Year]],SUMIFS($W$4:$W433,$S$4:$S433,eRRSP_Tx_Table[[#This Row],[Year]],$W$4:$W433,"&gt;0"),"")</f>
        <v/>
      </c>
      <c r="Z433" s="10" t="str">
        <f>IF(S434&lt;&gt;eRRSP_Tx_Table[[#This Row],[Year]],SUMIFS($W$4:$W433,$S$4:$S433,eRRSP_Tx_Table[[#This Row],[Year]],$W$4:$W433,"&lt;0"),"")</f>
        <v/>
      </c>
      <c r="AA433" s="3">
        <f>(SUMIF($U$4:$U433,CONCATENATE("Buy",$C433),$N$4:$N433)+SUMIF($U$4:$U433,CONCATENATE("ReinvDiv",$C433),$N$4:$N433))</f>
        <v>-8619.6899999999987</v>
      </c>
      <c r="AB433" s="3">
        <f>(SUMIF($U$4:$U433,CONCATENATE("Buy",$C433),$F$4:$F433)+SUMIF($U$4:$U433,CONCATENATE("ReinvDiv",$C433),$F$4:$F433)+SUMIF($U$4:$U433,CONCATENATE("StkSplit",$C433),$F$4:$F433)-SUMIF($U$4:$U433,CONCATENATE("Sell",$C433),$F$4:$F433))</f>
        <v>1154</v>
      </c>
      <c r="AC433" s="3">
        <f>IF(B433="Sell",F433*INDEX(V:V,LOOKUP(2,1/(X$4:X432=CONCATENATE(C433,"_ACB")),ROW(V$4:V432))),0)</f>
        <v>0</v>
      </c>
    </row>
    <row r="434" spans="1:29" x14ac:dyDescent="0.25">
      <c r="A434" s="20">
        <v>39171</v>
      </c>
      <c r="B434" t="s">
        <v>42</v>
      </c>
      <c r="C434" t="s">
        <v>86</v>
      </c>
      <c r="D434" s="3">
        <v>11.18</v>
      </c>
      <c r="M434" s="21">
        <f t="shared" si="55"/>
        <v>11.18</v>
      </c>
      <c r="N434" s="8">
        <f t="shared" si="53"/>
        <v>11.18</v>
      </c>
      <c r="O434" s="25">
        <f t="shared" si="59"/>
        <v>29774.639999999996</v>
      </c>
      <c r="P434" s="8">
        <f t="shared" si="57"/>
        <v>0</v>
      </c>
      <c r="Q434" s="4">
        <f>IF(AND(S434&gt;=[1]eRRSP_Rpt!$C$6,S434&lt;=[1]eRRSP_Rpt!$C$7),1,0)</f>
        <v>0</v>
      </c>
      <c r="R434" s="4"/>
      <c r="S434" s="4">
        <f t="shared" si="54"/>
        <v>2007</v>
      </c>
      <c r="T434" s="4"/>
      <c r="U434" s="4" t="str">
        <f t="shared" si="58"/>
        <v>DiviShares S&amp;P SmallCap</v>
      </c>
      <c r="V434" s="23">
        <f>IFERROR(IF(AND(AB434&gt;0,B434&lt;&gt;"Sell"),(AA434-SUMIF(C$4:C433,C434,AC$4:AC434))/AB434,0),"")</f>
        <v>-70.414404761904763</v>
      </c>
      <c r="W434" s="24" t="str">
        <f t="shared" si="52"/>
        <v/>
      </c>
      <c r="X434" s="25" t="str">
        <f t="shared" si="51"/>
        <v>iShares S&amp;P SmallCap_ACB</v>
      </c>
      <c r="Y434" s="10" t="str">
        <f>IF(S435&lt;&gt;eRRSP_Tx_Table[[#This Row],[Year]],SUMIFS($W$4:$W434,$S$4:$S434,eRRSP_Tx_Table[[#This Row],[Year]],$W$4:$W434,"&gt;0"),"")</f>
        <v/>
      </c>
      <c r="Z434" s="10" t="str">
        <f>IF(S435&lt;&gt;eRRSP_Tx_Table[[#This Row],[Year]],SUMIFS($W$4:$W434,$S$4:$S434,eRRSP_Tx_Table[[#This Row],[Year]],$W$4:$W434,"&lt;0"),"")</f>
        <v/>
      </c>
      <c r="AA434" s="3">
        <f>(SUMIF($U$4:$U434,CONCATENATE("Buy",$C434),$N$4:$N434)+SUMIF($U$4:$U434,CONCATENATE("ReinvDiv",$C434),$N$4:$N434))</f>
        <v>-5914.81</v>
      </c>
      <c r="AB434" s="3">
        <f>(SUMIF($U$4:$U434,CONCATENATE("Buy",$C434),$F$4:$F434)+SUMIF($U$4:$U434,CONCATENATE("ReinvDiv",$C434),$F$4:$F434)+SUMIF($U$4:$U434,CONCATENATE("StkSplit",$C434),$F$4:$F434)-SUMIF($U$4:$U434,CONCATENATE("Sell",$C434),$F$4:$F434))</f>
        <v>84</v>
      </c>
      <c r="AC434" s="3">
        <f>IF(B434="Sell",F434*INDEX(V:V,LOOKUP(2,1/(X$4:X433=CONCATENATE(C434,"_ACB")),ROW(V$4:V433))),0)</f>
        <v>0</v>
      </c>
    </row>
    <row r="435" spans="1:29" x14ac:dyDescent="0.25">
      <c r="A435" s="20">
        <v>39171</v>
      </c>
      <c r="B435" t="s">
        <v>42</v>
      </c>
      <c r="C435" t="s">
        <v>90</v>
      </c>
      <c r="D435" s="3">
        <v>19.72</v>
      </c>
      <c r="M435" s="21">
        <f t="shared" si="55"/>
        <v>19.72</v>
      </c>
      <c r="N435" s="8">
        <f t="shared" si="53"/>
        <v>19.72</v>
      </c>
      <c r="O435" s="25">
        <f t="shared" si="59"/>
        <v>29794.359999999997</v>
      </c>
      <c r="P435" s="8">
        <f t="shared" si="57"/>
        <v>0</v>
      </c>
      <c r="Q435" s="4">
        <f>IF(AND(S435&gt;=[1]eRRSP_Rpt!$C$6,S435&lt;=[1]eRRSP_Rpt!$C$7),1,0)</f>
        <v>0</v>
      </c>
      <c r="R435" s="4"/>
      <c r="S435" s="4">
        <f t="shared" si="54"/>
        <v>2007</v>
      </c>
      <c r="T435" s="4"/>
      <c r="U435" s="4" t="str">
        <f t="shared" si="58"/>
        <v>DivVanguard Large Cap ETF</v>
      </c>
      <c r="V435" s="23">
        <f>IFERROR(IF(AND(AB435&gt;0,B435&lt;&gt;"Sell"),(AA435-SUMIF(C$4:C434,C435,AC$4:AC435))/AB435,0),"")</f>
        <v>-74.401142857142858</v>
      </c>
      <c r="W435" s="24" t="str">
        <f t="shared" si="52"/>
        <v/>
      </c>
      <c r="X435" s="25" t="str">
        <f t="shared" si="51"/>
        <v>Vanguard Large Cap ETF_ACB</v>
      </c>
      <c r="Y435" s="10" t="str">
        <f>IF(S436&lt;&gt;eRRSP_Tx_Table[[#This Row],[Year]],SUMIFS($W$4:$W435,$S$4:$S435,eRRSP_Tx_Table[[#This Row],[Year]],$W$4:$W435,"&gt;0"),"")</f>
        <v/>
      </c>
      <c r="Z435" s="10" t="str">
        <f>IF(S436&lt;&gt;eRRSP_Tx_Table[[#This Row],[Year]],SUMIFS($W$4:$W435,$S$4:$S435,eRRSP_Tx_Table[[#This Row],[Year]],$W$4:$W435,"&lt;0"),"")</f>
        <v/>
      </c>
      <c r="AA435" s="3">
        <f>(SUMIF($U$4:$U435,CONCATENATE("Buy",$C435),$N$4:$N435)+SUMIF($U$4:$U435,CONCATENATE("ReinvDiv",$C435),$N$4:$N435))</f>
        <v>-5208.08</v>
      </c>
      <c r="AB435" s="3">
        <f>(SUMIF($U$4:$U435,CONCATENATE("Buy",$C435),$F$4:$F435)+SUMIF($U$4:$U435,CONCATENATE("ReinvDiv",$C435),$F$4:$F435)+SUMIF($U$4:$U435,CONCATENATE("StkSplit",$C435),$F$4:$F435)-SUMIF($U$4:$U435,CONCATENATE("Sell",$C435),$F$4:$F435))</f>
        <v>70</v>
      </c>
      <c r="AC435" s="3">
        <f>IF(B435="Sell",F435*INDEX(V:V,LOOKUP(2,1/(X$4:X434=CONCATENATE(C435,"_ACB")),ROW(V$4:V434))),0)</f>
        <v>0</v>
      </c>
    </row>
    <row r="436" spans="1:29" x14ac:dyDescent="0.25">
      <c r="A436" s="20">
        <v>39181</v>
      </c>
      <c r="B436" t="s">
        <v>42</v>
      </c>
      <c r="C436" t="s">
        <v>88</v>
      </c>
      <c r="D436" s="3">
        <v>29.49</v>
      </c>
      <c r="M436" s="21">
        <f t="shared" si="55"/>
        <v>29.49</v>
      </c>
      <c r="N436" s="8">
        <f t="shared" si="53"/>
        <v>29.49</v>
      </c>
      <c r="O436" s="25">
        <f t="shared" si="59"/>
        <v>29823.85</v>
      </c>
      <c r="P436" s="8">
        <f t="shared" si="57"/>
        <v>0</v>
      </c>
      <c r="Q436" s="4">
        <f>IF(AND(S436&gt;=[1]eRRSP_Rpt!$C$6,S436&lt;=[1]eRRSP_Rpt!$C$7),1,0)</f>
        <v>0</v>
      </c>
      <c r="R436" s="4"/>
      <c r="S436" s="4">
        <f t="shared" si="54"/>
        <v>2007</v>
      </c>
      <c r="T436" s="4"/>
      <c r="U436" s="4" t="str">
        <f t="shared" si="58"/>
        <v>DiviShares IBOXX (US$)</v>
      </c>
      <c r="V436" s="23">
        <f>IFERROR(IF(AND(AB436&gt;0,B436&lt;&gt;"Sell"),(AA436-SUMIF(C$4:C435,C436,AC$4:AC436))/AB436,0),"")</f>
        <v>-127.70865384615385</v>
      </c>
      <c r="W436" s="24" t="str">
        <f t="shared" si="52"/>
        <v/>
      </c>
      <c r="X436" s="25" t="str">
        <f t="shared" si="51"/>
        <v>iShares IBOXX (US$)_ACB</v>
      </c>
      <c r="Y436" s="10" t="str">
        <f>IF(S437&lt;&gt;eRRSP_Tx_Table[[#This Row],[Year]],SUMIFS($W$4:$W436,$S$4:$S436,eRRSP_Tx_Table[[#This Row],[Year]],$W$4:$W436,"&gt;0"),"")</f>
        <v/>
      </c>
      <c r="Z436" s="10" t="str">
        <f>IF(S437&lt;&gt;eRRSP_Tx_Table[[#This Row],[Year]],SUMIFS($W$4:$W436,$S$4:$S436,eRRSP_Tx_Table[[#This Row],[Year]],$W$4:$W436,"&lt;0"),"")</f>
        <v/>
      </c>
      <c r="AA436" s="3">
        <f>(SUMIF($U$4:$U436,CONCATENATE("Buy",$C436),$N$4:$N436)+SUMIF($U$4:$U436,CONCATENATE("ReinvDiv",$C436),$N$4:$N436))</f>
        <v>-6640.85</v>
      </c>
      <c r="AB436" s="3">
        <f>(SUMIF($U$4:$U436,CONCATENATE("Buy",$C436),$F$4:$F436)+SUMIF($U$4:$U436,CONCATENATE("ReinvDiv",$C436),$F$4:$F436)+SUMIF($U$4:$U436,CONCATENATE("StkSplit",$C436),$F$4:$F436)-SUMIF($U$4:$U436,CONCATENATE("Sell",$C436),$F$4:$F436))</f>
        <v>52</v>
      </c>
      <c r="AC436" s="3">
        <f>IF(B436="Sell",F436*INDEX(V:V,LOOKUP(2,1/(X$4:X435=CONCATENATE(C436,"_ACB")),ROW(V$4:V435))),0)</f>
        <v>0</v>
      </c>
    </row>
    <row r="437" spans="1:29" x14ac:dyDescent="0.25">
      <c r="A437" s="20">
        <v>39185</v>
      </c>
      <c r="B437" t="s">
        <v>42</v>
      </c>
      <c r="C437" t="s">
        <v>87</v>
      </c>
      <c r="D437" s="3">
        <v>45.84</v>
      </c>
      <c r="M437" s="21">
        <f t="shared" si="55"/>
        <v>45.84</v>
      </c>
      <c r="N437" s="8">
        <f t="shared" si="53"/>
        <v>45.84</v>
      </c>
      <c r="O437" s="25">
        <f t="shared" si="59"/>
        <v>29869.69</v>
      </c>
      <c r="P437" s="8">
        <f t="shared" si="57"/>
        <v>0</v>
      </c>
      <c r="Q437" s="4">
        <f>IF(AND(S437&gt;=[1]eRRSP_Rpt!$C$6,S437&lt;=[1]eRRSP_Rpt!$C$7),1,0)</f>
        <v>0</v>
      </c>
      <c r="R437" s="4"/>
      <c r="S437" s="4">
        <f t="shared" si="54"/>
        <v>2007</v>
      </c>
      <c r="T437" s="4"/>
      <c r="U437" s="4" t="str">
        <f t="shared" si="58"/>
        <v>DivAberdeen Asia Pacific Income Fund</v>
      </c>
      <c r="V437" s="23">
        <f>IFERROR(IF(AND(AB437&gt;0,B437&lt;&gt;"Sell"),(AA437-SUMIF(C$4:C436,C437,AC$4:AC437))/AB437,0),"")</f>
        <v>-7.4694020797227028</v>
      </c>
      <c r="W437" s="24" t="str">
        <f t="shared" si="52"/>
        <v/>
      </c>
      <c r="X437" s="25" t="str">
        <f t="shared" si="51"/>
        <v>Aberdeen Asia Pacific Income Fund_ACB</v>
      </c>
      <c r="Y437" s="10" t="str">
        <f>IF(S438&lt;&gt;eRRSP_Tx_Table[[#This Row],[Year]],SUMIFS($W$4:$W437,$S$4:$S437,eRRSP_Tx_Table[[#This Row],[Year]],$W$4:$W437,"&gt;0"),"")</f>
        <v/>
      </c>
      <c r="Z437" s="10" t="str">
        <f>IF(S438&lt;&gt;eRRSP_Tx_Table[[#This Row],[Year]],SUMIFS($W$4:$W437,$S$4:$S437,eRRSP_Tx_Table[[#This Row],[Year]],$W$4:$W437,"&lt;0"),"")</f>
        <v/>
      </c>
      <c r="AA437" s="3">
        <f>(SUMIF($U$4:$U437,CONCATENATE("Buy",$C437),$N$4:$N437)+SUMIF($U$4:$U437,CONCATENATE("ReinvDiv",$C437),$N$4:$N437))</f>
        <v>-8619.6899999999987</v>
      </c>
      <c r="AB437" s="3">
        <f>(SUMIF($U$4:$U437,CONCATENATE("Buy",$C437),$F$4:$F437)+SUMIF($U$4:$U437,CONCATENATE("ReinvDiv",$C437),$F$4:$F437)+SUMIF($U$4:$U437,CONCATENATE("StkSplit",$C437),$F$4:$F437)-SUMIF($U$4:$U437,CONCATENATE("Sell",$C437),$F$4:$F437))</f>
        <v>1154</v>
      </c>
      <c r="AC437" s="3">
        <f>IF(B437="Sell",F437*INDEX(V:V,LOOKUP(2,1/(X$4:X436=CONCATENATE(C437,"_ACB")),ROW(V$4:V436))),0)</f>
        <v>0</v>
      </c>
    </row>
    <row r="438" spans="1:29" x14ac:dyDescent="0.25">
      <c r="A438" s="20">
        <v>39188</v>
      </c>
      <c r="B438" t="s">
        <v>43</v>
      </c>
      <c r="C438" t="s">
        <v>36</v>
      </c>
      <c r="D438" s="3">
        <v>37.950000000000003</v>
      </c>
      <c r="M438" s="21">
        <f t="shared" si="55"/>
        <v>37.950000000000003</v>
      </c>
      <c r="N438" s="8">
        <f t="shared" si="53"/>
        <v>37.950000000000003</v>
      </c>
      <c r="O438" s="25">
        <f t="shared" si="59"/>
        <v>29907.64</v>
      </c>
      <c r="P438" s="8">
        <f t="shared" si="57"/>
        <v>0</v>
      </c>
      <c r="Q438" s="4">
        <f>IF(AND(S438&gt;=[1]eRRSP_Rpt!$C$6,S438&lt;=[1]eRRSP_Rpt!$C$7),1,0)</f>
        <v>0</v>
      </c>
      <c r="R438" s="4"/>
      <c r="S438" s="4">
        <f t="shared" si="54"/>
        <v>2007</v>
      </c>
      <c r="T438" s="4"/>
      <c r="U438" s="4" t="str">
        <f t="shared" si="58"/>
        <v>IntIncTDW</v>
      </c>
      <c r="V438" s="23">
        <f>IFERROR(IF(AND(AB438&gt;0,B438&lt;&gt;"Sell"),(AA438-SUMIF(C$4:C437,C438,AC$4:AC438))/AB438,0),"")</f>
        <v>0</v>
      </c>
      <c r="W438" s="24" t="str">
        <f t="shared" si="52"/>
        <v/>
      </c>
      <c r="X438" s="25" t="str">
        <f t="shared" si="51"/>
        <v/>
      </c>
      <c r="Y438" s="10" t="str">
        <f>IF(S439&lt;&gt;eRRSP_Tx_Table[[#This Row],[Year]],SUMIFS($W$4:$W438,$S$4:$S438,eRRSP_Tx_Table[[#This Row],[Year]],$W$4:$W438,"&gt;0"),"")</f>
        <v/>
      </c>
      <c r="Z438" s="10" t="str">
        <f>IF(S439&lt;&gt;eRRSP_Tx_Table[[#This Row],[Year]],SUMIFS($W$4:$W438,$S$4:$S438,eRRSP_Tx_Table[[#This Row],[Year]],$W$4:$W438,"&lt;0"),"")</f>
        <v/>
      </c>
      <c r="AA438" s="3">
        <f>(SUMIF($U$4:$U438,CONCATENATE("Buy",$C438),$N$4:$N438)+SUMIF($U$4:$U438,CONCATENATE("ReinvDiv",$C438),$N$4:$N438))</f>
        <v>0</v>
      </c>
      <c r="AB438" s="3">
        <f>(SUMIF($U$4:$U438,CONCATENATE("Buy",$C438),$F$4:$F438)+SUMIF($U$4:$U438,CONCATENATE("ReinvDiv",$C438),$F$4:$F438)+SUMIF($U$4:$U438,CONCATENATE("StkSplit",$C438),$F$4:$F438)-SUMIF($U$4:$U438,CONCATENATE("Sell",$C438),$F$4:$F438))</f>
        <v>0</v>
      </c>
      <c r="AC438" s="3">
        <f>IF(B438="Sell",F438*INDEX(V:V,LOOKUP(2,1/(X$4:X437=CONCATENATE(C438,"_ACB")),ROW(V$4:V437))),0)</f>
        <v>0</v>
      </c>
    </row>
    <row r="439" spans="1:29" x14ac:dyDescent="0.25">
      <c r="A439" s="20">
        <v>39202</v>
      </c>
      <c r="B439" t="s">
        <v>42</v>
      </c>
      <c r="C439" t="s">
        <v>45</v>
      </c>
      <c r="D439" s="3">
        <v>10.6</v>
      </c>
      <c r="M439" s="21">
        <f t="shared" si="55"/>
        <v>10.6</v>
      </c>
      <c r="N439" s="8">
        <f t="shared" si="53"/>
        <v>10.6</v>
      </c>
      <c r="O439" s="25">
        <f t="shared" si="59"/>
        <v>29918.239999999998</v>
      </c>
      <c r="P439" s="8">
        <f t="shared" si="57"/>
        <v>0</v>
      </c>
      <c r="Q439" s="4">
        <f>IF(AND(S439&gt;=[1]eRRSP_Rpt!$C$6,S439&lt;=[1]eRRSP_Rpt!$C$7),1,0)</f>
        <v>0</v>
      </c>
      <c r="R439" s="4"/>
      <c r="S439" s="4">
        <f t="shared" si="54"/>
        <v>2007</v>
      </c>
      <c r="T439" s="4"/>
      <c r="U439" s="4" t="str">
        <f t="shared" si="58"/>
        <v>DivTD Bank</v>
      </c>
      <c r="V439" s="23">
        <f>IFERROR(IF(AND(AB439&gt;0,B439&lt;&gt;"Sell"),(AA439-SUMIF(C$4:C438,C439,AC$4:AC439))/AB439,0),"")</f>
        <v>-44.29</v>
      </c>
      <c r="W439" s="24" t="str">
        <f t="shared" si="52"/>
        <v/>
      </c>
      <c r="X439" s="25" t="str">
        <f t="shared" si="51"/>
        <v>TD Bank_ACB</v>
      </c>
      <c r="Y439" s="10" t="str">
        <f>IF(S440&lt;&gt;eRRSP_Tx_Table[[#This Row],[Year]],SUMIFS($W$4:$W439,$S$4:$S439,eRRSP_Tx_Table[[#This Row],[Year]],$W$4:$W439,"&gt;0"),"")</f>
        <v/>
      </c>
      <c r="Z439" s="10" t="str">
        <f>IF(S440&lt;&gt;eRRSP_Tx_Table[[#This Row],[Year]],SUMIFS($W$4:$W439,$S$4:$S439,eRRSP_Tx_Table[[#This Row],[Year]],$W$4:$W439,"&lt;0"),"")</f>
        <v/>
      </c>
      <c r="AA439" s="3">
        <f>(SUMIF($U$4:$U439,CONCATENATE("Buy",$C439),$N$4:$N439)+SUMIF($U$4:$U439,CONCATENATE("ReinvDiv",$C439),$N$4:$N439))</f>
        <v>-885.8</v>
      </c>
      <c r="AB439" s="3">
        <f>(SUMIF($U$4:$U439,CONCATENATE("Buy",$C439),$F$4:$F439)+SUMIF($U$4:$U439,CONCATENATE("ReinvDiv",$C439),$F$4:$F439)+SUMIF($U$4:$U439,CONCATENATE("StkSplit",$C439),$F$4:$F439)-SUMIF($U$4:$U439,CONCATENATE("Sell",$C439),$F$4:$F439))</f>
        <v>20</v>
      </c>
      <c r="AC439" s="3">
        <f>IF(B439="Sell",F439*INDEX(V:V,LOOKUP(2,1/(X$4:X438=CONCATENATE(C439,"_ACB")),ROW(V$4:V438))),0)</f>
        <v>0</v>
      </c>
    </row>
    <row r="440" spans="1:29" x14ac:dyDescent="0.25">
      <c r="A440" s="20">
        <v>39209</v>
      </c>
      <c r="B440" t="s">
        <v>42</v>
      </c>
      <c r="C440" t="s">
        <v>88</v>
      </c>
      <c r="D440" s="3">
        <v>27.5</v>
      </c>
      <c r="M440" s="21">
        <f t="shared" si="55"/>
        <v>27.5</v>
      </c>
      <c r="N440" s="8">
        <f t="shared" si="53"/>
        <v>27.5</v>
      </c>
      <c r="O440" s="25">
        <f t="shared" si="59"/>
        <v>29945.739999999998</v>
      </c>
      <c r="P440" s="8">
        <f t="shared" si="57"/>
        <v>0</v>
      </c>
      <c r="Q440" s="4">
        <f>IF(AND(S440&gt;=[1]eRRSP_Rpt!$C$6,S440&lt;=[1]eRRSP_Rpt!$C$7),1,0)</f>
        <v>0</v>
      </c>
      <c r="R440" s="4"/>
      <c r="S440" s="4">
        <f t="shared" si="54"/>
        <v>2007</v>
      </c>
      <c r="T440" s="4"/>
      <c r="U440" s="4" t="str">
        <f t="shared" si="58"/>
        <v>DiviShares IBOXX (US$)</v>
      </c>
      <c r="V440" s="23">
        <f>IFERROR(IF(AND(AB440&gt;0,B440&lt;&gt;"Sell"),(AA440-SUMIF(C$4:C439,C440,AC$4:AC440))/AB440,0),"")</f>
        <v>-127.70865384615385</v>
      </c>
      <c r="W440" s="24" t="str">
        <f t="shared" si="52"/>
        <v/>
      </c>
      <c r="X440" s="25" t="str">
        <f t="shared" si="51"/>
        <v>iShares IBOXX (US$)_ACB</v>
      </c>
      <c r="Y440" s="10" t="str">
        <f>IF(S441&lt;&gt;eRRSP_Tx_Table[[#This Row],[Year]],SUMIFS($W$4:$W440,$S$4:$S440,eRRSP_Tx_Table[[#This Row],[Year]],$W$4:$W440,"&gt;0"),"")</f>
        <v/>
      </c>
      <c r="Z440" s="10" t="str">
        <f>IF(S441&lt;&gt;eRRSP_Tx_Table[[#This Row],[Year]],SUMIFS($W$4:$W440,$S$4:$S440,eRRSP_Tx_Table[[#This Row],[Year]],$W$4:$W440,"&lt;0"),"")</f>
        <v/>
      </c>
      <c r="AA440" s="3">
        <f>(SUMIF($U$4:$U440,CONCATENATE("Buy",$C440),$N$4:$N440)+SUMIF($U$4:$U440,CONCATENATE("ReinvDiv",$C440),$N$4:$N440))</f>
        <v>-6640.85</v>
      </c>
      <c r="AB440" s="3">
        <f>(SUMIF($U$4:$U440,CONCATENATE("Buy",$C440),$F$4:$F440)+SUMIF($U$4:$U440,CONCATENATE("ReinvDiv",$C440),$F$4:$F440)+SUMIF($U$4:$U440,CONCATENATE("StkSplit",$C440),$F$4:$F440)-SUMIF($U$4:$U440,CONCATENATE("Sell",$C440),$F$4:$F440))</f>
        <v>52</v>
      </c>
      <c r="AC440" s="3">
        <f>IF(B440="Sell",F440*INDEX(V:V,LOOKUP(2,1/(X$4:X439=CONCATENATE(C440,"_ACB")),ROW(V$4:V439))),0)</f>
        <v>0</v>
      </c>
    </row>
    <row r="441" spans="1:29" x14ac:dyDescent="0.25">
      <c r="A441" s="20">
        <v>39213</v>
      </c>
      <c r="B441" t="s">
        <v>42</v>
      </c>
      <c r="C441" t="s">
        <v>87</v>
      </c>
      <c r="D441" s="3">
        <v>44.87</v>
      </c>
      <c r="M441" s="21">
        <f t="shared" si="55"/>
        <v>44.87</v>
      </c>
      <c r="N441" s="8">
        <f t="shared" si="53"/>
        <v>44.87</v>
      </c>
      <c r="O441" s="25">
        <f t="shared" si="59"/>
        <v>29990.609999999997</v>
      </c>
      <c r="P441" s="8">
        <f t="shared" si="57"/>
        <v>0</v>
      </c>
      <c r="Q441" s="4">
        <f>IF(AND(S441&gt;=[1]eRRSP_Rpt!$C$6,S441&lt;=[1]eRRSP_Rpt!$C$7),1,0)</f>
        <v>0</v>
      </c>
      <c r="R441" s="4"/>
      <c r="S441" s="4">
        <f t="shared" si="54"/>
        <v>2007</v>
      </c>
      <c r="T441" s="4"/>
      <c r="U441" s="4" t="str">
        <f t="shared" si="58"/>
        <v>DivAberdeen Asia Pacific Income Fund</v>
      </c>
      <c r="V441" s="23">
        <f>IFERROR(IF(AND(AB441&gt;0,B441&lt;&gt;"Sell"),(AA441-SUMIF(C$4:C440,C441,AC$4:AC441))/AB441,0),"")</f>
        <v>-7.4694020797227028</v>
      </c>
      <c r="W441" s="24" t="str">
        <f t="shared" si="52"/>
        <v/>
      </c>
      <c r="X441" s="25" t="str">
        <f t="shared" si="51"/>
        <v>Aberdeen Asia Pacific Income Fund_ACB</v>
      </c>
      <c r="Y441" s="10" t="str">
        <f>IF(S442&lt;&gt;eRRSP_Tx_Table[[#This Row],[Year]],SUMIFS($W$4:$W441,$S$4:$S441,eRRSP_Tx_Table[[#This Row],[Year]],$W$4:$W441,"&gt;0"),"")</f>
        <v/>
      </c>
      <c r="Z441" s="10" t="str">
        <f>IF(S442&lt;&gt;eRRSP_Tx_Table[[#This Row],[Year]],SUMIFS($W$4:$W441,$S$4:$S441,eRRSP_Tx_Table[[#This Row],[Year]],$W$4:$W441,"&lt;0"),"")</f>
        <v/>
      </c>
      <c r="AA441" s="3">
        <f>(SUMIF($U$4:$U441,CONCATENATE("Buy",$C441),$N$4:$N441)+SUMIF($U$4:$U441,CONCATENATE("ReinvDiv",$C441),$N$4:$N441))</f>
        <v>-8619.6899999999987</v>
      </c>
      <c r="AB441" s="3">
        <f>(SUMIF($U$4:$U441,CONCATENATE("Buy",$C441),$F$4:$F441)+SUMIF($U$4:$U441,CONCATENATE("ReinvDiv",$C441),$F$4:$F441)+SUMIF($U$4:$U441,CONCATENATE("StkSplit",$C441),$F$4:$F441)-SUMIF($U$4:$U441,CONCATENATE("Sell",$C441),$F$4:$F441))</f>
        <v>1154</v>
      </c>
      <c r="AC441" s="3">
        <f>IF(B441="Sell",F441*INDEX(V:V,LOOKUP(2,1/(X$4:X440=CONCATENATE(C441,"_ACB")),ROW(V$4:V440))),0)</f>
        <v>0</v>
      </c>
    </row>
    <row r="442" spans="1:29" x14ac:dyDescent="0.25">
      <c r="A442" s="20">
        <v>39218</v>
      </c>
      <c r="B442" t="s">
        <v>30</v>
      </c>
      <c r="C442" t="s">
        <v>31</v>
      </c>
      <c r="D442" s="3">
        <v>3551</v>
      </c>
      <c r="M442" s="21">
        <f t="shared" si="55"/>
        <v>3551</v>
      </c>
      <c r="N442" s="8">
        <f t="shared" si="53"/>
        <v>3551</v>
      </c>
      <c r="O442" s="25">
        <f t="shared" si="59"/>
        <v>33541.61</v>
      </c>
      <c r="P442" s="8">
        <f t="shared" si="57"/>
        <v>3551</v>
      </c>
      <c r="Q442" s="4">
        <f>IF(AND(S442&gt;=[1]eRRSP_Rpt!$C$6,S442&lt;=[1]eRRSP_Rpt!$C$7),1,0)</f>
        <v>0</v>
      </c>
      <c r="R442" s="4"/>
      <c r="S442" s="4">
        <f t="shared" si="54"/>
        <v>2007</v>
      </c>
      <c r="T442" s="4"/>
      <c r="U442" s="4" t="str">
        <f t="shared" si="58"/>
        <v>CashContribution</v>
      </c>
      <c r="V442" s="23">
        <f>IFERROR(IF(AND(AB442&gt;0,B442&lt;&gt;"Sell"),(AA442-SUMIF(C$4:C441,C442,AC$4:AC442))/AB442,0),"")</f>
        <v>0</v>
      </c>
      <c r="W442" s="24" t="str">
        <f t="shared" si="52"/>
        <v/>
      </c>
      <c r="X442" s="25" t="str">
        <f t="shared" si="51"/>
        <v/>
      </c>
      <c r="Y442" s="10" t="str">
        <f>IF(S443&lt;&gt;eRRSP_Tx_Table[[#This Row],[Year]],SUMIFS($W$4:$W442,$S$4:$S442,eRRSP_Tx_Table[[#This Row],[Year]],$W$4:$W442,"&gt;0"),"")</f>
        <v/>
      </c>
      <c r="Z442" s="10" t="str">
        <f>IF(S443&lt;&gt;eRRSP_Tx_Table[[#This Row],[Year]],SUMIFS($W$4:$W442,$S$4:$S442,eRRSP_Tx_Table[[#This Row],[Year]],$W$4:$W442,"&lt;0"),"")</f>
        <v/>
      </c>
      <c r="AA442" s="3">
        <f>(SUMIF($U$4:$U442,CONCATENATE("Buy",$C442),$N$4:$N442)+SUMIF($U$4:$U442,CONCATENATE("ReinvDiv",$C442),$N$4:$N442))</f>
        <v>0</v>
      </c>
      <c r="AB442" s="3">
        <f>(SUMIF($U$4:$U442,CONCATENATE("Buy",$C442),$F$4:$F442)+SUMIF($U$4:$U442,CONCATENATE("ReinvDiv",$C442),$F$4:$F442)+SUMIF($U$4:$U442,CONCATENATE("StkSplit",$C442),$F$4:$F442)-SUMIF($U$4:$U442,CONCATENATE("Sell",$C442),$F$4:$F442))</f>
        <v>0</v>
      </c>
      <c r="AC442" s="3">
        <f>IF(B442="Sell",F442*INDEX(V:V,LOOKUP(2,1/(X$4:X441=CONCATENATE(C442,"_ACB")),ROW(V$4:V441))),0)</f>
        <v>0</v>
      </c>
    </row>
    <row r="443" spans="1:29" x14ac:dyDescent="0.25">
      <c r="A443" s="20">
        <v>39218</v>
      </c>
      <c r="B443" t="s">
        <v>43</v>
      </c>
      <c r="C443" t="s">
        <v>36</v>
      </c>
      <c r="D443" s="3">
        <v>36.89</v>
      </c>
      <c r="M443" s="21">
        <f t="shared" si="55"/>
        <v>36.89</v>
      </c>
      <c r="N443" s="8">
        <f t="shared" si="53"/>
        <v>36.89</v>
      </c>
      <c r="O443" s="25">
        <f t="shared" si="59"/>
        <v>33578.5</v>
      </c>
      <c r="P443" s="8">
        <f t="shared" si="57"/>
        <v>0</v>
      </c>
      <c r="Q443" s="4">
        <f>IF(AND(S443&gt;=[1]eRRSP_Rpt!$C$6,S443&lt;=[1]eRRSP_Rpt!$C$7),1,0)</f>
        <v>0</v>
      </c>
      <c r="R443" s="4"/>
      <c r="S443" s="4">
        <f t="shared" si="54"/>
        <v>2007</v>
      </c>
      <c r="T443" s="4"/>
      <c r="U443" s="4" t="str">
        <f t="shared" si="58"/>
        <v>IntIncTDW</v>
      </c>
      <c r="V443" s="23">
        <f>IFERROR(IF(AND(AB443&gt;0,B443&lt;&gt;"Sell"),(AA443-SUMIF(C$4:C442,C443,AC$4:AC443))/AB443,0),"")</f>
        <v>0</v>
      </c>
      <c r="W443" s="24" t="str">
        <f t="shared" si="52"/>
        <v/>
      </c>
      <c r="X443" s="25" t="str">
        <f t="shared" si="51"/>
        <v/>
      </c>
      <c r="Y443" s="10" t="str">
        <f>IF(S444&lt;&gt;eRRSP_Tx_Table[[#This Row],[Year]],SUMIFS($W$4:$W443,$S$4:$S443,eRRSP_Tx_Table[[#This Row],[Year]],$W$4:$W443,"&gt;0"),"")</f>
        <v/>
      </c>
      <c r="Z443" s="10" t="str">
        <f>IF(S444&lt;&gt;eRRSP_Tx_Table[[#This Row],[Year]],SUMIFS($W$4:$W443,$S$4:$S443,eRRSP_Tx_Table[[#This Row],[Year]],$W$4:$W443,"&lt;0"),"")</f>
        <v/>
      </c>
      <c r="AA443" s="3">
        <f>(SUMIF($U$4:$U443,CONCATENATE("Buy",$C443),$N$4:$N443)+SUMIF($U$4:$U443,CONCATENATE("ReinvDiv",$C443),$N$4:$N443))</f>
        <v>0</v>
      </c>
      <c r="AB443" s="3">
        <f>(SUMIF($U$4:$U443,CONCATENATE("Buy",$C443),$F$4:$F443)+SUMIF($U$4:$U443,CONCATENATE("ReinvDiv",$C443),$F$4:$F443)+SUMIF($U$4:$U443,CONCATENATE("StkSplit",$C443),$F$4:$F443)-SUMIF($U$4:$U443,CONCATENATE("Sell",$C443),$F$4:$F443))</f>
        <v>0</v>
      </c>
      <c r="AC443" s="3">
        <f>IF(B443="Sell",F443*INDEX(V:V,LOOKUP(2,1/(X$4:X442=CONCATENATE(C443,"_ACB")),ROW(V$4:V442))),0)</f>
        <v>0</v>
      </c>
    </row>
    <row r="444" spans="1:29" x14ac:dyDescent="0.25">
      <c r="A444" s="20">
        <v>39234</v>
      </c>
      <c r="B444" t="s">
        <v>42</v>
      </c>
      <c r="C444" t="s">
        <v>33</v>
      </c>
      <c r="D444" s="3">
        <v>22.44</v>
      </c>
      <c r="M444" s="21">
        <f t="shared" si="55"/>
        <v>22.44</v>
      </c>
      <c r="N444" s="8">
        <f t="shared" si="53"/>
        <v>22.44</v>
      </c>
      <c r="O444" s="25">
        <f t="shared" si="59"/>
        <v>33600.94</v>
      </c>
      <c r="P444" s="8">
        <f t="shared" si="57"/>
        <v>0</v>
      </c>
      <c r="Q444" s="4">
        <f>IF(AND(S444&gt;=[1]eRRSP_Rpt!$C$6,S444&lt;=[1]eRRSP_Rpt!$C$7),1,0)</f>
        <v>0</v>
      </c>
      <c r="R444" s="4"/>
      <c r="S444" s="4">
        <f t="shared" si="54"/>
        <v>2007</v>
      </c>
      <c r="T444" s="4"/>
      <c r="U444" s="4" t="str">
        <f t="shared" si="58"/>
        <v>DivEnbridge</v>
      </c>
      <c r="V444" s="23">
        <f>IFERROR(IF(AND(AB444&gt;0,B444&lt;&gt;"Sell"),(AA444-SUMIF(C$4:C443,C444,AC$4:AC444))/AB444,0),"")</f>
        <v>-12.859027777777776</v>
      </c>
      <c r="W444" s="24" t="str">
        <f t="shared" si="52"/>
        <v/>
      </c>
      <c r="X444" s="25" t="str">
        <f t="shared" si="51"/>
        <v>Enbridge_ACB</v>
      </c>
      <c r="Y444" s="10" t="str">
        <f>IF(S445&lt;&gt;eRRSP_Tx_Table[[#This Row],[Year]],SUMIFS($W$4:$W444,$S$4:$S444,eRRSP_Tx_Table[[#This Row],[Year]],$W$4:$W444,"&gt;0"),"")</f>
        <v/>
      </c>
      <c r="Z444" s="10" t="str">
        <f>IF(S445&lt;&gt;eRRSP_Tx_Table[[#This Row],[Year]],SUMIFS($W$4:$W444,$S$4:$S444,eRRSP_Tx_Table[[#This Row],[Year]],$W$4:$W444,"&lt;0"),"")</f>
        <v/>
      </c>
      <c r="AA444" s="3">
        <f>(SUMIF($U$4:$U444,CONCATENATE("Buy",$C444),$N$4:$N444)+SUMIF($U$4:$U444,CONCATENATE("ReinvDiv",$C444),$N$4:$N444))</f>
        <v>-1851.7</v>
      </c>
      <c r="AB444" s="3">
        <f>(SUMIF($U$4:$U444,CONCATENATE("Buy",$C444),$F$4:$F444)+SUMIF($U$4:$U444,CONCATENATE("ReinvDiv",$C444),$F$4:$F444)+SUMIF($U$4:$U444,CONCATENATE("StkSplit",$C444),$F$4:$F444)-SUMIF($U$4:$U444,CONCATENATE("Sell",$C444),$F$4:$F444))</f>
        <v>73</v>
      </c>
      <c r="AC444" s="3">
        <f>IF(B444="Sell",F444*INDEX(V:V,LOOKUP(2,1/(X$4:X443=CONCATENATE(C444,"_ACB")),ROW(V$4:V443))),0)</f>
        <v>0</v>
      </c>
    </row>
    <row r="445" spans="1:29" x14ac:dyDescent="0.25">
      <c r="A445" s="20">
        <v>39240</v>
      </c>
      <c r="B445" t="s">
        <v>42</v>
      </c>
      <c r="C445" t="s">
        <v>88</v>
      </c>
      <c r="D445" s="3">
        <v>27.28</v>
      </c>
      <c r="M445" s="21">
        <f t="shared" si="55"/>
        <v>27.28</v>
      </c>
      <c r="N445" s="8">
        <f t="shared" si="53"/>
        <v>27.28</v>
      </c>
      <c r="O445" s="25">
        <f t="shared" si="59"/>
        <v>33628.22</v>
      </c>
      <c r="P445" s="8">
        <f t="shared" si="57"/>
        <v>0</v>
      </c>
      <c r="Q445" s="4">
        <f>IF(AND(S445&gt;=[1]eRRSP_Rpt!$C$6,S445&lt;=[1]eRRSP_Rpt!$C$7),1,0)</f>
        <v>0</v>
      </c>
      <c r="R445" s="4"/>
      <c r="S445" s="4">
        <f t="shared" si="54"/>
        <v>2007</v>
      </c>
      <c r="T445" s="4"/>
      <c r="U445" s="4" t="str">
        <f t="shared" si="58"/>
        <v>DiviShares IBOXX (US$)</v>
      </c>
      <c r="V445" s="23">
        <f>IFERROR(IF(AND(AB445&gt;0,B445&lt;&gt;"Sell"),(AA445-SUMIF(C$4:C444,C445,AC$4:AC445))/AB445,0),"")</f>
        <v>-127.70865384615385</v>
      </c>
      <c r="W445" s="24" t="str">
        <f t="shared" si="52"/>
        <v/>
      </c>
      <c r="X445" s="25" t="str">
        <f t="shared" si="51"/>
        <v>iShares IBOXX (US$)_ACB</v>
      </c>
      <c r="Y445" s="10" t="str">
        <f>IF(S446&lt;&gt;eRRSP_Tx_Table[[#This Row],[Year]],SUMIFS($W$4:$W445,$S$4:$S445,eRRSP_Tx_Table[[#This Row],[Year]],$W$4:$W445,"&gt;0"),"")</f>
        <v/>
      </c>
      <c r="Z445" s="10" t="str">
        <f>IF(S446&lt;&gt;eRRSP_Tx_Table[[#This Row],[Year]],SUMIFS($W$4:$W445,$S$4:$S445,eRRSP_Tx_Table[[#This Row],[Year]],$W$4:$W445,"&lt;0"),"")</f>
        <v/>
      </c>
      <c r="AA445" s="3">
        <f>(SUMIF($U$4:$U445,CONCATENATE("Buy",$C445),$N$4:$N445)+SUMIF($U$4:$U445,CONCATENATE("ReinvDiv",$C445),$N$4:$N445))</f>
        <v>-6640.85</v>
      </c>
      <c r="AB445" s="3">
        <f>(SUMIF($U$4:$U445,CONCATENATE("Buy",$C445),$F$4:$F445)+SUMIF($U$4:$U445,CONCATENATE("ReinvDiv",$C445),$F$4:$F445)+SUMIF($U$4:$U445,CONCATENATE("StkSplit",$C445),$F$4:$F445)-SUMIF($U$4:$U445,CONCATENATE("Sell",$C445),$F$4:$F445))</f>
        <v>52</v>
      </c>
      <c r="AC445" s="3">
        <f>IF(B445="Sell",F445*INDEX(V:V,LOOKUP(2,1/(X$4:X444=CONCATENATE(C445,"_ACB")),ROW(V$4:V444))),0)</f>
        <v>0</v>
      </c>
    </row>
    <row r="446" spans="1:29" x14ac:dyDescent="0.25">
      <c r="A446" s="20">
        <v>39248</v>
      </c>
      <c r="B446" t="s">
        <v>42</v>
      </c>
      <c r="C446" t="s">
        <v>87</v>
      </c>
      <c r="D446" s="3">
        <v>43.07</v>
      </c>
      <c r="M446" s="21">
        <f t="shared" si="55"/>
        <v>43.07</v>
      </c>
      <c r="N446" s="8">
        <f t="shared" si="53"/>
        <v>43.07</v>
      </c>
      <c r="O446" s="25">
        <f t="shared" si="59"/>
        <v>33671.29</v>
      </c>
      <c r="P446" s="8">
        <f t="shared" si="57"/>
        <v>0</v>
      </c>
      <c r="Q446" s="4">
        <f>IF(AND(S446&gt;=[1]eRRSP_Rpt!$C$6,S446&lt;=[1]eRRSP_Rpt!$C$7),1,0)</f>
        <v>0</v>
      </c>
      <c r="R446" s="4"/>
      <c r="S446" s="4">
        <f t="shared" si="54"/>
        <v>2007</v>
      </c>
      <c r="T446" s="4"/>
      <c r="U446" s="4" t="str">
        <f t="shared" si="58"/>
        <v>DivAberdeen Asia Pacific Income Fund</v>
      </c>
      <c r="V446" s="23">
        <f>IFERROR(IF(AND(AB446&gt;0,B446&lt;&gt;"Sell"),(AA446-SUMIF(C$4:C445,C446,AC$4:AC446))/AB446,0),"")</f>
        <v>-7.4694020797227028</v>
      </c>
      <c r="W446" s="24" t="str">
        <f t="shared" si="52"/>
        <v/>
      </c>
      <c r="X446" s="25" t="str">
        <f t="shared" si="51"/>
        <v>Aberdeen Asia Pacific Income Fund_ACB</v>
      </c>
      <c r="Y446" s="10" t="str">
        <f>IF(S447&lt;&gt;eRRSP_Tx_Table[[#This Row],[Year]],SUMIFS($W$4:$W446,$S$4:$S446,eRRSP_Tx_Table[[#This Row],[Year]],$W$4:$W446,"&gt;0"),"")</f>
        <v/>
      </c>
      <c r="Z446" s="10" t="str">
        <f>IF(S447&lt;&gt;eRRSP_Tx_Table[[#This Row],[Year]],SUMIFS($W$4:$W446,$S$4:$S446,eRRSP_Tx_Table[[#This Row],[Year]],$W$4:$W446,"&lt;0"),"")</f>
        <v/>
      </c>
      <c r="AA446" s="3">
        <f>(SUMIF($U$4:$U446,CONCATENATE("Buy",$C446),$N$4:$N446)+SUMIF($U$4:$U446,CONCATENATE("ReinvDiv",$C446),$N$4:$N446))</f>
        <v>-8619.6899999999987</v>
      </c>
      <c r="AB446" s="3">
        <f>(SUMIF($U$4:$U446,CONCATENATE("Buy",$C446),$F$4:$F446)+SUMIF($U$4:$U446,CONCATENATE("ReinvDiv",$C446),$F$4:$F446)+SUMIF($U$4:$U446,CONCATENATE("StkSplit",$C446),$F$4:$F446)-SUMIF($U$4:$U446,CONCATENATE("Sell",$C446),$F$4:$F446))</f>
        <v>1154</v>
      </c>
      <c r="AC446" s="3">
        <f>IF(B446="Sell",F446*INDEX(V:V,LOOKUP(2,1/(X$4:X445=CONCATENATE(C446,"_ACB")),ROW(V$4:V445))),0)</f>
        <v>0</v>
      </c>
    </row>
    <row r="447" spans="1:29" x14ac:dyDescent="0.25">
      <c r="A447" s="20">
        <v>39249</v>
      </c>
      <c r="B447" t="s">
        <v>43</v>
      </c>
      <c r="C447" t="s">
        <v>36</v>
      </c>
      <c r="D447" s="3">
        <v>42.8</v>
      </c>
      <c r="M447" s="21">
        <f t="shared" si="55"/>
        <v>42.8</v>
      </c>
      <c r="N447" s="8">
        <f t="shared" si="53"/>
        <v>42.8</v>
      </c>
      <c r="O447" s="25">
        <f t="shared" si="59"/>
        <v>33714.090000000004</v>
      </c>
      <c r="P447" s="8">
        <f t="shared" si="57"/>
        <v>0</v>
      </c>
      <c r="Q447" s="4">
        <f>IF(AND(S447&gt;=[1]eRRSP_Rpt!$C$6,S447&lt;=[1]eRRSP_Rpt!$C$7),1,0)</f>
        <v>0</v>
      </c>
      <c r="R447" s="4"/>
      <c r="S447" s="4">
        <f t="shared" si="54"/>
        <v>2007</v>
      </c>
      <c r="T447" s="4"/>
      <c r="U447" s="4" t="str">
        <f t="shared" si="58"/>
        <v>IntIncTDW</v>
      </c>
      <c r="V447" s="23">
        <f>IFERROR(IF(AND(AB447&gt;0,B447&lt;&gt;"Sell"),(AA447-SUMIF(C$4:C446,C447,AC$4:AC447))/AB447,0),"")</f>
        <v>0</v>
      </c>
      <c r="W447" s="24" t="str">
        <f t="shared" si="52"/>
        <v/>
      </c>
      <c r="X447" s="25" t="str">
        <f t="shared" si="51"/>
        <v/>
      </c>
      <c r="Y447" s="10" t="str">
        <f>IF(S448&lt;&gt;eRRSP_Tx_Table[[#This Row],[Year]],SUMIFS($W$4:$W447,$S$4:$S447,eRRSP_Tx_Table[[#This Row],[Year]],$W$4:$W447,"&gt;0"),"")</f>
        <v/>
      </c>
      <c r="Z447" s="10" t="str">
        <f>IF(S448&lt;&gt;eRRSP_Tx_Table[[#This Row],[Year]],SUMIFS($W$4:$W447,$S$4:$S447,eRRSP_Tx_Table[[#This Row],[Year]],$W$4:$W447,"&lt;0"),"")</f>
        <v/>
      </c>
      <c r="AA447" s="3">
        <f>(SUMIF($U$4:$U447,CONCATENATE("Buy",$C447),$N$4:$N447)+SUMIF($U$4:$U447,CONCATENATE("ReinvDiv",$C447),$N$4:$N447))</f>
        <v>0</v>
      </c>
      <c r="AB447" s="3">
        <f>(SUMIF($U$4:$U447,CONCATENATE("Buy",$C447),$F$4:$F447)+SUMIF($U$4:$U447,CONCATENATE("ReinvDiv",$C447),$F$4:$F447)+SUMIF($U$4:$U447,CONCATENATE("StkSplit",$C447),$F$4:$F447)-SUMIF($U$4:$U447,CONCATENATE("Sell",$C447),$F$4:$F447))</f>
        <v>0</v>
      </c>
      <c r="AC447" s="3">
        <f>IF(B447="Sell",F447*INDEX(V:V,LOOKUP(2,1/(X$4:X446=CONCATENATE(C447,"_ACB")),ROW(V$4:V446))),0)</f>
        <v>0</v>
      </c>
    </row>
    <row r="448" spans="1:29" x14ac:dyDescent="0.25">
      <c r="A448" s="20">
        <v>39261</v>
      </c>
      <c r="B448" t="s">
        <v>41</v>
      </c>
      <c r="C448" t="s">
        <v>62</v>
      </c>
      <c r="D448" s="3">
        <v>211.23</v>
      </c>
      <c r="E448">
        <v>14.330399999999999</v>
      </c>
      <c r="F448" s="3">
        <v>14.74</v>
      </c>
      <c r="M448" s="21">
        <f t="shared" si="55"/>
        <v>211.23</v>
      </c>
      <c r="N448" s="8">
        <f t="shared" si="53"/>
        <v>-211.23</v>
      </c>
      <c r="O448" s="25">
        <f t="shared" si="59"/>
        <v>33714.090000000004</v>
      </c>
      <c r="P448" s="8">
        <f t="shared" si="57"/>
        <v>0</v>
      </c>
      <c r="Q448" s="4">
        <f>IF(AND(S448&gt;=[1]eRRSP_Rpt!$C$6,S448&lt;=[1]eRRSP_Rpt!$C$7),1,0)</f>
        <v>0</v>
      </c>
      <c r="R448" s="4"/>
      <c r="S448" s="4">
        <f t="shared" si="54"/>
        <v>2007</v>
      </c>
      <c r="T448" s="4"/>
      <c r="U448" s="4" t="str">
        <f t="shared" si="58"/>
        <v>ReinvDivTD RR Bond</v>
      </c>
      <c r="V448" s="23">
        <f>IFERROR(IF(AND(AB448&gt;0,B448&lt;&gt;"Sell"),(AA448-SUMIF(C$4:C447,C448,AC$4:AC448))/AB448,0),"")</f>
        <v>-14.485300745280917</v>
      </c>
      <c r="W448" s="24" t="str">
        <f t="shared" si="52"/>
        <v/>
      </c>
      <c r="X448" s="25" t="str">
        <f t="shared" si="51"/>
        <v>TD RR Bond_ACB</v>
      </c>
      <c r="Y448" s="10" t="str">
        <f>IF(S449&lt;&gt;eRRSP_Tx_Table[[#This Row],[Year]],SUMIFS($W$4:$W448,$S$4:$S448,eRRSP_Tx_Table[[#This Row],[Year]],$W$4:$W448,"&gt;0"),"")</f>
        <v/>
      </c>
      <c r="Z448" s="10" t="str">
        <f>IF(S449&lt;&gt;eRRSP_Tx_Table[[#This Row],[Year]],SUMIFS($W$4:$W448,$S$4:$S448,eRRSP_Tx_Table[[#This Row],[Year]],$W$4:$W448,"&lt;0"),"")</f>
        <v/>
      </c>
      <c r="AA448" s="3">
        <f>(SUMIF($U$4:$U448,CONCATENATE("Buy",$C448),$N$4:$N448)+SUMIF($U$4:$U448,CONCATENATE("ReinvDiv",$C448),$N$4:$N448))</f>
        <v>-9160.2000000000007</v>
      </c>
      <c r="AB448" s="3">
        <f>(SUMIF($U$4:$U448,CONCATENATE("Buy",$C448),$F$4:$F448)+SUMIF($U$4:$U448,CONCATENATE("ReinvDiv",$C448),$F$4:$F448)+SUMIF($U$4:$U448,CONCATENATE("StkSplit",$C448),$F$4:$F448)-SUMIF($U$4:$U448,CONCATENATE("Sell",$C448),$F$4:$F448))</f>
        <v>632.37900000000002</v>
      </c>
      <c r="AC448" s="3">
        <f>IF(B448="Sell",F448*INDEX(V:V,LOOKUP(2,1/(X$4:X447=CONCATENATE(C448,"_ACB")),ROW(V$4:V447))),0)</f>
        <v>0</v>
      </c>
    </row>
    <row r="449" spans="1:29" x14ac:dyDescent="0.25">
      <c r="A449" s="20">
        <v>39262</v>
      </c>
      <c r="B449" t="s">
        <v>42</v>
      </c>
      <c r="C449" t="s">
        <v>90</v>
      </c>
      <c r="D449" s="3">
        <v>19.850000000000001</v>
      </c>
      <c r="M449" s="21">
        <f t="shared" si="55"/>
        <v>19.850000000000001</v>
      </c>
      <c r="N449" s="8">
        <f t="shared" si="53"/>
        <v>19.850000000000001</v>
      </c>
      <c r="O449" s="25">
        <f t="shared" si="59"/>
        <v>33733.94</v>
      </c>
      <c r="P449" s="8">
        <f t="shared" si="57"/>
        <v>0</v>
      </c>
      <c r="Q449" s="4">
        <f>IF(AND(S449&gt;=[1]eRRSP_Rpt!$C$6,S449&lt;=[1]eRRSP_Rpt!$C$7),1,0)</f>
        <v>0</v>
      </c>
      <c r="R449" s="4"/>
      <c r="S449" s="4">
        <f t="shared" si="54"/>
        <v>2007</v>
      </c>
      <c r="T449" s="4"/>
      <c r="U449" s="4" t="str">
        <f t="shared" si="58"/>
        <v>DivVanguard Large Cap ETF</v>
      </c>
      <c r="V449" s="23">
        <f>IFERROR(IF(AND(AB449&gt;0,B449&lt;&gt;"Sell"),(AA449-SUMIF(C$4:C448,C449,AC$4:AC449))/AB449,0),"")</f>
        <v>-74.401142857142858</v>
      </c>
      <c r="W449" s="24" t="str">
        <f t="shared" si="52"/>
        <v/>
      </c>
      <c r="X449" s="25" t="str">
        <f t="shared" si="51"/>
        <v>Vanguard Large Cap ETF_ACB</v>
      </c>
      <c r="Y449" s="10" t="str">
        <f>IF(S450&lt;&gt;eRRSP_Tx_Table[[#This Row],[Year]],SUMIFS($W$4:$W449,$S$4:$S449,eRRSP_Tx_Table[[#This Row],[Year]],$W$4:$W449,"&gt;0"),"")</f>
        <v/>
      </c>
      <c r="Z449" s="10" t="str">
        <f>IF(S450&lt;&gt;eRRSP_Tx_Table[[#This Row],[Year]],SUMIFS($W$4:$W449,$S$4:$S449,eRRSP_Tx_Table[[#This Row],[Year]],$W$4:$W449,"&lt;0"),"")</f>
        <v/>
      </c>
      <c r="AA449" s="3">
        <f>(SUMIF($U$4:$U449,CONCATENATE("Buy",$C449),$N$4:$N449)+SUMIF($U$4:$U449,CONCATENATE("ReinvDiv",$C449),$N$4:$N449))</f>
        <v>-5208.08</v>
      </c>
      <c r="AB449" s="3">
        <f>(SUMIF($U$4:$U449,CONCATENATE("Buy",$C449),$F$4:$F449)+SUMIF($U$4:$U449,CONCATENATE("ReinvDiv",$C449),$F$4:$F449)+SUMIF($U$4:$U449,CONCATENATE("StkSplit",$C449),$F$4:$F449)-SUMIF($U$4:$U449,CONCATENATE("Sell",$C449),$F$4:$F449))</f>
        <v>70</v>
      </c>
      <c r="AC449" s="3">
        <f>IF(B449="Sell",F449*INDEX(V:V,LOOKUP(2,1/(X$4:X448=CONCATENATE(C449,"_ACB")),ROW(V$4:V448))),0)</f>
        <v>0</v>
      </c>
    </row>
    <row r="450" spans="1:29" x14ac:dyDescent="0.25">
      <c r="A450" s="20">
        <v>39269</v>
      </c>
      <c r="B450" t="s">
        <v>42</v>
      </c>
      <c r="C450" t="s">
        <v>86</v>
      </c>
      <c r="D450" s="3">
        <v>23.39</v>
      </c>
      <c r="M450" s="21">
        <f t="shared" si="55"/>
        <v>23.39</v>
      </c>
      <c r="N450" s="8">
        <f t="shared" si="53"/>
        <v>23.39</v>
      </c>
      <c r="O450" s="25">
        <f t="shared" si="59"/>
        <v>33757.33</v>
      </c>
      <c r="P450" s="8">
        <f t="shared" si="57"/>
        <v>0</v>
      </c>
      <c r="Q450" s="4">
        <f>IF(AND(S450&gt;=[1]eRRSP_Rpt!$C$6,S450&lt;=[1]eRRSP_Rpt!$C$7),1,0)</f>
        <v>0</v>
      </c>
      <c r="R450" s="4"/>
      <c r="S450" s="4">
        <f t="shared" si="54"/>
        <v>2007</v>
      </c>
      <c r="T450" s="4"/>
      <c r="U450" s="4" t="str">
        <f t="shared" si="58"/>
        <v>DiviShares S&amp;P SmallCap</v>
      </c>
      <c r="V450" s="23">
        <f>IFERROR(IF(AND(AB450&gt;0,B450&lt;&gt;"Sell"),(AA450-SUMIF(C$4:C449,C450,AC$4:AC450))/AB450,0),"")</f>
        <v>-70.414404761904763</v>
      </c>
      <c r="W450" s="24" t="str">
        <f t="shared" si="52"/>
        <v/>
      </c>
      <c r="X450" s="25" t="str">
        <f t="shared" si="51"/>
        <v>iShares S&amp;P SmallCap_ACB</v>
      </c>
      <c r="Y450" s="10" t="str">
        <f>IF(S451&lt;&gt;eRRSP_Tx_Table[[#This Row],[Year]],SUMIFS($W$4:$W450,$S$4:$S450,eRRSP_Tx_Table[[#This Row],[Year]],$W$4:$W450,"&gt;0"),"")</f>
        <v/>
      </c>
      <c r="Z450" s="10" t="str">
        <f>IF(S451&lt;&gt;eRRSP_Tx_Table[[#This Row],[Year]],SUMIFS($W$4:$W450,$S$4:$S450,eRRSP_Tx_Table[[#This Row],[Year]],$W$4:$W450,"&lt;0"),"")</f>
        <v/>
      </c>
      <c r="AA450" s="3">
        <f>(SUMIF($U$4:$U450,CONCATENATE("Buy",$C450),$N$4:$N450)+SUMIF($U$4:$U450,CONCATENATE("ReinvDiv",$C450),$N$4:$N450))</f>
        <v>-5914.81</v>
      </c>
      <c r="AB450" s="3">
        <f>(SUMIF($U$4:$U450,CONCATENATE("Buy",$C450),$F$4:$F450)+SUMIF($U$4:$U450,CONCATENATE("ReinvDiv",$C450),$F$4:$F450)+SUMIF($U$4:$U450,CONCATENATE("StkSplit",$C450),$F$4:$F450)-SUMIF($U$4:$U450,CONCATENATE("Sell",$C450),$F$4:$F450))</f>
        <v>84</v>
      </c>
      <c r="AC450" s="3">
        <f>IF(B450="Sell",F450*INDEX(V:V,LOOKUP(2,1/(X$4:X449=CONCATENATE(C450,"_ACB")),ROW(V$4:V449))),0)</f>
        <v>0</v>
      </c>
    </row>
    <row r="451" spans="1:29" x14ac:dyDescent="0.25">
      <c r="A451" s="20">
        <v>39272</v>
      </c>
      <c r="B451" t="s">
        <v>42</v>
      </c>
      <c r="C451" t="s">
        <v>88</v>
      </c>
      <c r="D451" s="3">
        <v>25.75</v>
      </c>
      <c r="M451" s="21">
        <f t="shared" si="55"/>
        <v>25.75</v>
      </c>
      <c r="N451" s="8">
        <f t="shared" si="53"/>
        <v>25.75</v>
      </c>
      <c r="O451" s="25">
        <f t="shared" si="59"/>
        <v>33783.08</v>
      </c>
      <c r="P451" s="8">
        <f t="shared" si="57"/>
        <v>0</v>
      </c>
      <c r="Q451" s="4">
        <f>IF(AND(S451&gt;=[1]eRRSP_Rpt!$C$6,S451&lt;=[1]eRRSP_Rpt!$C$7),1,0)</f>
        <v>0</v>
      </c>
      <c r="R451" s="4"/>
      <c r="S451" s="4">
        <f t="shared" si="54"/>
        <v>2007</v>
      </c>
      <c r="T451" s="4"/>
      <c r="U451" s="4" t="str">
        <f t="shared" si="58"/>
        <v>DiviShares IBOXX (US$)</v>
      </c>
      <c r="V451" s="23">
        <f>IFERROR(IF(AND(AB451&gt;0,B451&lt;&gt;"Sell"),(AA451-SUMIF(C$4:C450,C451,AC$4:AC451))/AB451,0),"")</f>
        <v>-127.70865384615385</v>
      </c>
      <c r="W451" s="24" t="str">
        <f t="shared" si="52"/>
        <v/>
      </c>
      <c r="X451" s="25" t="str">
        <f t="shared" si="51"/>
        <v>iShares IBOXX (US$)_ACB</v>
      </c>
      <c r="Y451" s="10" t="str">
        <f>IF(S452&lt;&gt;eRRSP_Tx_Table[[#This Row],[Year]],SUMIFS($W$4:$W451,$S$4:$S451,eRRSP_Tx_Table[[#This Row],[Year]],$W$4:$W451,"&gt;0"),"")</f>
        <v/>
      </c>
      <c r="Z451" s="10" t="str">
        <f>IF(S452&lt;&gt;eRRSP_Tx_Table[[#This Row],[Year]],SUMIFS($W$4:$W451,$S$4:$S451,eRRSP_Tx_Table[[#This Row],[Year]],$W$4:$W451,"&lt;0"),"")</f>
        <v/>
      </c>
      <c r="AA451" s="3">
        <f>(SUMIF($U$4:$U451,CONCATENATE("Buy",$C451),$N$4:$N451)+SUMIF($U$4:$U451,CONCATENATE("ReinvDiv",$C451),$N$4:$N451))</f>
        <v>-6640.85</v>
      </c>
      <c r="AB451" s="3">
        <f>(SUMIF($U$4:$U451,CONCATENATE("Buy",$C451),$F$4:$F451)+SUMIF($U$4:$U451,CONCATENATE("ReinvDiv",$C451),$F$4:$F451)+SUMIF($U$4:$U451,CONCATENATE("StkSplit",$C451),$F$4:$F451)-SUMIF($U$4:$U451,CONCATENATE("Sell",$C451),$F$4:$F451))</f>
        <v>52</v>
      </c>
      <c r="AC451" s="3">
        <f>IF(B451="Sell",F451*INDEX(V:V,LOOKUP(2,1/(X$4:X450=CONCATENATE(C451,"_ACB")),ROW(V$4:V450))),0)</f>
        <v>0</v>
      </c>
    </row>
    <row r="452" spans="1:29" x14ac:dyDescent="0.25">
      <c r="A452" s="20">
        <v>39276</v>
      </c>
      <c r="B452" t="s">
        <v>42</v>
      </c>
      <c r="C452" t="s">
        <v>87</v>
      </c>
      <c r="D452" s="3">
        <v>42.24</v>
      </c>
      <c r="M452" s="21">
        <f t="shared" si="55"/>
        <v>42.24</v>
      </c>
      <c r="N452" s="8">
        <f t="shared" si="53"/>
        <v>42.24</v>
      </c>
      <c r="O452" s="25">
        <f t="shared" si="59"/>
        <v>33825.32</v>
      </c>
      <c r="P452" s="8">
        <f t="shared" si="57"/>
        <v>0</v>
      </c>
      <c r="Q452" s="4">
        <f>IF(AND(S452&gt;=[1]eRRSP_Rpt!$C$6,S452&lt;=[1]eRRSP_Rpt!$C$7),1,0)</f>
        <v>0</v>
      </c>
      <c r="R452" s="4"/>
      <c r="S452" s="4">
        <f t="shared" si="54"/>
        <v>2007</v>
      </c>
      <c r="T452" s="4"/>
      <c r="U452" s="4" t="str">
        <f t="shared" si="58"/>
        <v>DivAberdeen Asia Pacific Income Fund</v>
      </c>
      <c r="V452" s="23">
        <f>IFERROR(IF(AND(AB452&gt;0,B452&lt;&gt;"Sell"),(AA452-SUMIF(C$4:C451,C452,AC$4:AC452))/AB452,0),"")</f>
        <v>-7.4694020797227028</v>
      </c>
      <c r="W452" s="24" t="str">
        <f t="shared" si="52"/>
        <v/>
      </c>
      <c r="X452" s="25" t="str">
        <f t="shared" ref="X452:X515" si="60">IF(V452,CONCATENATE(C452,"_ACB"),"")</f>
        <v>Aberdeen Asia Pacific Income Fund_ACB</v>
      </c>
      <c r="Y452" s="10" t="str">
        <f>IF(S453&lt;&gt;eRRSP_Tx_Table[[#This Row],[Year]],SUMIFS($W$4:$W452,$S$4:$S452,eRRSP_Tx_Table[[#This Row],[Year]],$W$4:$W452,"&gt;0"),"")</f>
        <v/>
      </c>
      <c r="Z452" s="10" t="str">
        <f>IF(S453&lt;&gt;eRRSP_Tx_Table[[#This Row],[Year]],SUMIFS($W$4:$W452,$S$4:$S452,eRRSP_Tx_Table[[#This Row],[Year]],$W$4:$W452,"&lt;0"),"")</f>
        <v/>
      </c>
      <c r="AA452" s="3">
        <f>(SUMIF($U$4:$U452,CONCATENATE("Buy",$C452),$N$4:$N452)+SUMIF($U$4:$U452,CONCATENATE("ReinvDiv",$C452),$N$4:$N452))</f>
        <v>-8619.6899999999987</v>
      </c>
      <c r="AB452" s="3">
        <f>(SUMIF($U$4:$U452,CONCATENATE("Buy",$C452),$F$4:$F452)+SUMIF($U$4:$U452,CONCATENATE("ReinvDiv",$C452),$F$4:$F452)+SUMIF($U$4:$U452,CONCATENATE("StkSplit",$C452),$F$4:$F452)-SUMIF($U$4:$U452,CONCATENATE("Sell",$C452),$F$4:$F452))</f>
        <v>1154</v>
      </c>
      <c r="AC452" s="3">
        <f>IF(B452="Sell",F452*INDEX(V:V,LOOKUP(2,1/(X$4:X451=CONCATENATE(C452,"_ACB")),ROW(V$4:V451))),0)</f>
        <v>0</v>
      </c>
    </row>
    <row r="453" spans="1:29" x14ac:dyDescent="0.25">
      <c r="A453" s="20">
        <v>39279</v>
      </c>
      <c r="B453" t="s">
        <v>43</v>
      </c>
      <c r="C453" t="s">
        <v>36</v>
      </c>
      <c r="D453" s="3">
        <v>42.75</v>
      </c>
      <c r="M453" s="21">
        <f t="shared" si="55"/>
        <v>42.75</v>
      </c>
      <c r="N453" s="8">
        <f t="shared" si="53"/>
        <v>42.75</v>
      </c>
      <c r="O453" s="25">
        <f t="shared" si="59"/>
        <v>33868.07</v>
      </c>
      <c r="P453" s="8">
        <f t="shared" si="57"/>
        <v>0</v>
      </c>
      <c r="Q453" s="4">
        <f>IF(AND(S453&gt;=[1]eRRSP_Rpt!$C$6,S453&lt;=[1]eRRSP_Rpt!$C$7),1,0)</f>
        <v>0</v>
      </c>
      <c r="R453" s="4"/>
      <c r="S453" s="4">
        <f t="shared" si="54"/>
        <v>2007</v>
      </c>
      <c r="T453" s="4"/>
      <c r="U453" s="4" t="str">
        <f t="shared" si="58"/>
        <v>IntIncTDW</v>
      </c>
      <c r="V453" s="23">
        <f>IFERROR(IF(AND(AB453&gt;0,B453&lt;&gt;"Sell"),(AA453-SUMIF(C$4:C452,C453,AC$4:AC453))/AB453,0),"")</f>
        <v>0</v>
      </c>
      <c r="W453" s="24" t="str">
        <f t="shared" ref="W453:W516" si="61">IF(B453="Sell",N453+AC453,"")</f>
        <v/>
      </c>
      <c r="X453" s="25" t="str">
        <f t="shared" si="60"/>
        <v/>
      </c>
      <c r="Y453" s="10" t="str">
        <f>IF(S454&lt;&gt;eRRSP_Tx_Table[[#This Row],[Year]],SUMIFS($W$4:$W453,$S$4:$S453,eRRSP_Tx_Table[[#This Row],[Year]],$W$4:$W453,"&gt;0"),"")</f>
        <v/>
      </c>
      <c r="Z453" s="10" t="str">
        <f>IF(S454&lt;&gt;eRRSP_Tx_Table[[#This Row],[Year]],SUMIFS($W$4:$W453,$S$4:$S453,eRRSP_Tx_Table[[#This Row],[Year]],$W$4:$W453,"&lt;0"),"")</f>
        <v/>
      </c>
      <c r="AA453" s="3">
        <f>(SUMIF($U$4:$U453,CONCATENATE("Buy",$C453),$N$4:$N453)+SUMIF($U$4:$U453,CONCATENATE("ReinvDiv",$C453),$N$4:$N453))</f>
        <v>0</v>
      </c>
      <c r="AB453" s="3">
        <f>(SUMIF($U$4:$U453,CONCATENATE("Buy",$C453),$F$4:$F453)+SUMIF($U$4:$U453,CONCATENATE("ReinvDiv",$C453),$F$4:$F453)+SUMIF($U$4:$U453,CONCATENATE("StkSplit",$C453),$F$4:$F453)-SUMIF($U$4:$U453,CONCATENATE("Sell",$C453),$F$4:$F453))</f>
        <v>0</v>
      </c>
      <c r="AC453" s="3">
        <f>IF(B453="Sell",F453*INDEX(V:V,LOOKUP(2,1/(X$4:X452=CONCATENATE(C453,"_ACB")),ROW(V$4:V452))),0)</f>
        <v>0</v>
      </c>
    </row>
    <row r="454" spans="1:29" x14ac:dyDescent="0.25">
      <c r="A454" s="20">
        <v>39294</v>
      </c>
      <c r="B454" t="s">
        <v>42</v>
      </c>
      <c r="C454" t="s">
        <v>45</v>
      </c>
      <c r="D454" s="3">
        <v>10.6</v>
      </c>
      <c r="M454" s="21">
        <f t="shared" si="55"/>
        <v>10.6</v>
      </c>
      <c r="N454" s="8">
        <f t="shared" si="53"/>
        <v>10.6</v>
      </c>
      <c r="O454" s="25">
        <f t="shared" si="59"/>
        <v>33878.67</v>
      </c>
      <c r="P454" s="8">
        <f t="shared" si="57"/>
        <v>0</v>
      </c>
      <c r="Q454" s="4">
        <f>IF(AND(S454&gt;=[1]eRRSP_Rpt!$C$6,S454&lt;=[1]eRRSP_Rpt!$C$7),1,0)</f>
        <v>0</v>
      </c>
      <c r="R454" s="4"/>
      <c r="S454" s="4">
        <f t="shared" si="54"/>
        <v>2007</v>
      </c>
      <c r="T454" s="4"/>
      <c r="U454" s="4" t="str">
        <f t="shared" si="58"/>
        <v>DivTD Bank</v>
      </c>
      <c r="V454" s="23">
        <f>IFERROR(IF(AND(AB454&gt;0,B454&lt;&gt;"Sell"),(AA454-SUMIF(C$4:C453,C454,AC$4:AC454))/AB454,0),"")</f>
        <v>-44.29</v>
      </c>
      <c r="W454" s="24" t="str">
        <f t="shared" si="61"/>
        <v/>
      </c>
      <c r="X454" s="25" t="str">
        <f t="shared" si="60"/>
        <v>TD Bank_ACB</v>
      </c>
      <c r="Y454" s="10" t="str">
        <f>IF(S455&lt;&gt;eRRSP_Tx_Table[[#This Row],[Year]],SUMIFS($W$4:$W454,$S$4:$S454,eRRSP_Tx_Table[[#This Row],[Year]],$W$4:$W454,"&gt;0"),"")</f>
        <v/>
      </c>
      <c r="Z454" s="10" t="str">
        <f>IF(S455&lt;&gt;eRRSP_Tx_Table[[#This Row],[Year]],SUMIFS($W$4:$W454,$S$4:$S454,eRRSP_Tx_Table[[#This Row],[Year]],$W$4:$W454,"&lt;0"),"")</f>
        <v/>
      </c>
      <c r="AA454" s="3">
        <f>(SUMIF($U$4:$U454,CONCATENATE("Buy",$C454),$N$4:$N454)+SUMIF($U$4:$U454,CONCATENATE("ReinvDiv",$C454),$N$4:$N454))</f>
        <v>-885.8</v>
      </c>
      <c r="AB454" s="3">
        <f>(SUMIF($U$4:$U454,CONCATENATE("Buy",$C454),$F$4:$F454)+SUMIF($U$4:$U454,CONCATENATE("ReinvDiv",$C454),$F$4:$F454)+SUMIF($U$4:$U454,CONCATENATE("StkSplit",$C454),$F$4:$F454)-SUMIF($U$4:$U454,CONCATENATE("Sell",$C454),$F$4:$F454))</f>
        <v>20</v>
      </c>
      <c r="AC454" s="3">
        <f>IF(B454="Sell",F454*INDEX(V:V,LOOKUP(2,1/(X$4:X453=CONCATENATE(C454,"_ACB")),ROW(V$4:V453))),0)</f>
        <v>0</v>
      </c>
    </row>
    <row r="455" spans="1:29" x14ac:dyDescent="0.25">
      <c r="A455" s="20">
        <v>39301</v>
      </c>
      <c r="B455" t="s">
        <v>42</v>
      </c>
      <c r="C455" t="s">
        <v>88</v>
      </c>
      <c r="D455" s="3">
        <v>26.87</v>
      </c>
      <c r="M455" s="21">
        <f t="shared" si="55"/>
        <v>26.87</v>
      </c>
      <c r="N455" s="8">
        <f t="shared" si="53"/>
        <v>26.87</v>
      </c>
      <c r="O455" s="25">
        <f t="shared" si="59"/>
        <v>33905.54</v>
      </c>
      <c r="P455" s="8">
        <f t="shared" si="57"/>
        <v>0</v>
      </c>
      <c r="Q455" s="4">
        <f>IF(AND(S455&gt;=[1]eRRSP_Rpt!$C$6,S455&lt;=[1]eRRSP_Rpt!$C$7),1,0)</f>
        <v>0</v>
      </c>
      <c r="R455" s="4"/>
      <c r="S455" s="4">
        <f t="shared" si="54"/>
        <v>2007</v>
      </c>
      <c r="T455" s="4"/>
      <c r="U455" s="4" t="str">
        <f t="shared" si="58"/>
        <v>DiviShares IBOXX (US$)</v>
      </c>
      <c r="V455" s="23">
        <f>IFERROR(IF(AND(AB455&gt;0,B455&lt;&gt;"Sell"),(AA455-SUMIF(C$4:C454,C455,AC$4:AC455))/AB455,0),"")</f>
        <v>-127.70865384615385</v>
      </c>
      <c r="W455" s="24" t="str">
        <f t="shared" si="61"/>
        <v/>
      </c>
      <c r="X455" s="25" t="str">
        <f t="shared" si="60"/>
        <v>iShares IBOXX (US$)_ACB</v>
      </c>
      <c r="Y455" s="10" t="str">
        <f>IF(S456&lt;&gt;eRRSP_Tx_Table[[#This Row],[Year]],SUMIFS($W$4:$W455,$S$4:$S455,eRRSP_Tx_Table[[#This Row],[Year]],$W$4:$W455,"&gt;0"),"")</f>
        <v/>
      </c>
      <c r="Z455" s="10" t="str">
        <f>IF(S456&lt;&gt;eRRSP_Tx_Table[[#This Row],[Year]],SUMIFS($W$4:$W455,$S$4:$S455,eRRSP_Tx_Table[[#This Row],[Year]],$W$4:$W455,"&lt;0"),"")</f>
        <v/>
      </c>
      <c r="AA455" s="3">
        <f>(SUMIF($U$4:$U455,CONCATENATE("Buy",$C455),$N$4:$N455)+SUMIF($U$4:$U455,CONCATENATE("ReinvDiv",$C455),$N$4:$N455))</f>
        <v>-6640.85</v>
      </c>
      <c r="AB455" s="3">
        <f>(SUMIF($U$4:$U455,CONCATENATE("Buy",$C455),$F$4:$F455)+SUMIF($U$4:$U455,CONCATENATE("ReinvDiv",$C455),$F$4:$F455)+SUMIF($U$4:$U455,CONCATENATE("StkSplit",$C455),$F$4:$F455)-SUMIF($U$4:$U455,CONCATENATE("Sell",$C455),$F$4:$F455))</f>
        <v>52</v>
      </c>
      <c r="AC455" s="3">
        <f>IF(B455="Sell",F455*INDEX(V:V,LOOKUP(2,1/(X$4:X454=CONCATENATE(C455,"_ACB")),ROW(V$4:V454))),0)</f>
        <v>0</v>
      </c>
    </row>
    <row r="456" spans="1:29" x14ac:dyDescent="0.25">
      <c r="A456" s="20">
        <v>39304</v>
      </c>
      <c r="B456" t="s">
        <v>42</v>
      </c>
      <c r="C456" t="s">
        <v>87</v>
      </c>
      <c r="D456" s="3">
        <v>42.75</v>
      </c>
      <c r="M456" s="21">
        <f t="shared" si="55"/>
        <v>42.75</v>
      </c>
      <c r="N456" s="8">
        <f t="shared" si="53"/>
        <v>42.75</v>
      </c>
      <c r="O456" s="25">
        <f t="shared" si="59"/>
        <v>33948.29</v>
      </c>
      <c r="P456" s="8">
        <f t="shared" si="57"/>
        <v>0</v>
      </c>
      <c r="Q456" s="4">
        <f>IF(AND(S456&gt;=[1]eRRSP_Rpt!$C$6,S456&lt;=[1]eRRSP_Rpt!$C$7),1,0)</f>
        <v>0</v>
      </c>
      <c r="R456" s="4"/>
      <c r="S456" s="4">
        <f t="shared" si="54"/>
        <v>2007</v>
      </c>
      <c r="T456" s="4"/>
      <c r="U456" s="4" t="str">
        <f t="shared" si="58"/>
        <v>DivAberdeen Asia Pacific Income Fund</v>
      </c>
      <c r="V456" s="23">
        <f>IFERROR(IF(AND(AB456&gt;0,B456&lt;&gt;"Sell"),(AA456-SUMIF(C$4:C455,C456,AC$4:AC456))/AB456,0),"")</f>
        <v>-7.4694020797227028</v>
      </c>
      <c r="W456" s="24" t="str">
        <f t="shared" si="61"/>
        <v/>
      </c>
      <c r="X456" s="25" t="str">
        <f t="shared" si="60"/>
        <v>Aberdeen Asia Pacific Income Fund_ACB</v>
      </c>
      <c r="Y456" s="10" t="str">
        <f>IF(S457&lt;&gt;eRRSP_Tx_Table[[#This Row],[Year]],SUMIFS($W$4:$W456,$S$4:$S456,eRRSP_Tx_Table[[#This Row],[Year]],$W$4:$W456,"&gt;0"),"")</f>
        <v/>
      </c>
      <c r="Z456" s="10" t="str">
        <f>IF(S457&lt;&gt;eRRSP_Tx_Table[[#This Row],[Year]],SUMIFS($W$4:$W456,$S$4:$S456,eRRSP_Tx_Table[[#This Row],[Year]],$W$4:$W456,"&lt;0"),"")</f>
        <v/>
      </c>
      <c r="AA456" s="3">
        <f>(SUMIF($U$4:$U456,CONCATENATE("Buy",$C456),$N$4:$N456)+SUMIF($U$4:$U456,CONCATENATE("ReinvDiv",$C456),$N$4:$N456))</f>
        <v>-8619.6899999999987</v>
      </c>
      <c r="AB456" s="3">
        <f>(SUMIF($U$4:$U456,CONCATENATE("Buy",$C456),$F$4:$F456)+SUMIF($U$4:$U456,CONCATENATE("ReinvDiv",$C456),$F$4:$F456)+SUMIF($U$4:$U456,CONCATENATE("StkSplit",$C456),$F$4:$F456)-SUMIF($U$4:$U456,CONCATENATE("Sell",$C456),$F$4:$F456))</f>
        <v>1154</v>
      </c>
      <c r="AC456" s="3">
        <f>IF(B456="Sell",F456*INDEX(V:V,LOOKUP(2,1/(X$4:X455=CONCATENATE(C456,"_ACB")),ROW(V$4:V455))),0)</f>
        <v>0</v>
      </c>
    </row>
    <row r="457" spans="1:29" x14ac:dyDescent="0.25">
      <c r="A457" s="20">
        <v>39310</v>
      </c>
      <c r="B457" t="s">
        <v>43</v>
      </c>
      <c r="C457" t="s">
        <v>36</v>
      </c>
      <c r="D457" s="3">
        <v>50.37</v>
      </c>
      <c r="M457" s="21">
        <f t="shared" si="55"/>
        <v>50.37</v>
      </c>
      <c r="N457" s="8">
        <f t="shared" si="53"/>
        <v>50.37</v>
      </c>
      <c r="O457" s="25">
        <f t="shared" si="59"/>
        <v>33998.660000000003</v>
      </c>
      <c r="P457" s="8">
        <f t="shared" si="57"/>
        <v>0</v>
      </c>
      <c r="Q457" s="4">
        <f>IF(AND(S457&gt;=[1]eRRSP_Rpt!$C$6,S457&lt;=[1]eRRSP_Rpt!$C$7),1,0)</f>
        <v>0</v>
      </c>
      <c r="R457" s="4"/>
      <c r="S457" s="4">
        <f t="shared" si="54"/>
        <v>2007</v>
      </c>
      <c r="T457" s="4"/>
      <c r="U457" s="4" t="str">
        <f t="shared" si="58"/>
        <v>IntIncTDW</v>
      </c>
      <c r="V457" s="23">
        <f>IFERROR(IF(AND(AB457&gt;0,B457&lt;&gt;"Sell"),(AA457-SUMIF(C$4:C456,C457,AC$4:AC457))/AB457,0),"")</f>
        <v>0</v>
      </c>
      <c r="W457" s="24" t="str">
        <f t="shared" si="61"/>
        <v/>
      </c>
      <c r="X457" s="25" t="str">
        <f t="shared" si="60"/>
        <v/>
      </c>
      <c r="Y457" s="10" t="str">
        <f>IF(S458&lt;&gt;eRRSP_Tx_Table[[#This Row],[Year]],SUMIFS($W$4:$W457,$S$4:$S457,eRRSP_Tx_Table[[#This Row],[Year]],$W$4:$W457,"&gt;0"),"")</f>
        <v/>
      </c>
      <c r="Z457" s="10" t="str">
        <f>IF(S458&lt;&gt;eRRSP_Tx_Table[[#This Row],[Year]],SUMIFS($W$4:$W457,$S$4:$S457,eRRSP_Tx_Table[[#This Row],[Year]],$W$4:$W457,"&lt;0"),"")</f>
        <v/>
      </c>
      <c r="AA457" s="3">
        <f>(SUMIF($U$4:$U457,CONCATENATE("Buy",$C457),$N$4:$N457)+SUMIF($U$4:$U457,CONCATENATE("ReinvDiv",$C457),$N$4:$N457))</f>
        <v>0</v>
      </c>
      <c r="AB457" s="3">
        <f>(SUMIF($U$4:$U457,CONCATENATE("Buy",$C457),$F$4:$F457)+SUMIF($U$4:$U457,CONCATENATE("ReinvDiv",$C457),$F$4:$F457)+SUMIF($U$4:$U457,CONCATENATE("StkSplit",$C457),$F$4:$F457)-SUMIF($U$4:$U457,CONCATENATE("Sell",$C457),$F$4:$F457))</f>
        <v>0</v>
      </c>
      <c r="AC457" s="3">
        <f>IF(B457="Sell",F457*INDEX(V:V,LOOKUP(2,1/(X$4:X456=CONCATENATE(C457,"_ACB")),ROW(V$4:V456))),0)</f>
        <v>0</v>
      </c>
    </row>
    <row r="458" spans="1:29" x14ac:dyDescent="0.25">
      <c r="A458" s="20">
        <v>39326</v>
      </c>
      <c r="B458" t="s">
        <v>42</v>
      </c>
      <c r="C458" t="s">
        <v>33</v>
      </c>
      <c r="D458" s="3">
        <v>22.44</v>
      </c>
      <c r="M458" s="21">
        <f t="shared" si="55"/>
        <v>22.44</v>
      </c>
      <c r="N458" s="8">
        <f t="shared" ref="N458:N521" si="62">IF(OR(B458="Buy",B458="ReinvDiv"),-M458-G458,M458-G458)</f>
        <v>22.44</v>
      </c>
      <c r="O458" s="25">
        <f t="shared" si="59"/>
        <v>34021.100000000006</v>
      </c>
      <c r="P458" s="8">
        <f t="shared" si="57"/>
        <v>0</v>
      </c>
      <c r="Q458" s="4">
        <f>IF(AND(S458&gt;=[1]eRRSP_Rpt!$C$6,S458&lt;=[1]eRRSP_Rpt!$C$7),1,0)</f>
        <v>0</v>
      </c>
      <c r="R458" s="4"/>
      <c r="S458" s="4">
        <f t="shared" si="54"/>
        <v>2007</v>
      </c>
      <c r="T458" s="4"/>
      <c r="U458" s="4" t="str">
        <f t="shared" si="58"/>
        <v>DivEnbridge</v>
      </c>
      <c r="V458" s="23">
        <f>IFERROR(IF(AND(AB458&gt;0,B458&lt;&gt;"Sell"),(AA458-SUMIF(C$4:C457,C458,AC$4:AC458))/AB458,0),"")</f>
        <v>-12.859027777777776</v>
      </c>
      <c r="W458" s="24" t="str">
        <f t="shared" si="61"/>
        <v/>
      </c>
      <c r="X458" s="25" t="str">
        <f t="shared" si="60"/>
        <v>Enbridge_ACB</v>
      </c>
      <c r="Y458" s="10" t="str">
        <f>IF(S459&lt;&gt;eRRSP_Tx_Table[[#This Row],[Year]],SUMIFS($W$4:$W458,$S$4:$S458,eRRSP_Tx_Table[[#This Row],[Year]],$W$4:$W458,"&gt;0"),"")</f>
        <v/>
      </c>
      <c r="Z458" s="10" t="str">
        <f>IF(S459&lt;&gt;eRRSP_Tx_Table[[#This Row],[Year]],SUMIFS($W$4:$W458,$S$4:$S458,eRRSP_Tx_Table[[#This Row],[Year]],$W$4:$W458,"&lt;0"),"")</f>
        <v/>
      </c>
      <c r="AA458" s="3">
        <f>(SUMIF($U$4:$U458,CONCATENATE("Buy",$C458),$N$4:$N458)+SUMIF($U$4:$U458,CONCATENATE("ReinvDiv",$C458),$N$4:$N458))</f>
        <v>-1851.7</v>
      </c>
      <c r="AB458" s="3">
        <f>(SUMIF($U$4:$U458,CONCATENATE("Buy",$C458),$F$4:$F458)+SUMIF($U$4:$U458,CONCATENATE("ReinvDiv",$C458),$F$4:$F458)+SUMIF($U$4:$U458,CONCATENATE("StkSplit",$C458),$F$4:$F458)-SUMIF($U$4:$U458,CONCATENATE("Sell",$C458),$F$4:$F458))</f>
        <v>73</v>
      </c>
      <c r="AC458" s="3">
        <f>IF(B458="Sell",F458*INDEX(V:V,LOOKUP(2,1/(X$4:X457=CONCATENATE(C458,"_ACB")),ROW(V$4:V457))),0)</f>
        <v>0</v>
      </c>
    </row>
    <row r="459" spans="1:29" x14ac:dyDescent="0.25">
      <c r="A459" s="20">
        <v>39335</v>
      </c>
      <c r="B459" t="s">
        <v>42</v>
      </c>
      <c r="C459" t="s">
        <v>88</v>
      </c>
      <c r="D459" s="3">
        <v>26.72</v>
      </c>
      <c r="M459" s="21">
        <f t="shared" si="55"/>
        <v>26.72</v>
      </c>
      <c r="N459" s="8">
        <f t="shared" si="62"/>
        <v>26.72</v>
      </c>
      <c r="O459" s="25">
        <f t="shared" si="59"/>
        <v>34047.820000000007</v>
      </c>
      <c r="P459" s="8">
        <f t="shared" si="57"/>
        <v>0</v>
      </c>
      <c r="Q459" s="4">
        <f>IF(AND(S459&gt;=[1]eRRSP_Rpt!$C$6,S459&lt;=[1]eRRSP_Rpt!$C$7),1,0)</f>
        <v>0</v>
      </c>
      <c r="R459" s="4"/>
      <c r="S459" s="4">
        <f t="shared" si="54"/>
        <v>2007</v>
      </c>
      <c r="T459" s="4"/>
      <c r="U459" s="4" t="str">
        <f t="shared" si="58"/>
        <v>DiviShares IBOXX (US$)</v>
      </c>
      <c r="V459" s="23">
        <f>IFERROR(IF(AND(AB459&gt;0,B459&lt;&gt;"Sell"),(AA459-SUMIF(C$4:C458,C459,AC$4:AC459))/AB459,0),"")</f>
        <v>-127.70865384615385</v>
      </c>
      <c r="W459" s="24" t="str">
        <f t="shared" si="61"/>
        <v/>
      </c>
      <c r="X459" s="25" t="str">
        <f t="shared" si="60"/>
        <v>iShares IBOXX (US$)_ACB</v>
      </c>
      <c r="Y459" s="10" t="str">
        <f>IF(S460&lt;&gt;eRRSP_Tx_Table[[#This Row],[Year]],SUMIFS($W$4:$W459,$S$4:$S459,eRRSP_Tx_Table[[#This Row],[Year]],$W$4:$W459,"&gt;0"),"")</f>
        <v/>
      </c>
      <c r="Z459" s="10" t="str">
        <f>IF(S460&lt;&gt;eRRSP_Tx_Table[[#This Row],[Year]],SUMIFS($W$4:$W459,$S$4:$S459,eRRSP_Tx_Table[[#This Row],[Year]],$W$4:$W459,"&lt;0"),"")</f>
        <v/>
      </c>
      <c r="AA459" s="3">
        <f>(SUMIF($U$4:$U459,CONCATENATE("Buy",$C459),$N$4:$N459)+SUMIF($U$4:$U459,CONCATENATE("ReinvDiv",$C459),$N$4:$N459))</f>
        <v>-6640.85</v>
      </c>
      <c r="AB459" s="3">
        <f>(SUMIF($U$4:$U459,CONCATENATE("Buy",$C459),$F$4:$F459)+SUMIF($U$4:$U459,CONCATENATE("ReinvDiv",$C459),$F$4:$F459)+SUMIF($U$4:$U459,CONCATENATE("StkSplit",$C459),$F$4:$F459)-SUMIF($U$4:$U459,CONCATENATE("Sell",$C459),$F$4:$F459))</f>
        <v>52</v>
      </c>
      <c r="AC459" s="3">
        <f>IF(B459="Sell",F459*INDEX(V:V,LOOKUP(2,1/(X$4:X458=CONCATENATE(C459,"_ACB")),ROW(V$4:V458))),0)</f>
        <v>0</v>
      </c>
    </row>
    <row r="460" spans="1:29" x14ac:dyDescent="0.25">
      <c r="A460" s="20">
        <v>39339</v>
      </c>
      <c r="B460" t="s">
        <v>42</v>
      </c>
      <c r="C460" t="s">
        <v>87</v>
      </c>
      <c r="D460" s="3">
        <v>41.78</v>
      </c>
      <c r="M460" s="21">
        <f t="shared" si="55"/>
        <v>41.78</v>
      </c>
      <c r="N460" s="8">
        <f t="shared" si="62"/>
        <v>41.78</v>
      </c>
      <c r="O460" s="25">
        <f t="shared" si="59"/>
        <v>34089.600000000006</v>
      </c>
      <c r="P460" s="8">
        <f t="shared" si="57"/>
        <v>0</v>
      </c>
      <c r="Q460" s="4">
        <f>IF(AND(S460&gt;=[1]eRRSP_Rpt!$C$6,S460&lt;=[1]eRRSP_Rpt!$C$7),1,0)</f>
        <v>0</v>
      </c>
      <c r="R460" s="4"/>
      <c r="S460" s="4">
        <f t="shared" si="54"/>
        <v>2007</v>
      </c>
      <c r="T460" s="4"/>
      <c r="U460" s="4" t="str">
        <f t="shared" si="58"/>
        <v>DivAberdeen Asia Pacific Income Fund</v>
      </c>
      <c r="V460" s="23">
        <f>IFERROR(IF(AND(AB460&gt;0,B460&lt;&gt;"Sell"),(AA460-SUMIF(C$4:C459,C460,AC$4:AC460))/AB460,0),"")</f>
        <v>-7.4694020797227028</v>
      </c>
      <c r="W460" s="24" t="str">
        <f t="shared" si="61"/>
        <v/>
      </c>
      <c r="X460" s="25" t="str">
        <f t="shared" si="60"/>
        <v>Aberdeen Asia Pacific Income Fund_ACB</v>
      </c>
      <c r="Y460" s="10" t="str">
        <f>IF(S461&lt;&gt;eRRSP_Tx_Table[[#This Row],[Year]],SUMIFS($W$4:$W460,$S$4:$S460,eRRSP_Tx_Table[[#This Row],[Year]],$W$4:$W460,"&gt;0"),"")</f>
        <v/>
      </c>
      <c r="Z460" s="10" t="str">
        <f>IF(S461&lt;&gt;eRRSP_Tx_Table[[#This Row],[Year]],SUMIFS($W$4:$W460,$S$4:$S460,eRRSP_Tx_Table[[#This Row],[Year]],$W$4:$W460,"&lt;0"),"")</f>
        <v/>
      </c>
      <c r="AA460" s="3">
        <f>(SUMIF($U$4:$U460,CONCATENATE("Buy",$C460),$N$4:$N460)+SUMIF($U$4:$U460,CONCATENATE("ReinvDiv",$C460),$N$4:$N460))</f>
        <v>-8619.6899999999987</v>
      </c>
      <c r="AB460" s="3">
        <f>(SUMIF($U$4:$U460,CONCATENATE("Buy",$C460),$F$4:$F460)+SUMIF($U$4:$U460,CONCATENATE("ReinvDiv",$C460),$F$4:$F460)+SUMIF($U$4:$U460,CONCATENATE("StkSplit",$C460),$F$4:$F460)-SUMIF($U$4:$U460,CONCATENATE("Sell",$C460),$F$4:$F460))</f>
        <v>1154</v>
      </c>
      <c r="AC460" s="3">
        <f>IF(B460="Sell",F460*INDEX(V:V,LOOKUP(2,1/(X$4:X459=CONCATENATE(C460,"_ACB")),ROW(V$4:V459))),0)</f>
        <v>0</v>
      </c>
    </row>
    <row r="461" spans="1:29" x14ac:dyDescent="0.25">
      <c r="A461" s="20">
        <v>39341</v>
      </c>
      <c r="B461" t="s">
        <v>43</v>
      </c>
      <c r="C461" t="s">
        <v>36</v>
      </c>
      <c r="D461" s="3">
        <v>50.56</v>
      </c>
      <c r="M461" s="21">
        <f t="shared" si="55"/>
        <v>50.56</v>
      </c>
      <c r="N461" s="8">
        <f t="shared" si="62"/>
        <v>50.56</v>
      </c>
      <c r="O461" s="25">
        <f t="shared" si="59"/>
        <v>34140.160000000003</v>
      </c>
      <c r="P461" s="8">
        <f t="shared" si="57"/>
        <v>0</v>
      </c>
      <c r="Q461" s="4">
        <f>IF(AND(S461&gt;=[1]eRRSP_Rpt!$C$6,S461&lt;=[1]eRRSP_Rpt!$C$7),1,0)</f>
        <v>0</v>
      </c>
      <c r="R461" s="4"/>
      <c r="S461" s="4">
        <f t="shared" si="54"/>
        <v>2007</v>
      </c>
      <c r="T461" s="4"/>
      <c r="U461" s="4" t="str">
        <f t="shared" si="58"/>
        <v>IntIncTDW</v>
      </c>
      <c r="V461" s="23">
        <f>IFERROR(IF(AND(AB461&gt;0,B461&lt;&gt;"Sell"),(AA461-SUMIF(C$4:C460,C461,AC$4:AC461))/AB461,0),"")</f>
        <v>0</v>
      </c>
      <c r="W461" s="24" t="str">
        <f t="shared" si="61"/>
        <v/>
      </c>
      <c r="X461" s="25" t="str">
        <f t="shared" si="60"/>
        <v/>
      </c>
      <c r="Y461" s="10" t="str">
        <f>IF(S462&lt;&gt;eRRSP_Tx_Table[[#This Row],[Year]],SUMIFS($W$4:$W461,$S$4:$S461,eRRSP_Tx_Table[[#This Row],[Year]],$W$4:$W461,"&gt;0"),"")</f>
        <v/>
      </c>
      <c r="Z461" s="10" t="str">
        <f>IF(S462&lt;&gt;eRRSP_Tx_Table[[#This Row],[Year]],SUMIFS($W$4:$W461,$S$4:$S461,eRRSP_Tx_Table[[#This Row],[Year]],$W$4:$W461,"&lt;0"),"")</f>
        <v/>
      </c>
      <c r="AA461" s="3">
        <f>(SUMIF($U$4:$U461,CONCATENATE("Buy",$C461),$N$4:$N461)+SUMIF($U$4:$U461,CONCATENATE("ReinvDiv",$C461),$N$4:$N461))</f>
        <v>0</v>
      </c>
      <c r="AB461" s="3">
        <f>(SUMIF($U$4:$U461,CONCATENATE("Buy",$C461),$F$4:$F461)+SUMIF($U$4:$U461,CONCATENATE("ReinvDiv",$C461),$F$4:$F461)+SUMIF($U$4:$U461,CONCATENATE("StkSplit",$C461),$F$4:$F461)-SUMIF($U$4:$U461,CONCATENATE("Sell",$C461),$F$4:$F461))</f>
        <v>0</v>
      </c>
      <c r="AC461" s="3">
        <f>IF(B461="Sell",F461*INDEX(V:V,LOOKUP(2,1/(X$4:X460=CONCATENATE(C461,"_ACB")),ROW(V$4:V460))),0)</f>
        <v>0</v>
      </c>
    </row>
    <row r="462" spans="1:29" x14ac:dyDescent="0.25">
      <c r="A462" s="20">
        <v>39352</v>
      </c>
      <c r="B462" t="s">
        <v>41</v>
      </c>
      <c r="C462" t="s">
        <v>62</v>
      </c>
      <c r="D462" s="3">
        <v>95.78</v>
      </c>
      <c r="E462">
        <v>6.4980000000000002</v>
      </c>
      <c r="F462" s="3">
        <v>14.74</v>
      </c>
      <c r="M462" s="21">
        <f t="shared" si="55"/>
        <v>95.78</v>
      </c>
      <c r="N462" s="8">
        <f t="shared" si="62"/>
        <v>-95.78</v>
      </c>
      <c r="O462" s="25">
        <f t="shared" si="59"/>
        <v>34140.160000000003</v>
      </c>
      <c r="P462" s="8">
        <f t="shared" si="57"/>
        <v>0</v>
      </c>
      <c r="Q462" s="4">
        <f>IF(AND(S462&gt;=[1]eRRSP_Rpt!$C$6,S462&lt;=[1]eRRSP_Rpt!$C$7),1,0)</f>
        <v>0</v>
      </c>
      <c r="R462" s="4"/>
      <c r="S462" s="4">
        <f t="shared" si="54"/>
        <v>2007</v>
      </c>
      <c r="T462" s="4"/>
      <c r="U462" s="4" t="str">
        <f t="shared" si="58"/>
        <v>ReinvDivTD RR Bond</v>
      </c>
      <c r="V462" s="23">
        <f>IFERROR(IF(AND(AB462&gt;0,B462&lt;&gt;"Sell"),(AA462-SUMIF(C$4:C461,C462,AC$4:AC462))/AB462,0),"")</f>
        <v>-14.303366150584358</v>
      </c>
      <c r="W462" s="24" t="str">
        <f t="shared" si="61"/>
        <v/>
      </c>
      <c r="X462" s="25" t="str">
        <f t="shared" si="60"/>
        <v>TD RR Bond_ACB</v>
      </c>
      <c r="Y462" s="10" t="str">
        <f>IF(S463&lt;&gt;eRRSP_Tx_Table[[#This Row],[Year]],SUMIFS($W$4:$W462,$S$4:$S462,eRRSP_Tx_Table[[#This Row],[Year]],$W$4:$W462,"&gt;0"),"")</f>
        <v/>
      </c>
      <c r="Z462" s="10" t="str">
        <f>IF(S463&lt;&gt;eRRSP_Tx_Table[[#This Row],[Year]],SUMIFS($W$4:$W462,$S$4:$S462,eRRSP_Tx_Table[[#This Row],[Year]],$W$4:$W462,"&lt;0"),"")</f>
        <v/>
      </c>
      <c r="AA462" s="3">
        <f>(SUMIF($U$4:$U462,CONCATENATE("Buy",$C462),$N$4:$N462)+SUMIF($U$4:$U462,CONCATENATE("ReinvDiv",$C462),$N$4:$N462))</f>
        <v>-9255.98</v>
      </c>
      <c r="AB462" s="3">
        <f>(SUMIF($U$4:$U462,CONCATENATE("Buy",$C462),$F$4:$F462)+SUMIF($U$4:$U462,CONCATENATE("ReinvDiv",$C462),$F$4:$F462)+SUMIF($U$4:$U462,CONCATENATE("StkSplit",$C462),$F$4:$F462)-SUMIF($U$4:$U462,CONCATENATE("Sell",$C462),$F$4:$F462))</f>
        <v>647.11900000000003</v>
      </c>
      <c r="AC462" s="3">
        <f>IF(B462="Sell",F462*INDEX(V:V,LOOKUP(2,1/(X$4:X461=CONCATENATE(C462,"_ACB")),ROW(V$4:V461))),0)</f>
        <v>0</v>
      </c>
    </row>
    <row r="463" spans="1:29" x14ac:dyDescent="0.25">
      <c r="A463" s="20">
        <v>39353</v>
      </c>
      <c r="B463" t="s">
        <v>42</v>
      </c>
      <c r="C463" t="s">
        <v>90</v>
      </c>
      <c r="D463" s="3">
        <v>20.57</v>
      </c>
      <c r="M463" s="21">
        <f t="shared" si="55"/>
        <v>20.57</v>
      </c>
      <c r="N463" s="8">
        <f t="shared" si="62"/>
        <v>20.57</v>
      </c>
      <c r="O463" s="25">
        <f t="shared" si="59"/>
        <v>34160.730000000003</v>
      </c>
      <c r="P463" s="8">
        <f t="shared" si="57"/>
        <v>0</v>
      </c>
      <c r="Q463" s="4">
        <f>IF(AND(S463&gt;=[1]eRRSP_Rpt!$C$6,S463&lt;=[1]eRRSP_Rpt!$C$7),1,0)</f>
        <v>0</v>
      </c>
      <c r="R463" s="4"/>
      <c r="S463" s="4">
        <f t="shared" si="54"/>
        <v>2007</v>
      </c>
      <c r="T463" s="4"/>
      <c r="U463" s="4" t="str">
        <f t="shared" si="58"/>
        <v>DivVanguard Large Cap ETF</v>
      </c>
      <c r="V463" s="23">
        <f>IFERROR(IF(AND(AB463&gt;0,B463&lt;&gt;"Sell"),(AA463-SUMIF(C$4:C462,C463,AC$4:AC463))/AB463,0),"")</f>
        <v>-74.401142857142858</v>
      </c>
      <c r="W463" s="24" t="str">
        <f t="shared" si="61"/>
        <v/>
      </c>
      <c r="X463" s="25" t="str">
        <f t="shared" si="60"/>
        <v>Vanguard Large Cap ETF_ACB</v>
      </c>
      <c r="Y463" s="10" t="str">
        <f>IF(S464&lt;&gt;eRRSP_Tx_Table[[#This Row],[Year]],SUMIFS($W$4:$W463,$S$4:$S463,eRRSP_Tx_Table[[#This Row],[Year]],$W$4:$W463,"&gt;0"),"")</f>
        <v/>
      </c>
      <c r="Z463" s="10" t="str">
        <f>IF(S464&lt;&gt;eRRSP_Tx_Table[[#This Row],[Year]],SUMIFS($W$4:$W463,$S$4:$S463,eRRSP_Tx_Table[[#This Row],[Year]],$W$4:$W463,"&lt;0"),"")</f>
        <v/>
      </c>
      <c r="AA463" s="3">
        <f>(SUMIF($U$4:$U463,CONCATENATE("Buy",$C463),$N$4:$N463)+SUMIF($U$4:$U463,CONCATENATE("ReinvDiv",$C463),$N$4:$N463))</f>
        <v>-5208.08</v>
      </c>
      <c r="AB463" s="3">
        <f>(SUMIF($U$4:$U463,CONCATENATE("Buy",$C463),$F$4:$F463)+SUMIF($U$4:$U463,CONCATENATE("ReinvDiv",$C463),$F$4:$F463)+SUMIF($U$4:$U463,CONCATENATE("StkSplit",$C463),$F$4:$F463)-SUMIF($U$4:$U463,CONCATENATE("Sell",$C463),$F$4:$F463))</f>
        <v>70</v>
      </c>
      <c r="AC463" s="3">
        <f>IF(B463="Sell",F463*INDEX(V:V,LOOKUP(2,1/(X$4:X462=CONCATENATE(C463,"_ACB")),ROW(V$4:V462))),0)</f>
        <v>0</v>
      </c>
    </row>
    <row r="464" spans="1:29" x14ac:dyDescent="0.25">
      <c r="A464" s="20">
        <v>39357</v>
      </c>
      <c r="B464" t="s">
        <v>42</v>
      </c>
      <c r="C464" t="s">
        <v>86</v>
      </c>
      <c r="D464" s="3">
        <v>10.210000000000001</v>
      </c>
      <c r="M464" s="21">
        <f t="shared" si="55"/>
        <v>10.210000000000001</v>
      </c>
      <c r="N464" s="8">
        <f t="shared" si="62"/>
        <v>10.210000000000001</v>
      </c>
      <c r="O464" s="25">
        <f t="shared" si="59"/>
        <v>34170.94</v>
      </c>
      <c r="P464" s="8">
        <f t="shared" si="57"/>
        <v>0</v>
      </c>
      <c r="Q464" s="4">
        <f>IF(AND(S464&gt;=[1]eRRSP_Rpt!$C$6,S464&lt;=[1]eRRSP_Rpt!$C$7),1,0)</f>
        <v>0</v>
      </c>
      <c r="R464" s="4"/>
      <c r="S464" s="4">
        <f t="shared" si="54"/>
        <v>2007</v>
      </c>
      <c r="T464" s="4"/>
      <c r="U464" s="4" t="str">
        <f t="shared" si="58"/>
        <v>DiviShares S&amp;P SmallCap</v>
      </c>
      <c r="V464" s="23">
        <f>IFERROR(IF(AND(AB464&gt;0,B464&lt;&gt;"Sell"),(AA464-SUMIF(C$4:C463,C464,AC$4:AC464))/AB464,0),"")</f>
        <v>-70.414404761904763</v>
      </c>
      <c r="W464" s="24" t="str">
        <f t="shared" si="61"/>
        <v/>
      </c>
      <c r="X464" s="25" t="str">
        <f t="shared" si="60"/>
        <v>iShares S&amp;P SmallCap_ACB</v>
      </c>
      <c r="Y464" s="10" t="str">
        <f>IF(S465&lt;&gt;eRRSP_Tx_Table[[#This Row],[Year]],SUMIFS($W$4:$W464,$S$4:$S464,eRRSP_Tx_Table[[#This Row],[Year]],$W$4:$W464,"&gt;0"),"")</f>
        <v/>
      </c>
      <c r="Z464" s="10" t="str">
        <f>IF(S465&lt;&gt;eRRSP_Tx_Table[[#This Row],[Year]],SUMIFS($W$4:$W464,$S$4:$S464,eRRSP_Tx_Table[[#This Row],[Year]],$W$4:$W464,"&lt;0"),"")</f>
        <v/>
      </c>
      <c r="AA464" s="3">
        <f>(SUMIF($U$4:$U464,CONCATENATE("Buy",$C464),$N$4:$N464)+SUMIF($U$4:$U464,CONCATENATE("ReinvDiv",$C464),$N$4:$N464))</f>
        <v>-5914.81</v>
      </c>
      <c r="AB464" s="3">
        <f>(SUMIF($U$4:$U464,CONCATENATE("Buy",$C464),$F$4:$F464)+SUMIF($U$4:$U464,CONCATENATE("ReinvDiv",$C464),$F$4:$F464)+SUMIF($U$4:$U464,CONCATENATE("StkSplit",$C464),$F$4:$F464)-SUMIF($U$4:$U464,CONCATENATE("Sell",$C464),$F$4:$F464))</f>
        <v>84</v>
      </c>
      <c r="AC464" s="3">
        <f>IF(B464="Sell",F464*INDEX(V:V,LOOKUP(2,1/(X$4:X463=CONCATENATE(C464,"_ACB")),ROW(V$4:V463))),0)</f>
        <v>0</v>
      </c>
    </row>
    <row r="465" spans="1:29" x14ac:dyDescent="0.25">
      <c r="A465" s="20">
        <v>39360</v>
      </c>
      <c r="B465" t="s">
        <v>42</v>
      </c>
      <c r="C465" t="s">
        <v>88</v>
      </c>
      <c r="D465" s="3">
        <v>25.05</v>
      </c>
      <c r="M465" s="21">
        <f t="shared" si="55"/>
        <v>25.05</v>
      </c>
      <c r="N465" s="8">
        <f t="shared" si="62"/>
        <v>25.05</v>
      </c>
      <c r="O465" s="25">
        <f t="shared" si="59"/>
        <v>34195.990000000005</v>
      </c>
      <c r="P465" s="8">
        <f t="shared" si="57"/>
        <v>0</v>
      </c>
      <c r="Q465" s="4">
        <f>IF(AND(S465&gt;=[1]eRRSP_Rpt!$C$6,S465&lt;=[1]eRRSP_Rpt!$C$7),1,0)</f>
        <v>0</v>
      </c>
      <c r="R465" s="4"/>
      <c r="S465" s="4">
        <f t="shared" ref="S465:S530" si="63">YEAR(A465)</f>
        <v>2007</v>
      </c>
      <c r="T465" s="4"/>
      <c r="U465" s="4" t="str">
        <f t="shared" si="58"/>
        <v>DiviShares IBOXX (US$)</v>
      </c>
      <c r="V465" s="23">
        <f>IFERROR(IF(AND(AB465&gt;0,B465&lt;&gt;"Sell"),(AA465-SUMIF(C$4:C464,C465,AC$4:AC465))/AB465,0),"")</f>
        <v>-127.70865384615385</v>
      </c>
      <c r="W465" s="24" t="str">
        <f t="shared" si="61"/>
        <v/>
      </c>
      <c r="X465" s="25" t="str">
        <f t="shared" si="60"/>
        <v>iShares IBOXX (US$)_ACB</v>
      </c>
      <c r="Y465" s="10" t="str">
        <f>IF(S466&lt;&gt;eRRSP_Tx_Table[[#This Row],[Year]],SUMIFS($W$4:$W465,$S$4:$S465,eRRSP_Tx_Table[[#This Row],[Year]],$W$4:$W465,"&gt;0"),"")</f>
        <v/>
      </c>
      <c r="Z465" s="10" t="str">
        <f>IF(S466&lt;&gt;eRRSP_Tx_Table[[#This Row],[Year]],SUMIFS($W$4:$W465,$S$4:$S465,eRRSP_Tx_Table[[#This Row],[Year]],$W$4:$W465,"&lt;0"),"")</f>
        <v/>
      </c>
      <c r="AA465" s="3">
        <f>(SUMIF($U$4:$U465,CONCATENATE("Buy",$C465),$N$4:$N465)+SUMIF($U$4:$U465,CONCATENATE("ReinvDiv",$C465),$N$4:$N465))</f>
        <v>-6640.85</v>
      </c>
      <c r="AB465" s="3">
        <f>(SUMIF($U$4:$U465,CONCATENATE("Buy",$C465),$F$4:$F465)+SUMIF($U$4:$U465,CONCATENATE("ReinvDiv",$C465),$F$4:$F465)+SUMIF($U$4:$U465,CONCATENATE("StkSplit",$C465),$F$4:$F465)-SUMIF($U$4:$U465,CONCATENATE("Sell",$C465),$F$4:$F465))</f>
        <v>52</v>
      </c>
      <c r="AC465" s="3">
        <f>IF(B465="Sell",F465*INDEX(V:V,LOOKUP(2,1/(X$4:X464=CONCATENATE(C465,"_ACB")),ROW(V$4:V464))),0)</f>
        <v>0</v>
      </c>
    </row>
    <row r="466" spans="1:29" x14ac:dyDescent="0.25">
      <c r="A466" s="20">
        <v>39367</v>
      </c>
      <c r="B466" t="s">
        <v>42</v>
      </c>
      <c r="C466" t="s">
        <v>87</v>
      </c>
      <c r="D466" s="3">
        <v>39.39</v>
      </c>
      <c r="M466" s="21">
        <f t="shared" si="55"/>
        <v>39.39</v>
      </c>
      <c r="N466" s="8">
        <f t="shared" si="62"/>
        <v>39.39</v>
      </c>
      <c r="O466" s="25">
        <f t="shared" si="59"/>
        <v>34235.380000000005</v>
      </c>
      <c r="P466" s="8">
        <f t="shared" si="57"/>
        <v>0</v>
      </c>
      <c r="Q466" s="4">
        <f>IF(AND(S466&gt;=[1]eRRSP_Rpt!$C$6,S466&lt;=[1]eRRSP_Rpt!$C$7),1,0)</f>
        <v>0</v>
      </c>
      <c r="R466" s="4"/>
      <c r="S466" s="4">
        <f t="shared" si="63"/>
        <v>2007</v>
      </c>
      <c r="T466" s="4"/>
      <c r="U466" s="4" t="str">
        <f t="shared" si="58"/>
        <v>DivAberdeen Asia Pacific Income Fund</v>
      </c>
      <c r="V466" s="23">
        <f>IFERROR(IF(AND(AB466&gt;0,B466&lt;&gt;"Sell"),(AA466-SUMIF(C$4:C465,C466,AC$4:AC466))/AB466,0),"")</f>
        <v>-7.4694020797227028</v>
      </c>
      <c r="W466" s="24" t="str">
        <f t="shared" si="61"/>
        <v/>
      </c>
      <c r="X466" s="25" t="str">
        <f t="shared" si="60"/>
        <v>Aberdeen Asia Pacific Income Fund_ACB</v>
      </c>
      <c r="Y466" s="10" t="str">
        <f>IF(S467&lt;&gt;eRRSP_Tx_Table[[#This Row],[Year]],SUMIFS($W$4:$W466,$S$4:$S466,eRRSP_Tx_Table[[#This Row],[Year]],$W$4:$W466,"&gt;0"),"")</f>
        <v/>
      </c>
      <c r="Z466" s="10" t="str">
        <f>IF(S467&lt;&gt;eRRSP_Tx_Table[[#This Row],[Year]],SUMIFS($W$4:$W466,$S$4:$S466,eRRSP_Tx_Table[[#This Row],[Year]],$W$4:$W466,"&lt;0"),"")</f>
        <v/>
      </c>
      <c r="AA466" s="3">
        <f>(SUMIF($U$4:$U466,CONCATENATE("Buy",$C466),$N$4:$N466)+SUMIF($U$4:$U466,CONCATENATE("ReinvDiv",$C466),$N$4:$N466))</f>
        <v>-8619.6899999999987</v>
      </c>
      <c r="AB466" s="3">
        <f>(SUMIF($U$4:$U466,CONCATENATE("Buy",$C466),$F$4:$F466)+SUMIF($U$4:$U466,CONCATENATE("ReinvDiv",$C466),$F$4:$F466)+SUMIF($U$4:$U466,CONCATENATE("StkSplit",$C466),$F$4:$F466)-SUMIF($U$4:$U466,CONCATENATE("Sell",$C466),$F$4:$F466))</f>
        <v>1154</v>
      </c>
      <c r="AC466" s="3">
        <f>IF(B466="Sell",F466*INDEX(V:V,LOOKUP(2,1/(X$4:X465=CONCATENATE(C466,"_ACB")),ROW(V$4:V465))),0)</f>
        <v>0</v>
      </c>
    </row>
    <row r="467" spans="1:29" x14ac:dyDescent="0.25">
      <c r="A467" s="20">
        <v>39371</v>
      </c>
      <c r="B467" t="s">
        <v>43</v>
      </c>
      <c r="C467" t="s">
        <v>36</v>
      </c>
      <c r="D467" s="3">
        <v>49.15</v>
      </c>
      <c r="M467" s="21">
        <f t="shared" si="55"/>
        <v>49.15</v>
      </c>
      <c r="N467" s="8">
        <f t="shared" si="62"/>
        <v>49.15</v>
      </c>
      <c r="O467" s="25">
        <f t="shared" si="59"/>
        <v>34284.530000000006</v>
      </c>
      <c r="P467" s="8">
        <f t="shared" si="57"/>
        <v>0</v>
      </c>
      <c r="Q467" s="4">
        <f>IF(AND(S467&gt;=[1]eRRSP_Rpt!$C$6,S467&lt;=[1]eRRSP_Rpt!$C$7),1,0)</f>
        <v>0</v>
      </c>
      <c r="R467" s="4"/>
      <c r="S467" s="4">
        <f t="shared" si="63"/>
        <v>2007</v>
      </c>
      <c r="T467" s="4"/>
      <c r="U467" s="4" t="str">
        <f t="shared" si="58"/>
        <v>IntIncTDW</v>
      </c>
      <c r="V467" s="23">
        <f>IFERROR(IF(AND(AB467&gt;0,B467&lt;&gt;"Sell"),(AA467-SUMIF(C$4:C466,C467,AC$4:AC467))/AB467,0),"")</f>
        <v>0</v>
      </c>
      <c r="W467" s="24" t="str">
        <f t="shared" si="61"/>
        <v/>
      </c>
      <c r="X467" s="25" t="str">
        <f t="shared" si="60"/>
        <v/>
      </c>
      <c r="Y467" s="10" t="str">
        <f>IF(S468&lt;&gt;eRRSP_Tx_Table[[#This Row],[Year]],SUMIFS($W$4:$W467,$S$4:$S467,eRRSP_Tx_Table[[#This Row],[Year]],$W$4:$W467,"&gt;0"),"")</f>
        <v/>
      </c>
      <c r="Z467" s="10" t="str">
        <f>IF(S468&lt;&gt;eRRSP_Tx_Table[[#This Row],[Year]],SUMIFS($W$4:$W467,$S$4:$S467,eRRSP_Tx_Table[[#This Row],[Year]],$W$4:$W467,"&lt;0"),"")</f>
        <v/>
      </c>
      <c r="AA467" s="3">
        <f>(SUMIF($U$4:$U467,CONCATENATE("Buy",$C467),$N$4:$N467)+SUMIF($U$4:$U467,CONCATENATE("ReinvDiv",$C467),$N$4:$N467))</f>
        <v>0</v>
      </c>
      <c r="AB467" s="3">
        <f>(SUMIF($U$4:$U467,CONCATENATE("Buy",$C467),$F$4:$F467)+SUMIF($U$4:$U467,CONCATENATE("ReinvDiv",$C467),$F$4:$F467)+SUMIF($U$4:$U467,CONCATENATE("StkSplit",$C467),$F$4:$F467)-SUMIF($U$4:$U467,CONCATENATE("Sell",$C467),$F$4:$F467))</f>
        <v>0</v>
      </c>
      <c r="AC467" s="3">
        <f>IF(B467="Sell",F467*INDEX(V:V,LOOKUP(2,1/(X$4:X466=CONCATENATE(C467,"_ACB")),ROW(V$4:V466))),0)</f>
        <v>0</v>
      </c>
    </row>
    <row r="468" spans="1:29" x14ac:dyDescent="0.25">
      <c r="A468" s="20">
        <v>39386</v>
      </c>
      <c r="B468" t="s">
        <v>42</v>
      </c>
      <c r="C468" t="s">
        <v>45</v>
      </c>
      <c r="D468" s="3">
        <v>11.4</v>
      </c>
      <c r="M468" s="21">
        <f t="shared" si="55"/>
        <v>11.4</v>
      </c>
      <c r="N468" s="8">
        <f t="shared" si="62"/>
        <v>11.4</v>
      </c>
      <c r="O468" s="25">
        <f t="shared" si="59"/>
        <v>34295.930000000008</v>
      </c>
      <c r="P468" s="8">
        <f t="shared" si="57"/>
        <v>0</v>
      </c>
      <c r="Q468" s="4">
        <f>IF(AND(S468&gt;=[1]eRRSP_Rpt!$C$6,S468&lt;=[1]eRRSP_Rpt!$C$7),1,0)</f>
        <v>0</v>
      </c>
      <c r="R468" s="4"/>
      <c r="S468" s="4">
        <f t="shared" si="63"/>
        <v>2007</v>
      </c>
      <c r="T468" s="4"/>
      <c r="U468" s="4" t="str">
        <f t="shared" si="58"/>
        <v>DivTD Bank</v>
      </c>
      <c r="V468" s="23">
        <f>IFERROR(IF(AND(AB468&gt;0,B468&lt;&gt;"Sell"),(AA468-SUMIF(C$4:C467,C468,AC$4:AC468))/AB468,0),"")</f>
        <v>-44.29</v>
      </c>
      <c r="W468" s="24" t="str">
        <f t="shared" si="61"/>
        <v/>
      </c>
      <c r="X468" s="25" t="str">
        <f t="shared" si="60"/>
        <v>TD Bank_ACB</v>
      </c>
      <c r="Y468" s="10" t="str">
        <f>IF(S469&lt;&gt;eRRSP_Tx_Table[[#This Row],[Year]],SUMIFS($W$4:$W468,$S$4:$S468,eRRSP_Tx_Table[[#This Row],[Year]],$W$4:$W468,"&gt;0"),"")</f>
        <v/>
      </c>
      <c r="Z468" s="10" t="str">
        <f>IF(S469&lt;&gt;eRRSP_Tx_Table[[#This Row],[Year]],SUMIFS($W$4:$W468,$S$4:$S468,eRRSP_Tx_Table[[#This Row],[Year]],$W$4:$W468,"&lt;0"),"")</f>
        <v/>
      </c>
      <c r="AA468" s="3">
        <f>(SUMIF($U$4:$U468,CONCATENATE("Buy",$C468),$N$4:$N468)+SUMIF($U$4:$U468,CONCATENATE("ReinvDiv",$C468),$N$4:$N468))</f>
        <v>-885.8</v>
      </c>
      <c r="AB468" s="3">
        <f>(SUMIF($U$4:$U468,CONCATENATE("Buy",$C468),$F$4:$F468)+SUMIF($U$4:$U468,CONCATENATE("ReinvDiv",$C468),$F$4:$F468)+SUMIF($U$4:$U468,CONCATENATE("StkSplit",$C468),$F$4:$F468)-SUMIF($U$4:$U468,CONCATENATE("Sell",$C468),$F$4:$F468))</f>
        <v>20</v>
      </c>
      <c r="AC468" s="3">
        <f>IF(B468="Sell",F468*INDEX(V:V,LOOKUP(2,1/(X$4:X467=CONCATENATE(C468,"_ACB")),ROW(V$4:V467))),0)</f>
        <v>0</v>
      </c>
    </row>
    <row r="469" spans="1:29" x14ac:dyDescent="0.25">
      <c r="A469" s="20">
        <v>39393</v>
      </c>
      <c r="B469" t="s">
        <v>42</v>
      </c>
      <c r="C469" t="s">
        <v>88</v>
      </c>
      <c r="D469" s="3">
        <v>22.7</v>
      </c>
      <c r="M469" s="21">
        <f t="shared" ref="M469:M534" si="64">ROUND(IF(OR(B469="Buy",B469="Sell"),E469*F469,D469),2)</f>
        <v>22.7</v>
      </c>
      <c r="N469" s="8">
        <f t="shared" si="62"/>
        <v>22.7</v>
      </c>
      <c r="O469" s="25">
        <f t="shared" si="59"/>
        <v>34318.630000000005</v>
      </c>
      <c r="P469" s="8">
        <f t="shared" ref="P469:P534" si="65">IF(OR($B469="Cash"),$N469,0)</f>
        <v>0</v>
      </c>
      <c r="Q469" s="4">
        <f>IF(AND(S469&gt;=[1]eRRSP_Rpt!$C$6,S469&lt;=[1]eRRSP_Rpt!$C$7),1,0)</f>
        <v>0</v>
      </c>
      <c r="R469" s="4"/>
      <c r="S469" s="4">
        <f t="shared" si="63"/>
        <v>2007</v>
      </c>
      <c r="T469" s="4"/>
      <c r="U469" s="4" t="str">
        <f t="shared" ref="U469:U534" si="66">CONCATENATE(B469,C469)</f>
        <v>DiviShares IBOXX (US$)</v>
      </c>
      <c r="V469" s="23">
        <f>IFERROR(IF(AND(AB469&gt;0,B469&lt;&gt;"Sell"),(AA469-SUMIF(C$4:C468,C469,AC$4:AC469))/AB469,0),"")</f>
        <v>-127.70865384615385</v>
      </c>
      <c r="W469" s="24" t="str">
        <f t="shared" si="61"/>
        <v/>
      </c>
      <c r="X469" s="25" t="str">
        <f t="shared" si="60"/>
        <v>iShares IBOXX (US$)_ACB</v>
      </c>
      <c r="Y469" s="10" t="str">
        <f>IF(S470&lt;&gt;eRRSP_Tx_Table[[#This Row],[Year]],SUMIFS($W$4:$W469,$S$4:$S469,eRRSP_Tx_Table[[#This Row],[Year]],$W$4:$W469,"&gt;0"),"")</f>
        <v/>
      </c>
      <c r="Z469" s="10" t="str">
        <f>IF(S470&lt;&gt;eRRSP_Tx_Table[[#This Row],[Year]],SUMIFS($W$4:$W469,$S$4:$S469,eRRSP_Tx_Table[[#This Row],[Year]],$W$4:$W469,"&lt;0"),"")</f>
        <v/>
      </c>
      <c r="AA469" s="3">
        <f>(SUMIF($U$4:$U469,CONCATENATE("Buy",$C469),$N$4:$N469)+SUMIF($U$4:$U469,CONCATENATE("ReinvDiv",$C469),$N$4:$N469))</f>
        <v>-6640.85</v>
      </c>
      <c r="AB469" s="3">
        <f>(SUMIF($U$4:$U469,CONCATENATE("Buy",$C469),$F$4:$F469)+SUMIF($U$4:$U469,CONCATENATE("ReinvDiv",$C469),$F$4:$F469)+SUMIF($U$4:$U469,CONCATENATE("StkSplit",$C469),$F$4:$F469)-SUMIF($U$4:$U469,CONCATENATE("Sell",$C469),$F$4:$F469))</f>
        <v>52</v>
      </c>
      <c r="AC469" s="3">
        <f>IF(B469="Sell",F469*INDEX(V:V,LOOKUP(2,1/(X$4:X468=CONCATENATE(C469,"_ACB")),ROW(V$4:V468))),0)</f>
        <v>0</v>
      </c>
    </row>
    <row r="470" spans="1:29" x14ac:dyDescent="0.25">
      <c r="A470" s="20">
        <v>39398</v>
      </c>
      <c r="B470" t="s">
        <v>42</v>
      </c>
      <c r="C470" t="s">
        <v>79</v>
      </c>
      <c r="D470" s="3">
        <v>1.36</v>
      </c>
      <c r="M470" s="21">
        <f t="shared" si="64"/>
        <v>1.36</v>
      </c>
      <c r="N470" s="8">
        <f t="shared" si="62"/>
        <v>1.36</v>
      </c>
      <c r="O470" s="25">
        <f t="shared" si="59"/>
        <v>34319.990000000005</v>
      </c>
      <c r="P470" s="8">
        <f t="shared" si="65"/>
        <v>0</v>
      </c>
      <c r="Q470" s="4">
        <f>IF(AND(S470&gt;=[1]eRRSP_Rpt!$C$6,S470&lt;=[1]eRRSP_Rpt!$C$7),1,0)</f>
        <v>0</v>
      </c>
      <c r="R470" s="4"/>
      <c r="S470" s="4">
        <f t="shared" si="63"/>
        <v>2007</v>
      </c>
      <c r="T470" s="4"/>
      <c r="U470" s="4" t="str">
        <f t="shared" si="66"/>
        <v>DivCentral Fund of Canada</v>
      </c>
      <c r="V470" s="23">
        <f>IFERROR(IF(AND(AB470&gt;0,B470&lt;&gt;"Sell"),(AA470-SUMIF(C$4:C469,C470,AC$4:AC470))/AB470,0),"")</f>
        <v>-8.8740000000000006</v>
      </c>
      <c r="W470" s="24" t="str">
        <f t="shared" si="61"/>
        <v/>
      </c>
      <c r="X470" s="25" t="str">
        <f t="shared" si="60"/>
        <v>Central Fund of Canada_ACB</v>
      </c>
      <c r="Y470" s="10" t="str">
        <f>IF(S471&lt;&gt;eRRSP_Tx_Table[[#This Row],[Year]],SUMIFS($W$4:$W470,$S$4:$S470,eRRSP_Tx_Table[[#This Row],[Year]],$W$4:$W470,"&gt;0"),"")</f>
        <v/>
      </c>
      <c r="Z470" s="10" t="str">
        <f>IF(S471&lt;&gt;eRRSP_Tx_Table[[#This Row],[Year]],SUMIFS($W$4:$W470,$S$4:$S470,eRRSP_Tx_Table[[#This Row],[Year]],$W$4:$W470,"&lt;0"),"")</f>
        <v/>
      </c>
      <c r="AA470" s="3">
        <f>(SUMIF($U$4:$U470,CONCATENATE("Buy",$C470),$N$4:$N470)+SUMIF($U$4:$U470,CONCATENATE("ReinvDiv",$C470),$N$4:$N470))</f>
        <v>-1286.73</v>
      </c>
      <c r="AB470" s="3">
        <f>(SUMIF($U$4:$U470,CONCATENATE("Buy",$C470),$F$4:$F470)+SUMIF($U$4:$U470,CONCATENATE("ReinvDiv",$C470),$F$4:$F470)+SUMIF($U$4:$U470,CONCATENATE("StkSplit",$C470),$F$4:$F470)-SUMIF($U$4:$U470,CONCATENATE("Sell",$C470),$F$4:$F470))</f>
        <v>145</v>
      </c>
      <c r="AC470" s="3">
        <f>IF(B470="Sell",F470*INDEX(V:V,LOOKUP(2,1/(X$4:X469=CONCATENATE(C470,"_ACB")),ROW(V$4:V469))),0)</f>
        <v>0</v>
      </c>
    </row>
    <row r="471" spans="1:29" x14ac:dyDescent="0.25">
      <c r="A471" s="20">
        <v>39402</v>
      </c>
      <c r="B471" t="s">
        <v>43</v>
      </c>
      <c r="C471" t="s">
        <v>36</v>
      </c>
      <c r="D471" s="3">
        <v>50.97</v>
      </c>
      <c r="M471" s="21">
        <f t="shared" si="64"/>
        <v>50.97</v>
      </c>
      <c r="N471" s="8">
        <f t="shared" si="62"/>
        <v>50.97</v>
      </c>
      <c r="O471" s="25">
        <f t="shared" si="59"/>
        <v>34370.960000000006</v>
      </c>
      <c r="P471" s="8">
        <f t="shared" si="65"/>
        <v>0</v>
      </c>
      <c r="Q471" s="4">
        <f>IF(AND(S471&gt;=[1]eRRSP_Rpt!$C$6,S471&lt;=[1]eRRSP_Rpt!$C$7),1,0)</f>
        <v>0</v>
      </c>
      <c r="R471" s="4"/>
      <c r="S471" s="4">
        <f t="shared" si="63"/>
        <v>2007</v>
      </c>
      <c r="T471" s="4"/>
      <c r="U471" s="4" t="str">
        <f t="shared" si="66"/>
        <v>IntIncTDW</v>
      </c>
      <c r="V471" s="23">
        <f>IFERROR(IF(AND(AB471&gt;0,B471&lt;&gt;"Sell"),(AA471-SUMIF(C$4:C470,C471,AC$4:AC471))/AB471,0),"")</f>
        <v>0</v>
      </c>
      <c r="W471" s="24" t="str">
        <f t="shared" si="61"/>
        <v/>
      </c>
      <c r="X471" s="25" t="str">
        <f t="shared" si="60"/>
        <v/>
      </c>
      <c r="Y471" s="10" t="str">
        <f>IF(S472&lt;&gt;eRRSP_Tx_Table[[#This Row],[Year]],SUMIFS($W$4:$W471,$S$4:$S471,eRRSP_Tx_Table[[#This Row],[Year]],$W$4:$W471,"&gt;0"),"")</f>
        <v/>
      </c>
      <c r="Z471" s="10" t="str">
        <f>IF(S472&lt;&gt;eRRSP_Tx_Table[[#This Row],[Year]],SUMIFS($W$4:$W471,$S$4:$S471,eRRSP_Tx_Table[[#This Row],[Year]],$W$4:$W471,"&lt;0"),"")</f>
        <v/>
      </c>
      <c r="AA471" s="3">
        <f>(SUMIF($U$4:$U471,CONCATENATE("Buy",$C471),$N$4:$N471)+SUMIF($U$4:$U471,CONCATENATE("ReinvDiv",$C471),$N$4:$N471))</f>
        <v>0</v>
      </c>
      <c r="AB471" s="3">
        <f>(SUMIF($U$4:$U471,CONCATENATE("Buy",$C471),$F$4:$F471)+SUMIF($U$4:$U471,CONCATENATE("ReinvDiv",$C471),$F$4:$F471)+SUMIF($U$4:$U471,CONCATENATE("StkSplit",$C471),$F$4:$F471)-SUMIF($U$4:$U471,CONCATENATE("Sell",$C471),$F$4:$F471))</f>
        <v>0</v>
      </c>
      <c r="AC471" s="3">
        <f>IF(B471="Sell",F471*INDEX(V:V,LOOKUP(2,1/(X$4:X470=CONCATENATE(C471,"_ACB")),ROW(V$4:V470))),0)</f>
        <v>0</v>
      </c>
    </row>
    <row r="472" spans="1:29" x14ac:dyDescent="0.25">
      <c r="A472" s="20">
        <v>39402</v>
      </c>
      <c r="B472" t="s">
        <v>42</v>
      </c>
      <c r="C472" t="s">
        <v>87</v>
      </c>
      <c r="D472" s="3">
        <v>39.71</v>
      </c>
      <c r="M472" s="21">
        <f t="shared" si="64"/>
        <v>39.71</v>
      </c>
      <c r="N472" s="8">
        <f t="shared" si="62"/>
        <v>39.71</v>
      </c>
      <c r="O472" s="25">
        <f t="shared" si="59"/>
        <v>34410.670000000006</v>
      </c>
      <c r="P472" s="8">
        <f t="shared" si="65"/>
        <v>0</v>
      </c>
      <c r="Q472" s="4">
        <f>IF(AND(S472&gt;=[1]eRRSP_Rpt!$C$6,S472&lt;=[1]eRRSP_Rpt!$C$7),1,0)</f>
        <v>0</v>
      </c>
      <c r="R472" s="4"/>
      <c r="S472" s="4">
        <f t="shared" si="63"/>
        <v>2007</v>
      </c>
      <c r="T472" s="4"/>
      <c r="U472" s="4" t="str">
        <f t="shared" si="66"/>
        <v>DivAberdeen Asia Pacific Income Fund</v>
      </c>
      <c r="V472" s="23">
        <f>IFERROR(IF(AND(AB472&gt;0,B472&lt;&gt;"Sell"),(AA472-SUMIF(C$4:C471,C472,AC$4:AC472))/AB472,0),"")</f>
        <v>-7.4694020797227028</v>
      </c>
      <c r="W472" s="24" t="str">
        <f t="shared" si="61"/>
        <v/>
      </c>
      <c r="X472" s="25" t="str">
        <f t="shared" si="60"/>
        <v>Aberdeen Asia Pacific Income Fund_ACB</v>
      </c>
      <c r="Y472" s="10" t="str">
        <f>IF(S473&lt;&gt;eRRSP_Tx_Table[[#This Row],[Year]],SUMIFS($W$4:$W472,$S$4:$S472,eRRSP_Tx_Table[[#This Row],[Year]],$W$4:$W472,"&gt;0"),"")</f>
        <v/>
      </c>
      <c r="Z472" s="10" t="str">
        <f>IF(S473&lt;&gt;eRRSP_Tx_Table[[#This Row],[Year]],SUMIFS($W$4:$W472,$S$4:$S472,eRRSP_Tx_Table[[#This Row],[Year]],$W$4:$W472,"&lt;0"),"")</f>
        <v/>
      </c>
      <c r="AA472" s="3">
        <f>(SUMIF($U$4:$U472,CONCATENATE("Buy",$C472),$N$4:$N472)+SUMIF($U$4:$U472,CONCATENATE("ReinvDiv",$C472),$N$4:$N472))</f>
        <v>-8619.6899999999987</v>
      </c>
      <c r="AB472" s="3">
        <f>(SUMIF($U$4:$U472,CONCATENATE("Buy",$C472),$F$4:$F472)+SUMIF($U$4:$U472,CONCATENATE("ReinvDiv",$C472),$F$4:$F472)+SUMIF($U$4:$U472,CONCATENATE("StkSplit",$C472),$F$4:$F472)-SUMIF($U$4:$U472,CONCATENATE("Sell",$C472),$F$4:$F472))</f>
        <v>1154</v>
      </c>
      <c r="AC472" s="3">
        <f>IF(B472="Sell",F472*INDEX(V:V,LOOKUP(2,1/(X$4:X471=CONCATENATE(C472,"_ACB")),ROW(V$4:V471))),0)</f>
        <v>0</v>
      </c>
    </row>
    <row r="473" spans="1:29" x14ac:dyDescent="0.25">
      <c r="A473" s="20">
        <v>39417</v>
      </c>
      <c r="B473" t="s">
        <v>42</v>
      </c>
      <c r="C473" t="s">
        <v>33</v>
      </c>
      <c r="D473" s="3">
        <v>22.44</v>
      </c>
      <c r="M473" s="21">
        <f t="shared" si="64"/>
        <v>22.44</v>
      </c>
      <c r="N473" s="8">
        <f t="shared" si="62"/>
        <v>22.44</v>
      </c>
      <c r="O473" s="25">
        <f t="shared" si="59"/>
        <v>34433.110000000008</v>
      </c>
      <c r="P473" s="8">
        <f t="shared" si="65"/>
        <v>0</v>
      </c>
      <c r="Q473" s="4">
        <f>IF(AND(S473&gt;=[1]eRRSP_Rpt!$C$6,S473&lt;=[1]eRRSP_Rpt!$C$7),1,0)</f>
        <v>0</v>
      </c>
      <c r="R473" s="4"/>
      <c r="S473" s="4">
        <f t="shared" si="63"/>
        <v>2007</v>
      </c>
      <c r="T473" s="4"/>
      <c r="U473" s="4" t="str">
        <f t="shared" si="66"/>
        <v>DivEnbridge</v>
      </c>
      <c r="V473" s="23">
        <f>IFERROR(IF(AND(AB473&gt;0,B473&lt;&gt;"Sell"),(AA473-SUMIF(C$4:C472,C473,AC$4:AC473))/AB473,0),"")</f>
        <v>-12.859027777777776</v>
      </c>
      <c r="W473" s="24" t="str">
        <f t="shared" si="61"/>
        <v/>
      </c>
      <c r="X473" s="25" t="str">
        <f t="shared" si="60"/>
        <v>Enbridge_ACB</v>
      </c>
      <c r="Y473" s="10" t="str">
        <f>IF(S474&lt;&gt;eRRSP_Tx_Table[[#This Row],[Year]],SUMIFS($W$4:$W473,$S$4:$S473,eRRSP_Tx_Table[[#This Row],[Year]],$W$4:$W473,"&gt;0"),"")</f>
        <v/>
      </c>
      <c r="Z473" s="10" t="str">
        <f>IF(S474&lt;&gt;eRRSP_Tx_Table[[#This Row],[Year]],SUMIFS($W$4:$W473,$S$4:$S473,eRRSP_Tx_Table[[#This Row],[Year]],$W$4:$W473,"&lt;0"),"")</f>
        <v/>
      </c>
      <c r="AA473" s="3">
        <f>(SUMIF($U$4:$U473,CONCATENATE("Buy",$C473),$N$4:$N473)+SUMIF($U$4:$U473,CONCATENATE("ReinvDiv",$C473),$N$4:$N473))</f>
        <v>-1851.7</v>
      </c>
      <c r="AB473" s="3">
        <f>(SUMIF($U$4:$U473,CONCATENATE("Buy",$C473),$F$4:$F473)+SUMIF($U$4:$U473,CONCATENATE("ReinvDiv",$C473),$F$4:$F473)+SUMIF($U$4:$U473,CONCATENATE("StkSplit",$C473),$F$4:$F473)-SUMIF($U$4:$U473,CONCATENATE("Sell",$C473),$F$4:$F473))</f>
        <v>73</v>
      </c>
      <c r="AC473" s="3">
        <f>IF(B473="Sell",F473*INDEX(V:V,LOOKUP(2,1/(X$4:X472=CONCATENATE(C473,"_ACB")),ROW(V$4:V472))),0)</f>
        <v>0</v>
      </c>
    </row>
    <row r="474" spans="1:29" x14ac:dyDescent="0.25">
      <c r="A474" s="20">
        <v>39423</v>
      </c>
      <c r="B474" t="s">
        <v>42</v>
      </c>
      <c r="C474" t="s">
        <v>88</v>
      </c>
      <c r="D474" s="3">
        <v>24.03</v>
      </c>
      <c r="M474" s="21">
        <f t="shared" si="64"/>
        <v>24.03</v>
      </c>
      <c r="N474" s="8">
        <f t="shared" si="62"/>
        <v>24.03</v>
      </c>
      <c r="O474" s="25">
        <f t="shared" si="59"/>
        <v>34457.140000000007</v>
      </c>
      <c r="P474" s="8">
        <f t="shared" si="65"/>
        <v>0</v>
      </c>
      <c r="Q474" s="4">
        <f>IF(AND(S474&gt;=[1]eRRSP_Rpt!$C$6,S474&lt;=[1]eRRSP_Rpt!$C$7),1,0)</f>
        <v>0</v>
      </c>
      <c r="R474" s="4"/>
      <c r="S474" s="4">
        <f t="shared" si="63"/>
        <v>2007</v>
      </c>
      <c r="T474" s="4"/>
      <c r="U474" s="4" t="str">
        <f t="shared" si="66"/>
        <v>DiviShares IBOXX (US$)</v>
      </c>
      <c r="V474" s="23">
        <f>IFERROR(IF(AND(AB474&gt;0,B474&lt;&gt;"Sell"),(AA474-SUMIF(C$4:C473,C474,AC$4:AC474))/AB474,0),"")</f>
        <v>-127.70865384615385</v>
      </c>
      <c r="W474" s="24" t="str">
        <f t="shared" si="61"/>
        <v/>
      </c>
      <c r="X474" s="25" t="str">
        <f t="shared" si="60"/>
        <v>iShares IBOXX (US$)_ACB</v>
      </c>
      <c r="Y474" s="10" t="str">
        <f>IF(S475&lt;&gt;eRRSP_Tx_Table[[#This Row],[Year]],SUMIFS($W$4:$W474,$S$4:$S474,eRRSP_Tx_Table[[#This Row],[Year]],$W$4:$W474,"&gt;0"),"")</f>
        <v/>
      </c>
      <c r="Z474" s="10" t="str">
        <f>IF(S475&lt;&gt;eRRSP_Tx_Table[[#This Row],[Year]],SUMIFS($W$4:$W474,$S$4:$S474,eRRSP_Tx_Table[[#This Row],[Year]],$W$4:$W474,"&lt;0"),"")</f>
        <v/>
      </c>
      <c r="AA474" s="3">
        <f>(SUMIF($U$4:$U474,CONCATENATE("Buy",$C474),$N$4:$N474)+SUMIF($U$4:$U474,CONCATENATE("ReinvDiv",$C474),$N$4:$N474))</f>
        <v>-6640.85</v>
      </c>
      <c r="AB474" s="3">
        <f>(SUMIF($U$4:$U474,CONCATENATE("Buy",$C474),$F$4:$F474)+SUMIF($U$4:$U474,CONCATENATE("ReinvDiv",$C474),$F$4:$F474)+SUMIF($U$4:$U474,CONCATENATE("StkSplit",$C474),$F$4:$F474)-SUMIF($U$4:$U474,CONCATENATE("Sell",$C474),$F$4:$F474))</f>
        <v>52</v>
      </c>
      <c r="AC474" s="3">
        <f>IF(B474="Sell",F474*INDEX(V:V,LOOKUP(2,1/(X$4:X473=CONCATENATE(C474,"_ACB")),ROW(V$4:V473))),0)</f>
        <v>0</v>
      </c>
    </row>
    <row r="475" spans="1:29" x14ac:dyDescent="0.25">
      <c r="A475" s="20">
        <v>39430</v>
      </c>
      <c r="B475" t="s">
        <v>42</v>
      </c>
      <c r="C475" t="s">
        <v>87</v>
      </c>
      <c r="D475" s="3">
        <v>41.21</v>
      </c>
      <c r="M475" s="21">
        <f t="shared" si="64"/>
        <v>41.21</v>
      </c>
      <c r="N475" s="8">
        <f t="shared" si="62"/>
        <v>41.21</v>
      </c>
      <c r="O475" s="25">
        <f t="shared" si="59"/>
        <v>34498.350000000006</v>
      </c>
      <c r="P475" s="8">
        <f t="shared" si="65"/>
        <v>0</v>
      </c>
      <c r="Q475" s="4">
        <f>IF(AND(S475&gt;=[1]eRRSP_Rpt!$C$6,S475&lt;=[1]eRRSP_Rpt!$C$7),1,0)</f>
        <v>0</v>
      </c>
      <c r="R475" s="4"/>
      <c r="S475" s="4">
        <f t="shared" si="63"/>
        <v>2007</v>
      </c>
      <c r="T475" s="4"/>
      <c r="U475" s="4" t="str">
        <f t="shared" si="66"/>
        <v>DivAberdeen Asia Pacific Income Fund</v>
      </c>
      <c r="V475" s="23">
        <f>IFERROR(IF(AND(AB475&gt;0,B475&lt;&gt;"Sell"),(AA475-SUMIF(C$4:C474,C475,AC$4:AC475))/AB475,0),"")</f>
        <v>-7.4694020797227028</v>
      </c>
      <c r="W475" s="24" t="str">
        <f t="shared" si="61"/>
        <v/>
      </c>
      <c r="X475" s="25" t="str">
        <f t="shared" si="60"/>
        <v>Aberdeen Asia Pacific Income Fund_ACB</v>
      </c>
      <c r="Y475" s="10" t="str">
        <f>IF(S476&lt;&gt;eRRSP_Tx_Table[[#This Row],[Year]],SUMIFS($W$4:$W475,$S$4:$S475,eRRSP_Tx_Table[[#This Row],[Year]],$W$4:$W475,"&gt;0"),"")</f>
        <v/>
      </c>
      <c r="Z475" s="10" t="str">
        <f>IF(S476&lt;&gt;eRRSP_Tx_Table[[#This Row],[Year]],SUMIFS($W$4:$W475,$S$4:$S475,eRRSP_Tx_Table[[#This Row],[Year]],$W$4:$W475,"&lt;0"),"")</f>
        <v/>
      </c>
      <c r="AA475" s="3">
        <f>(SUMIF($U$4:$U475,CONCATENATE("Buy",$C475),$N$4:$N475)+SUMIF($U$4:$U475,CONCATENATE("ReinvDiv",$C475),$N$4:$N475))</f>
        <v>-8619.6899999999987</v>
      </c>
      <c r="AB475" s="3">
        <f>(SUMIF($U$4:$U475,CONCATENATE("Buy",$C475),$F$4:$F475)+SUMIF($U$4:$U475,CONCATENATE("ReinvDiv",$C475),$F$4:$F475)+SUMIF($U$4:$U475,CONCATENATE("StkSplit",$C475),$F$4:$F475)-SUMIF($U$4:$U475,CONCATENATE("Sell",$C475),$F$4:$F475))</f>
        <v>1154</v>
      </c>
      <c r="AC475" s="3">
        <f>IF(B475="Sell",F475*INDEX(V:V,LOOKUP(2,1/(X$4:X474=CONCATENATE(C475,"_ACB")),ROW(V$4:V474))),0)</f>
        <v>0</v>
      </c>
    </row>
    <row r="476" spans="1:29" x14ac:dyDescent="0.25">
      <c r="A476" s="20">
        <v>39432</v>
      </c>
      <c r="B476" t="s">
        <v>43</v>
      </c>
      <c r="C476" t="s">
        <v>36</v>
      </c>
      <c r="D476" s="3">
        <v>46.92</v>
      </c>
      <c r="M476" s="21">
        <f t="shared" si="64"/>
        <v>46.92</v>
      </c>
      <c r="N476" s="8">
        <f t="shared" si="62"/>
        <v>46.92</v>
      </c>
      <c r="O476" s="25">
        <f>O475+IF(OR(B476="Cash",B476="Buy",B476="Sell",B476="Div",B476="Rebate",B476="Fees",B476="IntInc",B476="Tax",B476="Distr"),N476,0)</f>
        <v>34545.270000000004</v>
      </c>
      <c r="P476" s="8">
        <f t="shared" si="65"/>
        <v>0</v>
      </c>
      <c r="Q476" s="4">
        <f>IF(AND(S476&gt;=[1]eRRSP_Rpt!$C$6,S476&lt;=[1]eRRSP_Rpt!$C$7),1,0)</f>
        <v>0</v>
      </c>
      <c r="R476" s="4"/>
      <c r="S476" s="4">
        <f t="shared" si="63"/>
        <v>2007</v>
      </c>
      <c r="T476" s="4"/>
      <c r="U476" s="4" t="str">
        <f t="shared" si="66"/>
        <v>IntIncTDW</v>
      </c>
      <c r="V476" s="23">
        <f>IFERROR(IF(AND(AB476&gt;0,B476&lt;&gt;"Sell"),(AA476-SUMIF(C$4:C475,C476,AC$4:AC476))/AB476,0),"")</f>
        <v>0</v>
      </c>
      <c r="W476" s="24" t="str">
        <f t="shared" si="61"/>
        <v/>
      </c>
      <c r="X476" s="25" t="str">
        <f t="shared" si="60"/>
        <v/>
      </c>
      <c r="Y476" s="10" t="str">
        <f>IF(S477&lt;&gt;eRRSP_Tx_Table[[#This Row],[Year]],SUMIFS($W$4:$W476,$S$4:$S476,eRRSP_Tx_Table[[#This Row],[Year]],$W$4:$W476,"&gt;0"),"")</f>
        <v/>
      </c>
      <c r="Z476" s="10" t="str">
        <f>IF(S477&lt;&gt;eRRSP_Tx_Table[[#This Row],[Year]],SUMIFS($W$4:$W476,$S$4:$S476,eRRSP_Tx_Table[[#This Row],[Year]],$W$4:$W476,"&lt;0"),"")</f>
        <v/>
      </c>
      <c r="AA476" s="3">
        <f>(SUMIF($U$4:$U476,CONCATENATE("Buy",$C476),$N$4:$N476)+SUMIF($U$4:$U476,CONCATENATE("ReinvDiv",$C476),$N$4:$N476))</f>
        <v>0</v>
      </c>
      <c r="AB476" s="3">
        <f>(SUMIF($U$4:$U476,CONCATENATE("Buy",$C476),$F$4:$F476)+SUMIF($U$4:$U476,CONCATENATE("ReinvDiv",$C476),$F$4:$F476)+SUMIF($U$4:$U476,CONCATENATE("StkSplit",$C476),$F$4:$F476)-SUMIF($U$4:$U476,CONCATENATE("Sell",$C476),$F$4:$F476))</f>
        <v>0</v>
      </c>
      <c r="AC476" s="3">
        <f>IF(B476="Sell",F476*INDEX(V:V,LOOKUP(2,1/(X$4:X475=CONCATENATE(C476,"_ACB")),ROW(V$4:V475))),0)</f>
        <v>0</v>
      </c>
    </row>
    <row r="477" spans="1:29" x14ac:dyDescent="0.25">
      <c r="A477" s="20">
        <v>39436</v>
      </c>
      <c r="B477" t="s">
        <v>41</v>
      </c>
      <c r="C477" t="s">
        <v>62</v>
      </c>
      <c r="D477" s="3">
        <v>150.69999999999999</v>
      </c>
      <c r="E477">
        <v>10.2239</v>
      </c>
      <c r="F477" s="3">
        <v>14.74</v>
      </c>
      <c r="M477" s="21">
        <f t="shared" si="64"/>
        <v>150.69999999999999</v>
      </c>
      <c r="N477" s="8">
        <f t="shared" si="62"/>
        <v>-150.69999999999999</v>
      </c>
      <c r="O477" s="25">
        <f>O476+IF(OR(B477="Cash",B477="Buy",B477="Sell",B477="Div",B477="Rebate",B477="Fees",B477="IntInc",B477="Tax",B477="Distr"),N477,0)</f>
        <v>34545.270000000004</v>
      </c>
      <c r="P477" s="8">
        <f t="shared" si="65"/>
        <v>0</v>
      </c>
      <c r="Q477" s="4">
        <f>IF(AND(S477&gt;=[1]eRRSP_Rpt!$C$6,S477&lt;=[1]eRRSP_Rpt!$C$7),1,0)</f>
        <v>0</v>
      </c>
      <c r="R477" s="4"/>
      <c r="S477" s="4">
        <f t="shared" si="63"/>
        <v>2007</v>
      </c>
      <c r="T477" s="4"/>
      <c r="U477" s="4" t="str">
        <f t="shared" si="66"/>
        <v>ReinvDivTD RR Bond</v>
      </c>
      <c r="V477" s="23">
        <f>IFERROR(IF(AND(AB477&gt;0,B477&lt;&gt;"Sell"),(AA477-SUMIF(C$4:C476,C477,AC$4:AC477))/AB477,0),"")</f>
        <v>-14.212513541403833</v>
      </c>
      <c r="W477" s="24" t="str">
        <f t="shared" si="61"/>
        <v/>
      </c>
      <c r="X477" s="25" t="str">
        <f t="shared" si="60"/>
        <v>TD RR Bond_ACB</v>
      </c>
      <c r="Y477" s="10" t="str">
        <f>IF(S478&lt;&gt;eRRSP_Tx_Table[[#This Row],[Year]],SUMIFS($W$4:$W477,$S$4:$S477,eRRSP_Tx_Table[[#This Row],[Year]],$W$4:$W477,"&gt;0"),"")</f>
        <v/>
      </c>
      <c r="Z477" s="10" t="str">
        <f>IF(S478&lt;&gt;eRRSP_Tx_Table[[#This Row],[Year]],SUMIFS($W$4:$W477,$S$4:$S477,eRRSP_Tx_Table[[#This Row],[Year]],$W$4:$W477,"&lt;0"),"")</f>
        <v/>
      </c>
      <c r="AA477" s="3">
        <f>(SUMIF($U$4:$U477,CONCATENATE("Buy",$C477),$N$4:$N477)+SUMIF($U$4:$U477,CONCATENATE("ReinvDiv",$C477),$N$4:$N477))</f>
        <v>-9406.68</v>
      </c>
      <c r="AB477" s="3">
        <f>(SUMIF($U$4:$U477,CONCATENATE("Buy",$C477),$F$4:$F477)+SUMIF($U$4:$U477,CONCATENATE("ReinvDiv",$C477),$F$4:$F477)+SUMIF($U$4:$U477,CONCATENATE("StkSplit",$C477),$F$4:$F477)-SUMIF($U$4:$U477,CONCATENATE("Sell",$C477),$F$4:$F477))</f>
        <v>661.85900000000004</v>
      </c>
      <c r="AC477" s="3">
        <f>IF(B477="Sell",F477*INDEX(V:V,LOOKUP(2,1/(X$4:X476=CONCATENATE(C477,"_ACB")),ROW(V$4:V476))),0)</f>
        <v>0</v>
      </c>
    </row>
    <row r="478" spans="1:29" x14ac:dyDescent="0.25">
      <c r="A478" s="20">
        <v>39443</v>
      </c>
      <c r="B478" t="s">
        <v>42</v>
      </c>
      <c r="C478" t="s">
        <v>90</v>
      </c>
      <c r="D478" s="3">
        <v>23.03</v>
      </c>
      <c r="M478" s="21">
        <f t="shared" si="64"/>
        <v>23.03</v>
      </c>
      <c r="N478" s="8">
        <f t="shared" si="62"/>
        <v>23.03</v>
      </c>
      <c r="O478" s="25">
        <f>O477+IF(OR(B478="Cash",B478="Buy",B478="Sell",B478="Div",B478="Rebate",B478="Fees",B478="IntInc",B478="Tax",B478="Distr"),N478,0)</f>
        <v>34568.300000000003</v>
      </c>
      <c r="P478" s="8">
        <f t="shared" si="65"/>
        <v>0</v>
      </c>
      <c r="Q478" s="4">
        <f>IF(AND(S478&gt;=[1]eRRSP_Rpt!$C$6,S478&lt;=[1]eRRSP_Rpt!$C$7),1,0)</f>
        <v>0</v>
      </c>
      <c r="R478" s="4"/>
      <c r="S478" s="4">
        <f t="shared" si="63"/>
        <v>2007</v>
      </c>
      <c r="T478" s="4"/>
      <c r="U478" s="4" t="str">
        <f t="shared" si="66"/>
        <v>DivVanguard Large Cap ETF</v>
      </c>
      <c r="V478" s="23">
        <f>IFERROR(IF(AND(AB478&gt;0,B478&lt;&gt;"Sell"),(AA478-SUMIF(C$4:C477,C478,AC$4:AC478))/AB478,0),"")</f>
        <v>-74.401142857142858</v>
      </c>
      <c r="W478" s="24" t="str">
        <f t="shared" si="61"/>
        <v/>
      </c>
      <c r="X478" s="25" t="str">
        <f t="shared" si="60"/>
        <v>Vanguard Large Cap ETF_ACB</v>
      </c>
      <c r="Y478" s="10" t="str">
        <f>IF(S479&lt;&gt;eRRSP_Tx_Table[[#This Row],[Year]],SUMIFS($W$4:$W478,$S$4:$S478,eRRSP_Tx_Table[[#This Row],[Year]],$W$4:$W478,"&gt;0"),"")</f>
        <v/>
      </c>
      <c r="Z478" s="10" t="str">
        <f>IF(S479&lt;&gt;eRRSP_Tx_Table[[#This Row],[Year]],SUMIFS($W$4:$W478,$S$4:$S478,eRRSP_Tx_Table[[#This Row],[Year]],$W$4:$W478,"&lt;0"),"")</f>
        <v/>
      </c>
      <c r="AA478" s="3">
        <f>(SUMIF($U$4:$U478,CONCATENATE("Buy",$C478),$N$4:$N478)+SUMIF($U$4:$U478,CONCATENATE("ReinvDiv",$C478),$N$4:$N478))</f>
        <v>-5208.08</v>
      </c>
      <c r="AB478" s="3">
        <f>(SUMIF($U$4:$U478,CONCATENATE("Buy",$C478),$F$4:$F478)+SUMIF($U$4:$U478,CONCATENATE("ReinvDiv",$C478),$F$4:$F478)+SUMIF($U$4:$U478,CONCATENATE("StkSplit",$C478),$F$4:$F478)-SUMIF($U$4:$U478,CONCATENATE("Sell",$C478),$F$4:$F478))</f>
        <v>70</v>
      </c>
      <c r="AC478" s="3">
        <f>IF(B478="Sell",F478*INDEX(V:V,LOOKUP(2,1/(X$4:X477=CONCATENATE(C478,"_ACB")),ROW(V$4:V477))),0)</f>
        <v>0</v>
      </c>
    </row>
    <row r="479" spans="1:29" ht="13.5" customHeight="1" x14ac:dyDescent="0.25">
      <c r="A479" s="32">
        <f>A410+364</f>
        <v>39447</v>
      </c>
      <c r="B479" s="33"/>
      <c r="C479" s="33"/>
      <c r="D479" s="34"/>
      <c r="E479" s="33"/>
      <c r="F479" s="34"/>
      <c r="G479" s="33"/>
      <c r="H479" s="33"/>
      <c r="I479" s="33"/>
      <c r="J479" s="33"/>
      <c r="K479" s="33"/>
      <c r="L479" s="33"/>
      <c r="M479" s="35"/>
      <c r="N479" s="8">
        <f t="shared" si="62"/>
        <v>0</v>
      </c>
      <c r="O479" s="36"/>
      <c r="P479" s="37">
        <v>-101863.24</v>
      </c>
      <c r="Q479" s="4">
        <f>IF(AND(S479&gt;=[1]eRRSP_Rpt!$C$6,S479&lt;=[1]eRRSP_Rpt!$C$7),1,0)</f>
        <v>0</v>
      </c>
      <c r="R479" s="4" t="s">
        <v>34</v>
      </c>
      <c r="S479" s="4">
        <f>YEAR(A479)</f>
        <v>2007</v>
      </c>
      <c r="T479" s="22"/>
      <c r="U479" s="4"/>
      <c r="V479" s="23">
        <f>IFERROR(IF(AND(AB479&gt;0,B479&lt;&gt;"Sell"),(AA479-SUMIF(C$4:C478,C479,AC$4:AC479))/AB479,0),"")</f>
        <v>0</v>
      </c>
      <c r="W479" s="24" t="str">
        <f t="shared" si="61"/>
        <v/>
      </c>
      <c r="X479" s="25" t="str">
        <f t="shared" si="60"/>
        <v/>
      </c>
      <c r="Y479" s="10">
        <f>IF(S480&lt;&gt;eRRSP_Tx_Table[[#This Row],[Year]],SUMIFS($W$4:$W479,$S$4:$S479,eRRSP_Tx_Table[[#This Row],[Year]],$W$4:$W479,"&gt;0"),"")</f>
        <v>5760.9619829223448</v>
      </c>
      <c r="Z479" s="10">
        <f>IF(S480&lt;&gt;eRRSP_Tx_Table[[#This Row],[Year]],SUMIFS($W$4:$W479,$S$4:$S479,eRRSP_Tx_Table[[#This Row],[Year]],$W$4:$W479,"&lt;0"),"")</f>
        <v>0</v>
      </c>
      <c r="AA479" s="3">
        <f>(SUMIF($U$4:$U479,CONCATENATE("Buy",$C479),$N$4:$N479)+SUMIF($U$4:$U479,CONCATENATE("ReinvDiv",$C479),$N$4:$N479))</f>
        <v>0</v>
      </c>
      <c r="AB479" s="3">
        <f>(SUMIF($U$4:$U479,CONCATENATE("Buy",$C479),$F$4:$F479)+SUMIF($U$4:$U479,CONCATENATE("ReinvDiv",$C479),$F$4:$F479)+SUMIF($U$4:$U479,CONCATENATE("StkSplit",$C479),$F$4:$F479)-SUMIF($U$4:$U479,CONCATENATE("Sell",$C479),$F$4:$F479))</f>
        <v>0</v>
      </c>
      <c r="AC479" s="3">
        <f>IF(B479="Sell",F479*INDEX(V:V,LOOKUP(2,1/(X$4:X478=CONCATENATE(C479,"_ACB")),ROW(V$4:V478))),0)</f>
        <v>0</v>
      </c>
    </row>
    <row r="480" spans="1:29" ht="13.5" customHeight="1" x14ac:dyDescent="0.25">
      <c r="A480" s="32">
        <f>A479+1</f>
        <v>39448</v>
      </c>
      <c r="B480" s="33"/>
      <c r="C480" s="33"/>
      <c r="D480" s="34"/>
      <c r="E480" s="33"/>
      <c r="F480" s="34"/>
      <c r="G480" s="33"/>
      <c r="H480" s="33"/>
      <c r="I480" s="33"/>
      <c r="J480" s="33"/>
      <c r="K480" s="33"/>
      <c r="L480" s="33"/>
      <c r="M480" s="35"/>
      <c r="N480" s="8">
        <f t="shared" si="62"/>
        <v>0</v>
      </c>
      <c r="O480" s="36"/>
      <c r="P480" s="37">
        <f>-P479</f>
        <v>101863.24</v>
      </c>
      <c r="Q480" s="4">
        <f>IF(AND(S480&gt;=[1]eRRSP_Rpt!$C$6,S480&lt;=[1]eRRSP_Rpt!$C$7),1,0)</f>
        <v>1</v>
      </c>
      <c r="R480" s="4" t="s">
        <v>34</v>
      </c>
      <c r="S480" s="4">
        <f>YEAR(A480)</f>
        <v>2008</v>
      </c>
      <c r="T480" s="22"/>
      <c r="U480" s="4"/>
      <c r="V480" s="23">
        <f>IFERROR(IF(AND(AB480&gt;0,B480&lt;&gt;"Sell"),(AA480-SUMIF(C$4:C479,C480,AC$4:AC480))/AB480,0),"")</f>
        <v>0</v>
      </c>
      <c r="W480" s="24" t="str">
        <f t="shared" si="61"/>
        <v/>
      </c>
      <c r="X480" s="25" t="str">
        <f t="shared" si="60"/>
        <v/>
      </c>
      <c r="Y480" s="10" t="str">
        <f>IF(S481&lt;&gt;eRRSP_Tx_Table[[#This Row],[Year]],SUMIFS($W$4:$W480,$S$4:$S480,eRRSP_Tx_Table[[#This Row],[Year]],$W$4:$W480,"&gt;0"),"")</f>
        <v/>
      </c>
      <c r="Z480" s="10" t="str">
        <f>IF(S481&lt;&gt;eRRSP_Tx_Table[[#This Row],[Year]],SUMIFS($W$4:$W480,$S$4:$S480,eRRSP_Tx_Table[[#This Row],[Year]],$W$4:$W480,"&lt;0"),"")</f>
        <v/>
      </c>
      <c r="AA480" s="3">
        <f>(SUMIF($U$4:$U480,CONCATENATE("Buy",$C480),$N$4:$N480)+SUMIF($U$4:$U480,CONCATENATE("ReinvDiv",$C480),$N$4:$N480))</f>
        <v>0</v>
      </c>
      <c r="AB480" s="3">
        <f>(SUMIF($U$4:$U480,CONCATENATE("Buy",$C480),$F$4:$F480)+SUMIF($U$4:$U480,CONCATENATE("ReinvDiv",$C480),$F$4:$F480)+SUMIF($U$4:$U480,CONCATENATE("StkSplit",$C480),$F$4:$F480)-SUMIF($U$4:$U480,CONCATENATE("Sell",$C480),$F$4:$F480))</f>
        <v>0</v>
      </c>
      <c r="AC480" s="3">
        <f>IF(B480="Sell",F480*INDEX(V:V,LOOKUP(2,1/(X$4:X479=CONCATENATE(C480,"_ACB")),ROW(V$4:V479))),0)</f>
        <v>0</v>
      </c>
    </row>
    <row r="481" spans="1:29" x14ac:dyDescent="0.25">
      <c r="A481" s="20">
        <v>39450</v>
      </c>
      <c r="B481" t="s">
        <v>42</v>
      </c>
      <c r="C481" t="s">
        <v>83</v>
      </c>
      <c r="D481" s="3">
        <v>134.4</v>
      </c>
      <c r="M481" s="21">
        <f t="shared" si="64"/>
        <v>134.4</v>
      </c>
      <c r="N481" s="8">
        <f t="shared" si="62"/>
        <v>134.4</v>
      </c>
      <c r="O481" s="25">
        <f>O478+IF(OR(B481="Cash",B481="Buy",B481="Sell",B481="Div",B481="Rebate",B481="Fees",B481="IntInc",B481="Tax",B481="Distr"),N481,0)</f>
        <v>34702.700000000004</v>
      </c>
      <c r="P481" s="8">
        <f t="shared" si="65"/>
        <v>0</v>
      </c>
      <c r="Q481" s="4">
        <f>IF(AND(S481&gt;=[1]eRRSP_Rpt!$C$6,S481&lt;=[1]eRRSP_Rpt!$C$7),1,0)</f>
        <v>1</v>
      </c>
      <c r="R481" s="4"/>
      <c r="S481" s="4">
        <f t="shared" si="63"/>
        <v>2008</v>
      </c>
      <c r="T481" s="4"/>
      <c r="U481" s="4" t="str">
        <f t="shared" si="66"/>
        <v>DiviShares MSCI South Africa (US$)</v>
      </c>
      <c r="V481" s="23">
        <f>IFERROR(IF(AND(AB481&gt;0,B481&lt;&gt;"Sell"),(AA481-SUMIF(C$4:C480,C481,AC$4:AC481))/AB481,0),"")</f>
        <v>-133.39884615384614</v>
      </c>
      <c r="W481" s="24" t="str">
        <f t="shared" si="61"/>
        <v/>
      </c>
      <c r="X481" s="25" t="str">
        <f t="shared" si="60"/>
        <v>iShares MSCI South Africa (US$)_ACB</v>
      </c>
      <c r="Y481" s="10" t="str">
        <f>IF(S482&lt;&gt;eRRSP_Tx_Table[[#This Row],[Year]],SUMIFS($W$4:$W481,$S$4:$S481,eRRSP_Tx_Table[[#This Row],[Year]],$W$4:$W481,"&gt;0"),"")</f>
        <v/>
      </c>
      <c r="Z481" s="10" t="str">
        <f>IF(S482&lt;&gt;eRRSP_Tx_Table[[#This Row],[Year]],SUMIFS($W$4:$W481,$S$4:$S481,eRRSP_Tx_Table[[#This Row],[Year]],$W$4:$W481,"&lt;0"),"")</f>
        <v/>
      </c>
      <c r="AA481" s="3">
        <f>(SUMIF($U$4:$U481,CONCATENATE("Buy",$C481),$N$4:$N481)+SUMIF($U$4:$U481,CONCATENATE("ReinvDiv",$C481),$N$4:$N481))</f>
        <v>-6936.74</v>
      </c>
      <c r="AB481" s="3">
        <f>(SUMIF($U$4:$U481,CONCATENATE("Buy",$C481),$F$4:$F481)+SUMIF($U$4:$U481,CONCATENATE("ReinvDiv",$C481),$F$4:$F481)+SUMIF($U$4:$U481,CONCATENATE("StkSplit",$C481),$F$4:$F481)-SUMIF($U$4:$U481,CONCATENATE("Sell",$C481),$F$4:$F481))</f>
        <v>52</v>
      </c>
      <c r="AC481" s="3">
        <f>IF(B481="Sell",F481*INDEX(V:V,LOOKUP(2,1/(X$4:X480=CONCATENATE(C481,"_ACB")),ROW(V$4:V480))),0)</f>
        <v>0</v>
      </c>
    </row>
    <row r="482" spans="1:29" x14ac:dyDescent="0.25">
      <c r="A482" s="20">
        <v>39450</v>
      </c>
      <c r="B482" t="s">
        <v>42</v>
      </c>
      <c r="C482" t="s">
        <v>86</v>
      </c>
      <c r="D482" s="3">
        <v>16.010000000000002</v>
      </c>
      <c r="M482" s="21">
        <f t="shared" si="64"/>
        <v>16.010000000000002</v>
      </c>
      <c r="N482" s="8">
        <f t="shared" si="62"/>
        <v>16.010000000000002</v>
      </c>
      <c r="O482" s="25">
        <f t="shared" ref="O482:O545" si="67">O481+IF(OR(B482="Cash",B482="Buy",B482="Sell",B482="Div",B482="Rebate",B482="Fees",B482="IntInc",B482="Tax",B482="Distr"),N482,0)</f>
        <v>34718.710000000006</v>
      </c>
      <c r="P482" s="8">
        <f t="shared" si="65"/>
        <v>0</v>
      </c>
      <c r="Q482" s="4">
        <f>IF(AND(S482&gt;=[1]eRRSP_Rpt!$C$6,S482&lt;=[1]eRRSP_Rpt!$C$7),1,0)</f>
        <v>1</v>
      </c>
      <c r="R482" s="4"/>
      <c r="S482" s="4">
        <f t="shared" si="63"/>
        <v>2008</v>
      </c>
      <c r="T482" s="4"/>
      <c r="U482" s="4" t="str">
        <f t="shared" si="66"/>
        <v>DiviShares S&amp;P SmallCap</v>
      </c>
      <c r="V482" s="23">
        <f>IFERROR(IF(AND(AB482&gt;0,B482&lt;&gt;"Sell"),(AA482-SUMIF(C$4:C481,C482,AC$4:AC482))/AB482,0),"")</f>
        <v>-70.414404761904763</v>
      </c>
      <c r="W482" s="24" t="str">
        <f t="shared" si="61"/>
        <v/>
      </c>
      <c r="X482" s="25" t="str">
        <f t="shared" si="60"/>
        <v>iShares S&amp;P SmallCap_ACB</v>
      </c>
      <c r="Y482" s="10" t="str">
        <f>IF(S483&lt;&gt;eRRSP_Tx_Table[[#This Row],[Year]],SUMIFS($W$4:$W482,$S$4:$S482,eRRSP_Tx_Table[[#This Row],[Year]],$W$4:$W482,"&gt;0"),"")</f>
        <v/>
      </c>
      <c r="Z482" s="10" t="str">
        <f>IF(S483&lt;&gt;eRRSP_Tx_Table[[#This Row],[Year]],SUMIFS($W$4:$W482,$S$4:$S482,eRRSP_Tx_Table[[#This Row],[Year]],$W$4:$W482,"&lt;0"),"")</f>
        <v/>
      </c>
      <c r="AA482" s="3">
        <f>(SUMIF($U$4:$U482,CONCATENATE("Buy",$C482),$N$4:$N482)+SUMIF($U$4:$U482,CONCATENATE("ReinvDiv",$C482),$N$4:$N482))</f>
        <v>-5914.81</v>
      </c>
      <c r="AB482" s="3">
        <f>(SUMIF($U$4:$U482,CONCATENATE("Buy",$C482),$F$4:$F482)+SUMIF($U$4:$U482,CONCATENATE("ReinvDiv",$C482),$F$4:$F482)+SUMIF($U$4:$U482,CONCATENATE("StkSplit",$C482),$F$4:$F482)-SUMIF($U$4:$U482,CONCATENATE("Sell",$C482),$F$4:$F482))</f>
        <v>84</v>
      </c>
      <c r="AC482" s="3">
        <f>IF(B482="Sell",F482*INDEX(V:V,LOOKUP(2,1/(X$4:X481=CONCATENATE(C482,"_ACB")),ROW(V$4:V481))),0)</f>
        <v>0</v>
      </c>
    </row>
    <row r="483" spans="1:29" x14ac:dyDescent="0.25">
      <c r="A483" s="20">
        <v>39450</v>
      </c>
      <c r="B483" t="s">
        <v>42</v>
      </c>
      <c r="C483" t="s">
        <v>88</v>
      </c>
      <c r="D483" s="3">
        <v>24.09</v>
      </c>
      <c r="M483" s="21">
        <f t="shared" si="64"/>
        <v>24.09</v>
      </c>
      <c r="N483" s="8">
        <f t="shared" si="62"/>
        <v>24.09</v>
      </c>
      <c r="O483" s="25">
        <f t="shared" si="67"/>
        <v>34742.800000000003</v>
      </c>
      <c r="P483" s="8">
        <f t="shared" si="65"/>
        <v>0</v>
      </c>
      <c r="Q483" s="4">
        <f>IF(AND(S483&gt;=[1]eRRSP_Rpt!$C$6,S483&lt;=[1]eRRSP_Rpt!$C$7),1,0)</f>
        <v>1</v>
      </c>
      <c r="R483" s="4"/>
      <c r="S483" s="4">
        <f t="shared" si="63"/>
        <v>2008</v>
      </c>
      <c r="T483" s="4"/>
      <c r="U483" s="4" t="str">
        <f t="shared" si="66"/>
        <v>DiviShares IBOXX (US$)</v>
      </c>
      <c r="V483" s="23">
        <f>IFERROR(IF(AND(AB483&gt;0,B483&lt;&gt;"Sell"),(AA483-SUMIF(C$4:C482,C483,AC$4:AC483))/AB483,0),"")</f>
        <v>-127.70865384615385</v>
      </c>
      <c r="W483" s="24" t="str">
        <f t="shared" si="61"/>
        <v/>
      </c>
      <c r="X483" s="25" t="str">
        <f t="shared" si="60"/>
        <v>iShares IBOXX (US$)_ACB</v>
      </c>
      <c r="Y483" s="10" t="str">
        <f>IF(S484&lt;&gt;eRRSP_Tx_Table[[#This Row],[Year]],SUMIFS($W$4:$W483,$S$4:$S483,eRRSP_Tx_Table[[#This Row],[Year]],$W$4:$W483,"&gt;0"),"")</f>
        <v/>
      </c>
      <c r="Z483" s="10" t="str">
        <f>IF(S484&lt;&gt;eRRSP_Tx_Table[[#This Row],[Year]],SUMIFS($W$4:$W483,$S$4:$S483,eRRSP_Tx_Table[[#This Row],[Year]],$W$4:$W483,"&lt;0"),"")</f>
        <v/>
      </c>
      <c r="AA483" s="3">
        <f>(SUMIF($U$4:$U483,CONCATENATE("Buy",$C483),$N$4:$N483)+SUMIF($U$4:$U483,CONCATENATE("ReinvDiv",$C483),$N$4:$N483))</f>
        <v>-6640.85</v>
      </c>
      <c r="AB483" s="3">
        <f>(SUMIF($U$4:$U483,CONCATENATE("Buy",$C483),$F$4:$F483)+SUMIF($U$4:$U483,CONCATENATE("ReinvDiv",$C483),$F$4:$F483)+SUMIF($U$4:$U483,CONCATENATE("StkSplit",$C483),$F$4:$F483)-SUMIF($U$4:$U483,CONCATENATE("Sell",$C483),$F$4:$F483))</f>
        <v>52</v>
      </c>
      <c r="AC483" s="3">
        <f>IF(B483="Sell",F483*INDEX(V:V,LOOKUP(2,1/(X$4:X482=CONCATENATE(C483,"_ACB")),ROW(V$4:V482))),0)</f>
        <v>0</v>
      </c>
    </row>
    <row r="484" spans="1:29" x14ac:dyDescent="0.25">
      <c r="A484" s="20">
        <v>39451</v>
      </c>
      <c r="B484" t="s">
        <v>42</v>
      </c>
      <c r="C484" t="s">
        <v>81</v>
      </c>
      <c r="D484" s="3">
        <v>57.56</v>
      </c>
      <c r="M484" s="21">
        <f t="shared" si="64"/>
        <v>57.56</v>
      </c>
      <c r="N484" s="8">
        <f t="shared" si="62"/>
        <v>57.56</v>
      </c>
      <c r="O484" s="25">
        <f t="shared" si="67"/>
        <v>34800.36</v>
      </c>
      <c r="P484" s="8">
        <f t="shared" si="65"/>
        <v>0</v>
      </c>
      <c r="Q484" s="4">
        <f>IF(AND(S484&gt;=[1]eRRSP_Rpt!$C$6,S484&lt;=[1]eRRSP_Rpt!$C$7),1,0)</f>
        <v>1</v>
      </c>
      <c r="R484" s="4"/>
      <c r="S484" s="4">
        <f t="shared" si="63"/>
        <v>2008</v>
      </c>
      <c r="T484" s="4"/>
      <c r="U484" s="4" t="str">
        <f t="shared" si="66"/>
        <v>DiviShares MSCI Japan (US$)</v>
      </c>
      <c r="V484" s="23">
        <f>IFERROR(IF(AND(AB484&gt;0,B484&lt;&gt;"Sell"),(AA484-SUMIF(C$4:C483,C484,AC$4:AC484))/AB484,0),"")</f>
        <v>-16.497404761904761</v>
      </c>
      <c r="W484" s="24" t="str">
        <f t="shared" si="61"/>
        <v/>
      </c>
      <c r="X484" s="25" t="str">
        <f t="shared" si="60"/>
        <v>iShares MSCI Japan (US$)_ACB</v>
      </c>
      <c r="Y484" s="10" t="str">
        <f>IF(S485&lt;&gt;eRRSP_Tx_Table[[#This Row],[Year]],SUMIFS($W$4:$W484,$S$4:$S484,eRRSP_Tx_Table[[#This Row],[Year]],$W$4:$W484,"&gt;0"),"")</f>
        <v/>
      </c>
      <c r="Z484" s="10" t="str">
        <f>IF(S485&lt;&gt;eRRSP_Tx_Table[[#This Row],[Year]],SUMIFS($W$4:$W484,$S$4:$S484,eRRSP_Tx_Table[[#This Row],[Year]],$W$4:$W484,"&lt;0"),"")</f>
        <v/>
      </c>
      <c r="AA484" s="3">
        <f>(SUMIF($U$4:$U484,CONCATENATE("Buy",$C484),$N$4:$N484)+SUMIF($U$4:$U484,CONCATENATE("ReinvDiv",$C484),$N$4:$N484))</f>
        <v>-6928.91</v>
      </c>
      <c r="AB484" s="3">
        <f>(SUMIF($U$4:$U484,CONCATENATE("Buy",$C484),$F$4:$F484)+SUMIF($U$4:$U484,CONCATENATE("ReinvDiv",$C484),$F$4:$F484)+SUMIF($U$4:$U484,CONCATENATE("StkSplit",$C484),$F$4:$F484)-SUMIF($U$4:$U484,CONCATENATE("Sell",$C484),$F$4:$F484))</f>
        <v>420</v>
      </c>
      <c r="AC484" s="3">
        <f>IF(B484="Sell",F484*INDEX(V:V,LOOKUP(2,1/(X$4:X483=CONCATENATE(C484,"_ACB")),ROW(V$4:V483))),0)</f>
        <v>0</v>
      </c>
    </row>
    <row r="485" spans="1:29" x14ac:dyDescent="0.25">
      <c r="A485" s="20">
        <v>39451</v>
      </c>
      <c r="B485" t="s">
        <v>42</v>
      </c>
      <c r="C485" t="s">
        <v>89</v>
      </c>
      <c r="D485" s="3">
        <v>69.33</v>
      </c>
      <c r="M485" s="21">
        <f t="shared" si="64"/>
        <v>69.33</v>
      </c>
      <c r="N485" s="8">
        <f t="shared" si="62"/>
        <v>69.33</v>
      </c>
      <c r="O485" s="25">
        <f t="shared" si="67"/>
        <v>34869.69</v>
      </c>
      <c r="P485" s="8">
        <f t="shared" si="65"/>
        <v>0</v>
      </c>
      <c r="Q485" s="4">
        <f>IF(AND(S485&gt;=[1]eRRSP_Rpt!$C$6,S485&lt;=[1]eRRSP_Rpt!$C$7),1,0)</f>
        <v>1</v>
      </c>
      <c r="R485" s="4"/>
      <c r="S485" s="4">
        <f t="shared" si="63"/>
        <v>2008</v>
      </c>
      <c r="T485" s="4"/>
      <c r="U485" s="4" t="str">
        <f t="shared" si="66"/>
        <v>DiviShares MSCI EAFE (US$)</v>
      </c>
      <c r="V485" s="23">
        <f>IFERROR(IF(AND(AB485&gt;0,B485&lt;&gt;"Sell"),(AA485-SUMIF(C$4:C484,C485,AC$4:AC485))/AB485,0),"")</f>
        <v>-88.693428571428583</v>
      </c>
      <c r="W485" s="24" t="str">
        <f t="shared" si="61"/>
        <v/>
      </c>
      <c r="X485" s="25" t="str">
        <f t="shared" si="60"/>
        <v>iShares MSCI EAFE (US$)_ACB</v>
      </c>
      <c r="Y485" s="10" t="str">
        <f>IF(S486&lt;&gt;eRRSP_Tx_Table[[#This Row],[Year]],SUMIFS($W$4:$W485,$S$4:$S485,eRRSP_Tx_Table[[#This Row],[Year]],$W$4:$W485,"&gt;0"),"")</f>
        <v/>
      </c>
      <c r="Z485" s="10" t="str">
        <f>IF(S486&lt;&gt;eRRSP_Tx_Table[[#This Row],[Year]],SUMIFS($W$4:$W485,$S$4:$S485,eRRSP_Tx_Table[[#This Row],[Year]],$W$4:$W485,"&lt;0"),"")</f>
        <v/>
      </c>
      <c r="AA485" s="3">
        <f>(SUMIF($U$4:$U485,CONCATENATE("Buy",$C485),$N$4:$N485)+SUMIF($U$4:$U485,CONCATENATE("ReinvDiv",$C485),$N$4:$N485))</f>
        <v>-3104.2700000000004</v>
      </c>
      <c r="AB485" s="3">
        <f>(SUMIF($U$4:$U485,CONCATENATE("Buy",$C485),$F$4:$F485)+SUMIF($U$4:$U485,CONCATENATE("ReinvDiv",$C485),$F$4:$F485)+SUMIF($U$4:$U485,CONCATENATE("StkSplit",$C485),$F$4:$F485)-SUMIF($U$4:$U485,CONCATENATE("Sell",$C485),$F$4:$F485))</f>
        <v>35</v>
      </c>
      <c r="AC485" s="3">
        <f>IF(B485="Sell",F485*INDEX(V:V,LOOKUP(2,1/(X$4:X484=CONCATENATE(C485,"_ACB")),ROW(V$4:V484))),0)</f>
        <v>0</v>
      </c>
    </row>
    <row r="486" spans="1:29" x14ac:dyDescent="0.25">
      <c r="A486" s="20">
        <v>39451</v>
      </c>
      <c r="B486" t="s">
        <v>42</v>
      </c>
      <c r="C486" t="s">
        <v>84</v>
      </c>
      <c r="D486" s="3">
        <v>121.02</v>
      </c>
      <c r="M486" s="21">
        <f t="shared" si="64"/>
        <v>121.02</v>
      </c>
      <c r="N486" s="8">
        <f t="shared" si="62"/>
        <v>121.02</v>
      </c>
      <c r="O486" s="25">
        <f t="shared" si="67"/>
        <v>34990.71</v>
      </c>
      <c r="P486" s="8">
        <f t="shared" si="65"/>
        <v>0</v>
      </c>
      <c r="Q486" s="4">
        <f>IF(AND(S486&gt;=[1]eRRSP_Rpt!$C$6,S486&lt;=[1]eRRSP_Rpt!$C$7),1,0)</f>
        <v>1</v>
      </c>
      <c r="R486" s="4"/>
      <c r="S486" s="4">
        <f t="shared" si="63"/>
        <v>2008</v>
      </c>
      <c r="T486" s="4"/>
      <c r="U486" s="4" t="str">
        <f t="shared" si="66"/>
        <v>DiviShares S&amp;P Europe 350 (US$)</v>
      </c>
      <c r="V486" s="23">
        <f>IFERROR(IF(AND(AB486&gt;0,B486&lt;&gt;"Sell"),(AA486-SUMIF(C$4:C485,C486,AC$4:AC486))/AB486,0),"")</f>
        <v>-108.53538461538461</v>
      </c>
      <c r="W486" s="24" t="str">
        <f t="shared" si="61"/>
        <v/>
      </c>
      <c r="X486" s="25" t="str">
        <f t="shared" si="60"/>
        <v>iShares S&amp;P Europe 350 (US$)_ACB</v>
      </c>
      <c r="Y486" s="10" t="str">
        <f>IF(S487&lt;&gt;eRRSP_Tx_Table[[#This Row],[Year]],SUMIFS($W$4:$W486,$S$4:$S486,eRRSP_Tx_Table[[#This Row],[Year]],$W$4:$W486,"&gt;0"),"")</f>
        <v/>
      </c>
      <c r="Z486" s="10" t="str">
        <f>IF(S487&lt;&gt;eRRSP_Tx_Table[[#This Row],[Year]],SUMIFS($W$4:$W486,$S$4:$S486,eRRSP_Tx_Table[[#This Row],[Year]],$W$4:$W486,"&lt;0"),"")</f>
        <v/>
      </c>
      <c r="AA486" s="3">
        <f>(SUMIF($U$4:$U486,CONCATENATE("Buy",$C486),$N$4:$N486)+SUMIF($U$4:$U486,CONCATENATE("ReinvDiv",$C486),$N$4:$N486))</f>
        <v>-4232.88</v>
      </c>
      <c r="AB486" s="3">
        <f>(SUMIF($U$4:$U486,CONCATENATE("Buy",$C486),$F$4:$F486)+SUMIF($U$4:$U486,CONCATENATE("ReinvDiv",$C486),$F$4:$F486)+SUMIF($U$4:$U486,CONCATENATE("StkSplit",$C486),$F$4:$F486)-SUMIF($U$4:$U486,CONCATENATE("Sell",$C486),$F$4:$F486))</f>
        <v>39</v>
      </c>
      <c r="AC486" s="3">
        <f>IF(B486="Sell",F486*INDEX(V:V,LOOKUP(2,1/(X$4:X485=CONCATENATE(C486,"_ACB")),ROW(V$4:V485))),0)</f>
        <v>0</v>
      </c>
    </row>
    <row r="487" spans="1:29" x14ac:dyDescent="0.25">
      <c r="A487" s="20">
        <v>39451</v>
      </c>
      <c r="B487" t="s">
        <v>42</v>
      </c>
      <c r="C487" t="s">
        <v>82</v>
      </c>
      <c r="D487" s="3">
        <v>147.84</v>
      </c>
      <c r="M487" s="21">
        <f t="shared" si="64"/>
        <v>147.84</v>
      </c>
      <c r="N487" s="8">
        <f t="shared" si="62"/>
        <v>147.84</v>
      </c>
      <c r="O487" s="25">
        <f t="shared" si="67"/>
        <v>35138.549999999996</v>
      </c>
      <c r="P487" s="8">
        <f t="shared" si="65"/>
        <v>0</v>
      </c>
      <c r="Q487" s="4">
        <f>IF(AND(S487&gt;=[1]eRRSP_Rpt!$C$6,S487&lt;=[1]eRRSP_Rpt!$C$7),1,0)</f>
        <v>1</v>
      </c>
      <c r="R487" s="4"/>
      <c r="S487" s="4">
        <f t="shared" si="63"/>
        <v>2008</v>
      </c>
      <c r="T487" s="4"/>
      <c r="U487" s="4" t="str">
        <f t="shared" si="66"/>
        <v>DiviShares S&amp;P Latin America (US$)</v>
      </c>
      <c r="V487" s="23">
        <f>IFERROR(IF(AND(AB487&gt;0,B487&lt;&gt;"Sell"),(AA487-SUMIF(C$4:C486,C487,AC$4:AC487))/AB487,0),"")</f>
        <v>-162.38837209302326</v>
      </c>
      <c r="W487" s="24" t="str">
        <f t="shared" si="61"/>
        <v/>
      </c>
      <c r="X487" s="25" t="str">
        <f t="shared" si="60"/>
        <v>iShares S&amp;P Latin America (US$)_ACB</v>
      </c>
      <c r="Y487" s="10" t="str">
        <f>IF(S488&lt;&gt;eRRSP_Tx_Table[[#This Row],[Year]],SUMIFS($W$4:$W487,$S$4:$S487,eRRSP_Tx_Table[[#This Row],[Year]],$W$4:$W487,"&gt;0"),"")</f>
        <v/>
      </c>
      <c r="Z487" s="10" t="str">
        <f>IF(S488&lt;&gt;eRRSP_Tx_Table[[#This Row],[Year]],SUMIFS($W$4:$W487,$S$4:$S487,eRRSP_Tx_Table[[#This Row],[Year]],$W$4:$W487,"&lt;0"),"")</f>
        <v/>
      </c>
      <c r="AA487" s="3">
        <f>(SUMIF($U$4:$U487,CONCATENATE("Buy",$C487),$N$4:$N487)+SUMIF($U$4:$U487,CONCATENATE("ReinvDiv",$C487),$N$4:$N487))</f>
        <v>-6982.7</v>
      </c>
      <c r="AB487" s="3">
        <f>(SUMIF($U$4:$U487,CONCATENATE("Buy",$C487),$F$4:$F487)+SUMIF($U$4:$U487,CONCATENATE("ReinvDiv",$C487),$F$4:$F487)+SUMIF($U$4:$U487,CONCATENATE("StkSplit",$C487),$F$4:$F487)-SUMIF($U$4:$U487,CONCATENATE("Sell",$C487),$F$4:$F487))</f>
        <v>43</v>
      </c>
      <c r="AC487" s="3">
        <f>IF(B487="Sell",F487*INDEX(V:V,LOOKUP(2,1/(X$4:X486=CONCATENATE(C487,"_ACB")),ROW(V$4:V486))),0)</f>
        <v>0</v>
      </c>
    </row>
    <row r="488" spans="1:29" x14ac:dyDescent="0.25">
      <c r="A488" s="20">
        <v>39458</v>
      </c>
      <c r="B488" t="s">
        <v>42</v>
      </c>
      <c r="C488" t="s">
        <v>87</v>
      </c>
      <c r="D488" s="3">
        <v>40.81</v>
      </c>
      <c r="M488" s="21">
        <f t="shared" si="64"/>
        <v>40.81</v>
      </c>
      <c r="N488" s="8">
        <f t="shared" si="62"/>
        <v>40.81</v>
      </c>
      <c r="O488" s="25">
        <f t="shared" si="67"/>
        <v>35179.359999999993</v>
      </c>
      <c r="P488" s="8">
        <f t="shared" si="65"/>
        <v>0</v>
      </c>
      <c r="Q488" s="4">
        <f>IF(AND(S488&gt;=[1]eRRSP_Rpt!$C$6,S488&lt;=[1]eRRSP_Rpt!$C$7),1,0)</f>
        <v>1</v>
      </c>
      <c r="R488" s="4"/>
      <c r="S488" s="4">
        <f t="shared" si="63"/>
        <v>2008</v>
      </c>
      <c r="T488" s="4"/>
      <c r="U488" s="4" t="str">
        <f t="shared" si="66"/>
        <v>DivAberdeen Asia Pacific Income Fund</v>
      </c>
      <c r="V488" s="23">
        <f>IFERROR(IF(AND(AB488&gt;0,B488&lt;&gt;"Sell"),(AA488-SUMIF(C$4:C487,C488,AC$4:AC488))/AB488,0),"")</f>
        <v>-7.4694020797227028</v>
      </c>
      <c r="W488" s="24" t="str">
        <f t="shared" si="61"/>
        <v/>
      </c>
      <c r="X488" s="25" t="str">
        <f t="shared" si="60"/>
        <v>Aberdeen Asia Pacific Income Fund_ACB</v>
      </c>
      <c r="Y488" s="10" t="str">
        <f>IF(S489&lt;&gt;eRRSP_Tx_Table[[#This Row],[Year]],SUMIFS($W$4:$W488,$S$4:$S488,eRRSP_Tx_Table[[#This Row],[Year]],$W$4:$W488,"&gt;0"),"")</f>
        <v/>
      </c>
      <c r="Z488" s="10" t="str">
        <f>IF(S489&lt;&gt;eRRSP_Tx_Table[[#This Row],[Year]],SUMIFS($W$4:$W488,$S$4:$S488,eRRSP_Tx_Table[[#This Row],[Year]],$W$4:$W488,"&lt;0"),"")</f>
        <v/>
      </c>
      <c r="AA488" s="3">
        <f>(SUMIF($U$4:$U488,CONCATENATE("Buy",$C488),$N$4:$N488)+SUMIF($U$4:$U488,CONCATENATE("ReinvDiv",$C488),$N$4:$N488))</f>
        <v>-8619.6899999999987</v>
      </c>
      <c r="AB488" s="3">
        <f>(SUMIF($U$4:$U488,CONCATENATE("Buy",$C488),$F$4:$F488)+SUMIF($U$4:$U488,CONCATENATE("ReinvDiv",$C488),$F$4:$F488)+SUMIF($U$4:$U488,CONCATENATE("StkSplit",$C488),$F$4:$F488)-SUMIF($U$4:$U488,CONCATENATE("Sell",$C488),$F$4:$F488))</f>
        <v>1154</v>
      </c>
      <c r="AC488" s="3">
        <f>IF(B488="Sell",F488*INDEX(V:V,LOOKUP(2,1/(X$4:X487=CONCATENATE(C488,"_ACB")),ROW(V$4:V487))),0)</f>
        <v>0</v>
      </c>
    </row>
    <row r="489" spans="1:29" x14ac:dyDescent="0.25">
      <c r="A489" s="20">
        <v>39463</v>
      </c>
      <c r="B489" t="s">
        <v>43</v>
      </c>
      <c r="C489" t="s">
        <v>36</v>
      </c>
      <c r="D489" s="3">
        <v>44.33</v>
      </c>
      <c r="M489" s="21">
        <f t="shared" si="64"/>
        <v>44.33</v>
      </c>
      <c r="N489" s="8">
        <f t="shared" si="62"/>
        <v>44.33</v>
      </c>
      <c r="O489" s="25">
        <f t="shared" si="67"/>
        <v>35223.689999999995</v>
      </c>
      <c r="P489" s="8">
        <f t="shared" si="65"/>
        <v>0</v>
      </c>
      <c r="Q489" s="4">
        <f>IF(AND(S489&gt;=[1]eRRSP_Rpt!$C$6,S489&lt;=[1]eRRSP_Rpt!$C$7),1,0)</f>
        <v>1</v>
      </c>
      <c r="R489" s="4"/>
      <c r="S489" s="4">
        <f t="shared" si="63"/>
        <v>2008</v>
      </c>
      <c r="T489" s="4"/>
      <c r="U489" s="4" t="str">
        <f t="shared" si="66"/>
        <v>IntIncTDW</v>
      </c>
      <c r="V489" s="23">
        <f>IFERROR(IF(AND(AB489&gt;0,B489&lt;&gt;"Sell"),(AA489-SUMIF(C$4:C488,C489,AC$4:AC489))/AB489,0),"")</f>
        <v>0</v>
      </c>
      <c r="W489" s="24" t="str">
        <f t="shared" si="61"/>
        <v/>
      </c>
      <c r="X489" s="25" t="str">
        <f t="shared" si="60"/>
        <v/>
      </c>
      <c r="Y489" s="10" t="str">
        <f>IF(S490&lt;&gt;eRRSP_Tx_Table[[#This Row],[Year]],SUMIFS($W$4:$W489,$S$4:$S489,eRRSP_Tx_Table[[#This Row],[Year]],$W$4:$W489,"&gt;0"),"")</f>
        <v/>
      </c>
      <c r="Z489" s="10" t="str">
        <f>IF(S490&lt;&gt;eRRSP_Tx_Table[[#This Row],[Year]],SUMIFS($W$4:$W489,$S$4:$S489,eRRSP_Tx_Table[[#This Row],[Year]],$W$4:$W489,"&lt;0"),"")</f>
        <v/>
      </c>
      <c r="AA489" s="3">
        <f>(SUMIF($U$4:$U489,CONCATENATE("Buy",$C489),$N$4:$N489)+SUMIF($U$4:$U489,CONCATENATE("ReinvDiv",$C489),$N$4:$N489))</f>
        <v>0</v>
      </c>
      <c r="AB489" s="3">
        <f>(SUMIF($U$4:$U489,CONCATENATE("Buy",$C489),$F$4:$F489)+SUMIF($U$4:$U489,CONCATENATE("ReinvDiv",$C489),$F$4:$F489)+SUMIF($U$4:$U489,CONCATENATE("StkSplit",$C489),$F$4:$F489)-SUMIF($U$4:$U489,CONCATENATE("Sell",$C489),$F$4:$F489))</f>
        <v>0</v>
      </c>
      <c r="AC489" s="3">
        <f>IF(B489="Sell",F489*INDEX(V:V,LOOKUP(2,1/(X$4:X488=CONCATENATE(C489,"_ACB")),ROW(V$4:V488))),0)</f>
        <v>0</v>
      </c>
    </row>
    <row r="490" spans="1:29" x14ac:dyDescent="0.25">
      <c r="A490" s="20">
        <v>39478</v>
      </c>
      <c r="B490" t="s">
        <v>42</v>
      </c>
      <c r="C490" t="s">
        <v>45</v>
      </c>
      <c r="D490" s="3">
        <v>11.4</v>
      </c>
      <c r="M490" s="21">
        <f t="shared" si="64"/>
        <v>11.4</v>
      </c>
      <c r="N490" s="8">
        <f t="shared" si="62"/>
        <v>11.4</v>
      </c>
      <c r="O490" s="25">
        <f t="shared" si="67"/>
        <v>35235.089999999997</v>
      </c>
      <c r="P490" s="8">
        <f t="shared" si="65"/>
        <v>0</v>
      </c>
      <c r="Q490" s="4">
        <f>IF(AND(S490&gt;=[1]eRRSP_Rpt!$C$6,S490&lt;=[1]eRRSP_Rpt!$C$7),1,0)</f>
        <v>1</v>
      </c>
      <c r="R490" s="4"/>
      <c r="S490" s="4">
        <f t="shared" si="63"/>
        <v>2008</v>
      </c>
      <c r="T490" s="4"/>
      <c r="U490" s="4" t="str">
        <f t="shared" si="66"/>
        <v>DivTD Bank</v>
      </c>
      <c r="V490" s="23">
        <f>IFERROR(IF(AND(AB490&gt;0,B490&lt;&gt;"Sell"),(AA490-SUMIF(C$4:C489,C490,AC$4:AC490))/AB490,0),"")</f>
        <v>-44.29</v>
      </c>
      <c r="W490" s="24" t="str">
        <f t="shared" si="61"/>
        <v/>
      </c>
      <c r="X490" s="25" t="str">
        <f t="shared" si="60"/>
        <v>TD Bank_ACB</v>
      </c>
      <c r="Y490" s="10" t="str">
        <f>IF(S491&lt;&gt;eRRSP_Tx_Table[[#This Row],[Year]],SUMIFS($W$4:$W490,$S$4:$S490,eRRSP_Tx_Table[[#This Row],[Year]],$W$4:$W490,"&gt;0"),"")</f>
        <v/>
      </c>
      <c r="Z490" s="10" t="str">
        <f>IF(S491&lt;&gt;eRRSP_Tx_Table[[#This Row],[Year]],SUMIFS($W$4:$W490,$S$4:$S490,eRRSP_Tx_Table[[#This Row],[Year]],$W$4:$W490,"&lt;0"),"")</f>
        <v/>
      </c>
      <c r="AA490" s="3">
        <f>(SUMIF($U$4:$U490,CONCATENATE("Buy",$C490),$N$4:$N490)+SUMIF($U$4:$U490,CONCATENATE("ReinvDiv",$C490),$N$4:$N490))</f>
        <v>-885.8</v>
      </c>
      <c r="AB490" s="3">
        <f>(SUMIF($U$4:$U490,CONCATENATE("Buy",$C490),$F$4:$F490)+SUMIF($U$4:$U490,CONCATENATE("ReinvDiv",$C490),$F$4:$F490)+SUMIF($U$4:$U490,CONCATENATE("StkSplit",$C490),$F$4:$F490)-SUMIF($U$4:$U490,CONCATENATE("Sell",$C490),$F$4:$F490))</f>
        <v>20</v>
      </c>
      <c r="AC490" s="3">
        <f>IF(B490="Sell",F490*INDEX(V:V,LOOKUP(2,1/(X$4:X489=CONCATENATE(C490,"_ACB")),ROW(V$4:V489))),0)</f>
        <v>0</v>
      </c>
    </row>
    <row r="491" spans="1:29" x14ac:dyDescent="0.25">
      <c r="A491" s="20">
        <v>39485</v>
      </c>
      <c r="B491" t="s">
        <v>42</v>
      </c>
      <c r="C491" t="s">
        <v>88</v>
      </c>
      <c r="D491" s="3">
        <v>25.73</v>
      </c>
      <c r="M491" s="21">
        <f t="shared" si="64"/>
        <v>25.73</v>
      </c>
      <c r="N491" s="8">
        <f t="shared" si="62"/>
        <v>25.73</v>
      </c>
      <c r="O491" s="25">
        <f t="shared" si="67"/>
        <v>35260.82</v>
      </c>
      <c r="P491" s="8">
        <f t="shared" si="65"/>
        <v>0</v>
      </c>
      <c r="Q491" s="4">
        <f>IF(AND(S491&gt;=[1]eRRSP_Rpt!$C$6,S491&lt;=[1]eRRSP_Rpt!$C$7),1,0)</f>
        <v>1</v>
      </c>
      <c r="R491" s="4"/>
      <c r="S491" s="4">
        <f t="shared" si="63"/>
        <v>2008</v>
      </c>
      <c r="T491" s="4"/>
      <c r="U491" s="4" t="str">
        <f t="shared" si="66"/>
        <v>DiviShares IBOXX (US$)</v>
      </c>
      <c r="V491" s="23">
        <f>IFERROR(IF(AND(AB491&gt;0,B491&lt;&gt;"Sell"),(AA491-SUMIF(C$4:C490,C491,AC$4:AC491))/AB491,0),"")</f>
        <v>-127.70865384615385</v>
      </c>
      <c r="W491" s="24" t="str">
        <f t="shared" si="61"/>
        <v/>
      </c>
      <c r="X491" s="25" t="str">
        <f t="shared" si="60"/>
        <v>iShares IBOXX (US$)_ACB</v>
      </c>
      <c r="Y491" s="10" t="str">
        <f>IF(S492&lt;&gt;eRRSP_Tx_Table[[#This Row],[Year]],SUMIFS($W$4:$W491,$S$4:$S491,eRRSP_Tx_Table[[#This Row],[Year]],$W$4:$W491,"&gt;0"),"")</f>
        <v/>
      </c>
      <c r="Z491" s="10" t="str">
        <f>IF(S492&lt;&gt;eRRSP_Tx_Table[[#This Row],[Year]],SUMIFS($W$4:$W491,$S$4:$S491,eRRSP_Tx_Table[[#This Row],[Year]],$W$4:$W491,"&lt;0"),"")</f>
        <v/>
      </c>
      <c r="AA491" s="3">
        <f>(SUMIF($U$4:$U491,CONCATENATE("Buy",$C491),$N$4:$N491)+SUMIF($U$4:$U491,CONCATENATE("ReinvDiv",$C491),$N$4:$N491))</f>
        <v>-6640.85</v>
      </c>
      <c r="AB491" s="3">
        <f>(SUMIF($U$4:$U491,CONCATENATE("Buy",$C491),$F$4:$F491)+SUMIF($U$4:$U491,CONCATENATE("ReinvDiv",$C491),$F$4:$F491)+SUMIF($U$4:$U491,CONCATENATE("StkSplit",$C491),$F$4:$F491)-SUMIF($U$4:$U491,CONCATENATE("Sell",$C491),$F$4:$F491))</f>
        <v>52</v>
      </c>
      <c r="AC491" s="3">
        <f>IF(B491="Sell",F491*INDEX(V:V,LOOKUP(2,1/(X$4:X490=CONCATENATE(C491,"_ACB")),ROW(V$4:V490))),0)</f>
        <v>0</v>
      </c>
    </row>
    <row r="492" spans="1:29" x14ac:dyDescent="0.25">
      <c r="A492" s="20">
        <v>39493</v>
      </c>
      <c r="B492" t="s">
        <v>42</v>
      </c>
      <c r="C492" t="s">
        <v>87</v>
      </c>
      <c r="D492" s="3">
        <v>40.32</v>
      </c>
      <c r="M492" s="21">
        <f t="shared" si="64"/>
        <v>40.32</v>
      </c>
      <c r="N492" s="8">
        <f t="shared" si="62"/>
        <v>40.32</v>
      </c>
      <c r="O492" s="25">
        <f t="shared" si="67"/>
        <v>35301.14</v>
      </c>
      <c r="P492" s="8">
        <f t="shared" si="65"/>
        <v>0</v>
      </c>
      <c r="Q492" s="4">
        <f>IF(AND(S492&gt;=[1]eRRSP_Rpt!$C$6,S492&lt;=[1]eRRSP_Rpt!$C$7),1,0)</f>
        <v>1</v>
      </c>
      <c r="R492" s="4"/>
      <c r="S492" s="4">
        <f t="shared" si="63"/>
        <v>2008</v>
      </c>
      <c r="T492" s="4"/>
      <c r="U492" s="4" t="str">
        <f t="shared" si="66"/>
        <v>DivAberdeen Asia Pacific Income Fund</v>
      </c>
      <c r="V492" s="23">
        <f>IFERROR(IF(AND(AB492&gt;0,B492&lt;&gt;"Sell"),(AA492-SUMIF(C$4:C491,C492,AC$4:AC492))/AB492,0),"")</f>
        <v>-7.4694020797227028</v>
      </c>
      <c r="W492" s="24" t="str">
        <f t="shared" si="61"/>
        <v/>
      </c>
      <c r="X492" s="25" t="str">
        <f t="shared" si="60"/>
        <v>Aberdeen Asia Pacific Income Fund_ACB</v>
      </c>
      <c r="Y492" s="10" t="str">
        <f>IF(S493&lt;&gt;eRRSP_Tx_Table[[#This Row],[Year]],SUMIFS($W$4:$W492,$S$4:$S492,eRRSP_Tx_Table[[#This Row],[Year]],$W$4:$W492,"&gt;0"),"")</f>
        <v/>
      </c>
      <c r="Z492" s="10" t="str">
        <f>IF(S493&lt;&gt;eRRSP_Tx_Table[[#This Row],[Year]],SUMIFS($W$4:$W492,$S$4:$S492,eRRSP_Tx_Table[[#This Row],[Year]],$W$4:$W492,"&lt;0"),"")</f>
        <v/>
      </c>
      <c r="AA492" s="3">
        <f>(SUMIF($U$4:$U492,CONCATENATE("Buy",$C492),$N$4:$N492)+SUMIF($U$4:$U492,CONCATENATE("ReinvDiv",$C492),$N$4:$N492))</f>
        <v>-8619.6899999999987</v>
      </c>
      <c r="AB492" s="3">
        <f>(SUMIF($U$4:$U492,CONCATENATE("Buy",$C492),$F$4:$F492)+SUMIF($U$4:$U492,CONCATENATE("ReinvDiv",$C492),$F$4:$F492)+SUMIF($U$4:$U492,CONCATENATE("StkSplit",$C492),$F$4:$F492)-SUMIF($U$4:$U492,CONCATENATE("Sell",$C492),$F$4:$F492))</f>
        <v>1154</v>
      </c>
      <c r="AC492" s="3">
        <f>IF(B492="Sell",F492*INDEX(V:V,LOOKUP(2,1/(X$4:X491=CONCATENATE(C492,"_ACB")),ROW(V$4:V491))),0)</f>
        <v>0</v>
      </c>
    </row>
    <row r="493" spans="1:29" x14ac:dyDescent="0.25">
      <c r="A493" s="20">
        <v>39493</v>
      </c>
      <c r="B493" t="s">
        <v>42</v>
      </c>
      <c r="C493" t="s">
        <v>87</v>
      </c>
      <c r="D493" s="3">
        <v>0.05</v>
      </c>
      <c r="J493" t="s">
        <v>91</v>
      </c>
      <c r="M493" s="21">
        <f t="shared" si="64"/>
        <v>0.05</v>
      </c>
      <c r="N493" s="8">
        <f t="shared" si="62"/>
        <v>0.05</v>
      </c>
      <c r="O493" s="25">
        <f t="shared" si="67"/>
        <v>35301.19</v>
      </c>
      <c r="P493" s="8">
        <f t="shared" si="65"/>
        <v>0</v>
      </c>
      <c r="Q493" s="4">
        <f>IF(AND(S493&gt;=[1]eRRSP_Rpt!$C$6,S493&lt;=[1]eRRSP_Rpt!$C$7),1,0)</f>
        <v>1</v>
      </c>
      <c r="R493" s="4"/>
      <c r="S493" s="4">
        <f t="shared" si="63"/>
        <v>2008</v>
      </c>
      <c r="T493" s="4"/>
      <c r="U493" s="4" t="str">
        <f t="shared" si="66"/>
        <v>DivAberdeen Asia Pacific Income Fund</v>
      </c>
      <c r="V493" s="23">
        <f>IFERROR(IF(AND(AB493&gt;0,B493&lt;&gt;"Sell"),(AA493-SUMIF(C$4:C492,C493,AC$4:AC493))/AB493,0),"")</f>
        <v>-7.4694020797227028</v>
      </c>
      <c r="W493" s="24" t="str">
        <f t="shared" si="61"/>
        <v/>
      </c>
      <c r="X493" s="25" t="str">
        <f t="shared" si="60"/>
        <v>Aberdeen Asia Pacific Income Fund_ACB</v>
      </c>
      <c r="Y493" s="10" t="str">
        <f>IF(S494&lt;&gt;eRRSP_Tx_Table[[#This Row],[Year]],SUMIFS($W$4:$W493,$S$4:$S493,eRRSP_Tx_Table[[#This Row],[Year]],$W$4:$W493,"&gt;0"),"")</f>
        <v/>
      </c>
      <c r="Z493" s="10" t="str">
        <f>IF(S494&lt;&gt;eRRSP_Tx_Table[[#This Row],[Year]],SUMIFS($W$4:$W493,$S$4:$S493,eRRSP_Tx_Table[[#This Row],[Year]],$W$4:$W493,"&lt;0"),"")</f>
        <v/>
      </c>
      <c r="AA493" s="3">
        <f>(SUMIF($U$4:$U493,CONCATENATE("Buy",$C493),$N$4:$N493)+SUMIF($U$4:$U493,CONCATENATE("ReinvDiv",$C493),$N$4:$N493))</f>
        <v>-8619.6899999999987</v>
      </c>
      <c r="AB493" s="3">
        <f>(SUMIF($U$4:$U493,CONCATENATE("Buy",$C493),$F$4:$F493)+SUMIF($U$4:$U493,CONCATENATE("ReinvDiv",$C493),$F$4:$F493)+SUMIF($U$4:$U493,CONCATENATE("StkSplit",$C493),$F$4:$F493)-SUMIF($U$4:$U493,CONCATENATE("Sell",$C493),$F$4:$F493))</f>
        <v>1154</v>
      </c>
      <c r="AC493" s="3">
        <f>IF(B493="Sell",F493*INDEX(V:V,LOOKUP(2,1/(X$4:X492=CONCATENATE(C493,"_ACB")),ROW(V$4:V492))),0)</f>
        <v>0</v>
      </c>
    </row>
    <row r="494" spans="1:29" x14ac:dyDescent="0.25">
      <c r="A494" s="20">
        <v>39494</v>
      </c>
      <c r="B494" t="s">
        <v>43</v>
      </c>
      <c r="C494" t="s">
        <v>36</v>
      </c>
      <c r="D494" s="3">
        <v>39.090000000000003</v>
      </c>
      <c r="M494" s="21">
        <f t="shared" si="64"/>
        <v>39.090000000000003</v>
      </c>
      <c r="N494" s="8">
        <f t="shared" si="62"/>
        <v>39.090000000000003</v>
      </c>
      <c r="O494" s="25">
        <f t="shared" si="67"/>
        <v>35340.28</v>
      </c>
      <c r="P494" s="8">
        <f t="shared" si="65"/>
        <v>0</v>
      </c>
      <c r="Q494" s="4">
        <f>IF(AND(S494&gt;=[1]eRRSP_Rpt!$C$6,S494&lt;=[1]eRRSP_Rpt!$C$7),1,0)</f>
        <v>1</v>
      </c>
      <c r="R494" s="4"/>
      <c r="S494" s="4">
        <f t="shared" si="63"/>
        <v>2008</v>
      </c>
      <c r="T494" s="4"/>
      <c r="U494" s="4" t="str">
        <f t="shared" si="66"/>
        <v>IntIncTDW</v>
      </c>
      <c r="V494" s="23">
        <f>IFERROR(IF(AND(AB494&gt;0,B494&lt;&gt;"Sell"),(AA494-SUMIF(C$4:C493,C494,AC$4:AC494))/AB494,0),"")</f>
        <v>0</v>
      </c>
      <c r="W494" s="24" t="str">
        <f t="shared" si="61"/>
        <v/>
      </c>
      <c r="X494" s="25" t="str">
        <f t="shared" si="60"/>
        <v/>
      </c>
      <c r="Y494" s="10" t="str">
        <f>IF(S495&lt;&gt;eRRSP_Tx_Table[[#This Row],[Year]],SUMIFS($W$4:$W494,$S$4:$S494,eRRSP_Tx_Table[[#This Row],[Year]],$W$4:$W494,"&gt;0"),"")</f>
        <v/>
      </c>
      <c r="Z494" s="10" t="str">
        <f>IF(S495&lt;&gt;eRRSP_Tx_Table[[#This Row],[Year]],SUMIFS($W$4:$W494,$S$4:$S494,eRRSP_Tx_Table[[#This Row],[Year]],$W$4:$W494,"&lt;0"),"")</f>
        <v/>
      </c>
      <c r="AA494" s="3">
        <f>(SUMIF($U$4:$U494,CONCATENATE("Buy",$C494),$N$4:$N494)+SUMIF($U$4:$U494,CONCATENATE("ReinvDiv",$C494),$N$4:$N494))</f>
        <v>0</v>
      </c>
      <c r="AB494" s="3">
        <f>(SUMIF($U$4:$U494,CONCATENATE("Buy",$C494),$F$4:$F494)+SUMIF($U$4:$U494,CONCATENATE("ReinvDiv",$C494),$F$4:$F494)+SUMIF($U$4:$U494,CONCATENATE("StkSplit",$C494),$F$4:$F494)-SUMIF($U$4:$U494,CONCATENATE("Sell",$C494),$F$4:$F494))</f>
        <v>0</v>
      </c>
      <c r="AC494" s="3">
        <f>IF(B494="Sell",F494*INDEX(V:V,LOOKUP(2,1/(X$4:X493=CONCATENATE(C494,"_ACB")),ROW(V$4:V493))),0)</f>
        <v>0</v>
      </c>
    </row>
    <row r="495" spans="1:29" x14ac:dyDescent="0.25">
      <c r="A495" s="20">
        <v>39508</v>
      </c>
      <c r="B495" t="s">
        <v>42</v>
      </c>
      <c r="C495" t="s">
        <v>33</v>
      </c>
      <c r="D495" s="3">
        <v>24.09</v>
      </c>
      <c r="M495" s="21">
        <f t="shared" si="64"/>
        <v>24.09</v>
      </c>
      <c r="N495" s="8">
        <f t="shared" si="62"/>
        <v>24.09</v>
      </c>
      <c r="O495" s="25">
        <f t="shared" si="67"/>
        <v>35364.369999999995</v>
      </c>
      <c r="P495" s="8">
        <f t="shared" si="65"/>
        <v>0</v>
      </c>
      <c r="Q495" s="4">
        <f>IF(AND(S495&gt;=[1]eRRSP_Rpt!$C$6,S495&lt;=[1]eRRSP_Rpt!$C$7),1,0)</f>
        <v>1</v>
      </c>
      <c r="R495" s="4"/>
      <c r="S495" s="4">
        <f t="shared" si="63"/>
        <v>2008</v>
      </c>
      <c r="T495" s="4"/>
      <c r="U495" s="4" t="str">
        <f t="shared" si="66"/>
        <v>DivEnbridge</v>
      </c>
      <c r="V495" s="23">
        <f>IFERROR(IF(AND(AB495&gt;0,B495&lt;&gt;"Sell"),(AA495-SUMIF(C$4:C494,C495,AC$4:AC495))/AB495,0),"")</f>
        <v>-12.859027777777776</v>
      </c>
      <c r="W495" s="24" t="str">
        <f t="shared" si="61"/>
        <v/>
      </c>
      <c r="X495" s="25" t="str">
        <f t="shared" si="60"/>
        <v>Enbridge_ACB</v>
      </c>
      <c r="Y495" s="10" t="str">
        <f>IF(S496&lt;&gt;eRRSP_Tx_Table[[#This Row],[Year]],SUMIFS($W$4:$W495,$S$4:$S495,eRRSP_Tx_Table[[#This Row],[Year]],$W$4:$W495,"&gt;0"),"")</f>
        <v/>
      </c>
      <c r="Z495" s="10" t="str">
        <f>IF(S496&lt;&gt;eRRSP_Tx_Table[[#This Row],[Year]],SUMIFS($W$4:$W495,$S$4:$S495,eRRSP_Tx_Table[[#This Row],[Year]],$W$4:$W495,"&lt;0"),"")</f>
        <v/>
      </c>
      <c r="AA495" s="3">
        <f>(SUMIF($U$4:$U495,CONCATENATE("Buy",$C495),$N$4:$N495)+SUMIF($U$4:$U495,CONCATENATE("ReinvDiv",$C495),$N$4:$N495))</f>
        <v>-1851.7</v>
      </c>
      <c r="AB495" s="3">
        <f>(SUMIF($U$4:$U495,CONCATENATE("Buy",$C495),$F$4:$F495)+SUMIF($U$4:$U495,CONCATENATE("ReinvDiv",$C495),$F$4:$F495)+SUMIF($U$4:$U495,CONCATENATE("StkSplit",$C495),$F$4:$F495)-SUMIF($U$4:$U495,CONCATENATE("Sell",$C495),$F$4:$F495))</f>
        <v>73</v>
      </c>
      <c r="AC495" s="3">
        <f>IF(B495="Sell",F495*INDEX(V:V,LOOKUP(2,1/(X$4:X494=CONCATENATE(C495,"_ACB")),ROW(V$4:V494))),0)</f>
        <v>0</v>
      </c>
    </row>
    <row r="496" spans="1:29" x14ac:dyDescent="0.25">
      <c r="A496" s="20">
        <v>39514</v>
      </c>
      <c r="B496" t="s">
        <v>42</v>
      </c>
      <c r="C496" t="s">
        <v>88</v>
      </c>
      <c r="D496" s="3">
        <v>22.95</v>
      </c>
      <c r="M496" s="21">
        <f t="shared" si="64"/>
        <v>22.95</v>
      </c>
      <c r="N496" s="8">
        <f t="shared" si="62"/>
        <v>22.95</v>
      </c>
      <c r="O496" s="25">
        <f t="shared" si="67"/>
        <v>35387.319999999992</v>
      </c>
      <c r="P496" s="8">
        <f t="shared" si="65"/>
        <v>0</v>
      </c>
      <c r="Q496" s="4">
        <f>IF(AND(S496&gt;=[1]eRRSP_Rpt!$C$6,S496&lt;=[1]eRRSP_Rpt!$C$7),1,0)</f>
        <v>1</v>
      </c>
      <c r="R496" s="4"/>
      <c r="S496" s="4">
        <f t="shared" si="63"/>
        <v>2008</v>
      </c>
      <c r="T496" s="4"/>
      <c r="U496" s="4" t="str">
        <f t="shared" si="66"/>
        <v>DiviShares IBOXX (US$)</v>
      </c>
      <c r="V496" s="23">
        <f>IFERROR(IF(AND(AB496&gt;0,B496&lt;&gt;"Sell"),(AA496-SUMIF(C$4:C495,C496,AC$4:AC496))/AB496,0),"")</f>
        <v>-127.70865384615385</v>
      </c>
      <c r="W496" s="24" t="str">
        <f t="shared" si="61"/>
        <v/>
      </c>
      <c r="X496" s="25" t="str">
        <f t="shared" si="60"/>
        <v>iShares IBOXX (US$)_ACB</v>
      </c>
      <c r="Y496" s="10" t="str">
        <f>IF(S497&lt;&gt;eRRSP_Tx_Table[[#This Row],[Year]],SUMIFS($W$4:$W496,$S$4:$S496,eRRSP_Tx_Table[[#This Row],[Year]],$W$4:$W496,"&gt;0"),"")</f>
        <v/>
      </c>
      <c r="Z496" s="10" t="str">
        <f>IF(S497&lt;&gt;eRRSP_Tx_Table[[#This Row],[Year]],SUMIFS($W$4:$W496,$S$4:$S496,eRRSP_Tx_Table[[#This Row],[Year]],$W$4:$W496,"&lt;0"),"")</f>
        <v/>
      </c>
      <c r="AA496" s="3">
        <f>(SUMIF($U$4:$U496,CONCATENATE("Buy",$C496),$N$4:$N496)+SUMIF($U$4:$U496,CONCATENATE("ReinvDiv",$C496),$N$4:$N496))</f>
        <v>-6640.85</v>
      </c>
      <c r="AB496" s="3">
        <f>(SUMIF($U$4:$U496,CONCATENATE("Buy",$C496),$F$4:$F496)+SUMIF($U$4:$U496,CONCATENATE("ReinvDiv",$C496),$F$4:$F496)+SUMIF($U$4:$U496,CONCATENATE("StkSplit",$C496),$F$4:$F496)-SUMIF($U$4:$U496,CONCATENATE("Sell",$C496),$F$4:$F496))</f>
        <v>52</v>
      </c>
      <c r="AC496" s="3">
        <f>IF(B496="Sell",F496*INDEX(V:V,LOOKUP(2,1/(X$4:X495=CONCATENATE(C496,"_ACB")),ROW(V$4:V495))),0)</f>
        <v>0</v>
      </c>
    </row>
    <row r="497" spans="1:29" x14ac:dyDescent="0.25">
      <c r="A497" s="20">
        <v>39521</v>
      </c>
      <c r="B497" t="s">
        <v>42</v>
      </c>
      <c r="C497" t="s">
        <v>87</v>
      </c>
      <c r="D497" s="3">
        <v>39.67</v>
      </c>
      <c r="M497" s="21">
        <f t="shared" si="64"/>
        <v>39.67</v>
      </c>
      <c r="N497" s="8">
        <f t="shared" si="62"/>
        <v>39.67</v>
      </c>
      <c r="O497" s="25">
        <f t="shared" si="67"/>
        <v>35426.989999999991</v>
      </c>
      <c r="P497" s="8">
        <f t="shared" si="65"/>
        <v>0</v>
      </c>
      <c r="Q497" s="4">
        <f>IF(AND(S497&gt;=[1]eRRSP_Rpt!$C$6,S497&lt;=[1]eRRSP_Rpt!$C$7),1,0)</f>
        <v>1</v>
      </c>
      <c r="R497" s="4"/>
      <c r="S497" s="4">
        <f t="shared" si="63"/>
        <v>2008</v>
      </c>
      <c r="T497" s="4"/>
      <c r="U497" s="4" t="str">
        <f t="shared" si="66"/>
        <v>DivAberdeen Asia Pacific Income Fund</v>
      </c>
      <c r="V497" s="23">
        <f>IFERROR(IF(AND(AB497&gt;0,B497&lt;&gt;"Sell"),(AA497-SUMIF(C$4:C496,C497,AC$4:AC497))/AB497,0),"")</f>
        <v>-7.4694020797227028</v>
      </c>
      <c r="W497" s="24" t="str">
        <f t="shared" si="61"/>
        <v/>
      </c>
      <c r="X497" s="25" t="str">
        <f t="shared" si="60"/>
        <v>Aberdeen Asia Pacific Income Fund_ACB</v>
      </c>
      <c r="Y497" s="10" t="str">
        <f>IF(S498&lt;&gt;eRRSP_Tx_Table[[#This Row],[Year]],SUMIFS($W$4:$W497,$S$4:$S497,eRRSP_Tx_Table[[#This Row],[Year]],$W$4:$W497,"&gt;0"),"")</f>
        <v/>
      </c>
      <c r="Z497" s="10" t="str">
        <f>IF(S498&lt;&gt;eRRSP_Tx_Table[[#This Row],[Year]],SUMIFS($W$4:$W497,$S$4:$S497,eRRSP_Tx_Table[[#This Row],[Year]],$W$4:$W497,"&lt;0"),"")</f>
        <v/>
      </c>
      <c r="AA497" s="3">
        <f>(SUMIF($U$4:$U497,CONCATENATE("Buy",$C497),$N$4:$N497)+SUMIF($U$4:$U497,CONCATENATE("ReinvDiv",$C497),$N$4:$N497))</f>
        <v>-8619.6899999999987</v>
      </c>
      <c r="AB497" s="3">
        <f>(SUMIF($U$4:$U497,CONCATENATE("Buy",$C497),$F$4:$F497)+SUMIF($U$4:$U497,CONCATENATE("ReinvDiv",$C497),$F$4:$F497)+SUMIF($U$4:$U497,CONCATENATE("StkSplit",$C497),$F$4:$F497)-SUMIF($U$4:$U497,CONCATENATE("Sell",$C497),$F$4:$F497))</f>
        <v>1154</v>
      </c>
      <c r="AC497" s="3">
        <f>IF(B497="Sell",F497*INDEX(V:V,LOOKUP(2,1/(X$4:X496=CONCATENATE(C497,"_ACB")),ROW(V$4:V496))),0)</f>
        <v>0</v>
      </c>
    </row>
    <row r="498" spans="1:29" x14ac:dyDescent="0.25">
      <c r="A498" s="20">
        <v>39523</v>
      </c>
      <c r="B498" t="s">
        <v>43</v>
      </c>
      <c r="C498" t="s">
        <v>36</v>
      </c>
      <c r="D498" s="3">
        <v>29.78</v>
      </c>
      <c r="M498" s="21">
        <f t="shared" si="64"/>
        <v>29.78</v>
      </c>
      <c r="N498" s="8">
        <f t="shared" si="62"/>
        <v>29.78</v>
      </c>
      <c r="O498" s="25">
        <f t="shared" si="67"/>
        <v>35456.76999999999</v>
      </c>
      <c r="P498" s="8">
        <f t="shared" si="65"/>
        <v>0</v>
      </c>
      <c r="Q498" s="4">
        <f>IF(AND(S498&gt;=[1]eRRSP_Rpt!$C$6,S498&lt;=[1]eRRSP_Rpt!$C$7),1,0)</f>
        <v>1</v>
      </c>
      <c r="R498" s="4"/>
      <c r="S498" s="4">
        <f t="shared" si="63"/>
        <v>2008</v>
      </c>
      <c r="T498" s="4"/>
      <c r="U498" s="4" t="str">
        <f t="shared" si="66"/>
        <v>IntIncTDW</v>
      </c>
      <c r="V498" s="23">
        <f>IFERROR(IF(AND(AB498&gt;0,B498&lt;&gt;"Sell"),(AA498-SUMIF(C$4:C497,C498,AC$4:AC498))/AB498,0),"")</f>
        <v>0</v>
      </c>
      <c r="W498" s="24" t="str">
        <f t="shared" si="61"/>
        <v/>
      </c>
      <c r="X498" s="25" t="str">
        <f t="shared" si="60"/>
        <v/>
      </c>
      <c r="Y498" s="10" t="str">
        <f>IF(S499&lt;&gt;eRRSP_Tx_Table[[#This Row],[Year]],SUMIFS($W$4:$W498,$S$4:$S498,eRRSP_Tx_Table[[#This Row],[Year]],$W$4:$W498,"&gt;0"),"")</f>
        <v/>
      </c>
      <c r="Z498" s="10" t="str">
        <f>IF(S499&lt;&gt;eRRSP_Tx_Table[[#This Row],[Year]],SUMIFS($W$4:$W498,$S$4:$S498,eRRSP_Tx_Table[[#This Row],[Year]],$W$4:$W498,"&lt;0"),"")</f>
        <v/>
      </c>
      <c r="AA498" s="3">
        <f>(SUMIF($U$4:$U498,CONCATENATE("Buy",$C498),$N$4:$N498)+SUMIF($U$4:$U498,CONCATENATE("ReinvDiv",$C498),$N$4:$N498))</f>
        <v>0</v>
      </c>
      <c r="AB498" s="3">
        <f>(SUMIF($U$4:$U498,CONCATENATE("Buy",$C498),$F$4:$F498)+SUMIF($U$4:$U498,CONCATENATE("ReinvDiv",$C498),$F$4:$F498)+SUMIF($U$4:$U498,CONCATENATE("StkSplit",$C498),$F$4:$F498)-SUMIF($U$4:$U498,CONCATENATE("Sell",$C498),$F$4:$F498))</f>
        <v>0</v>
      </c>
      <c r="AC498" s="3">
        <f>IF(B498="Sell",F498*INDEX(V:V,LOOKUP(2,1/(X$4:X497=CONCATENATE(C498,"_ACB")),ROW(V$4:V497))),0)</f>
        <v>0</v>
      </c>
    </row>
    <row r="499" spans="1:29" x14ac:dyDescent="0.25">
      <c r="A499" s="20">
        <v>39533</v>
      </c>
      <c r="B499" t="s">
        <v>32</v>
      </c>
      <c r="C499" t="s">
        <v>79</v>
      </c>
      <c r="D499" s="3">
        <v>1017.99</v>
      </c>
      <c r="E499">
        <v>12.6</v>
      </c>
      <c r="F499" s="3">
        <v>80</v>
      </c>
      <c r="G499">
        <v>9.99</v>
      </c>
      <c r="M499" s="21">
        <f t="shared" si="64"/>
        <v>1008</v>
      </c>
      <c r="N499" s="8">
        <f t="shared" si="62"/>
        <v>-1017.99</v>
      </c>
      <c r="O499" s="25">
        <f t="shared" si="67"/>
        <v>34438.779999999992</v>
      </c>
      <c r="P499" s="8">
        <f t="shared" si="65"/>
        <v>0</v>
      </c>
      <c r="Q499" s="4">
        <f>IF(AND(S499&gt;=[1]eRRSP_Rpt!$C$6,S499&lt;=[1]eRRSP_Rpt!$C$7),1,0)</f>
        <v>1</v>
      </c>
      <c r="R499" s="4"/>
      <c r="S499" s="4">
        <f t="shared" si="63"/>
        <v>2008</v>
      </c>
      <c r="T499" s="4"/>
      <c r="U499" s="4" t="str">
        <f t="shared" si="66"/>
        <v>BuyCentral Fund of Canada</v>
      </c>
      <c r="V499" s="23">
        <f>IFERROR(IF(AND(AB499&gt;0,B499&lt;&gt;"Sell"),(AA499-SUMIF(C$4:C498,C499,AC$4:AC499))/AB499,0),"")</f>
        <v>-10.243200000000002</v>
      </c>
      <c r="W499" s="24" t="str">
        <f t="shared" si="61"/>
        <v/>
      </c>
      <c r="X499" s="25" t="str">
        <f t="shared" si="60"/>
        <v>Central Fund of Canada_ACB</v>
      </c>
      <c r="Y499" s="10" t="str">
        <f>IF(S500&lt;&gt;eRRSP_Tx_Table[[#This Row],[Year]],SUMIFS($W$4:$W499,$S$4:$S499,eRRSP_Tx_Table[[#This Row],[Year]],$W$4:$W499,"&gt;0"),"")</f>
        <v/>
      </c>
      <c r="Z499" s="10" t="str">
        <f>IF(S500&lt;&gt;eRRSP_Tx_Table[[#This Row],[Year]],SUMIFS($W$4:$W499,$S$4:$S499,eRRSP_Tx_Table[[#This Row],[Year]],$W$4:$W499,"&lt;0"),"")</f>
        <v/>
      </c>
      <c r="AA499" s="3">
        <f>(SUMIF($U$4:$U499,CONCATENATE("Buy",$C499),$N$4:$N499)+SUMIF($U$4:$U499,CONCATENATE("ReinvDiv",$C499),$N$4:$N499))</f>
        <v>-2304.7200000000003</v>
      </c>
      <c r="AB499" s="3">
        <f>(SUMIF($U$4:$U499,CONCATENATE("Buy",$C499),$F$4:$F499)+SUMIF($U$4:$U499,CONCATENATE("ReinvDiv",$C499),$F$4:$F499)+SUMIF($U$4:$U499,CONCATENATE("StkSplit",$C499),$F$4:$F499)-SUMIF($U$4:$U499,CONCATENATE("Sell",$C499),$F$4:$F499))</f>
        <v>225</v>
      </c>
      <c r="AC499" s="3">
        <f>IF(B499="Sell",F499*INDEX(V:V,LOOKUP(2,1/(X$4:X498=CONCATENATE(C499,"_ACB")),ROW(V$4:V498))),0)</f>
        <v>0</v>
      </c>
    </row>
    <row r="500" spans="1:29" x14ac:dyDescent="0.25">
      <c r="A500" s="20">
        <v>39535</v>
      </c>
      <c r="B500" t="s">
        <v>41</v>
      </c>
      <c r="C500" t="s">
        <v>62</v>
      </c>
      <c r="D500" s="3">
        <v>28.21</v>
      </c>
      <c r="E500">
        <v>15.125999999999999</v>
      </c>
      <c r="F500" s="3">
        <v>1.865</v>
      </c>
      <c r="M500" s="21">
        <f t="shared" si="64"/>
        <v>28.21</v>
      </c>
      <c r="N500" s="8">
        <f t="shared" si="62"/>
        <v>-28.21</v>
      </c>
      <c r="O500" s="25">
        <f t="shared" si="67"/>
        <v>34438.779999999992</v>
      </c>
      <c r="P500" s="8">
        <f t="shared" si="65"/>
        <v>0</v>
      </c>
      <c r="Q500" s="4">
        <f>IF(AND(S500&gt;=[1]eRRSP_Rpt!$C$6,S500&lt;=[1]eRRSP_Rpt!$C$7),1,0)</f>
        <v>1</v>
      </c>
      <c r="R500" s="4"/>
      <c r="S500" s="4">
        <f t="shared" si="63"/>
        <v>2008</v>
      </c>
      <c r="T500" s="4"/>
      <c r="U500" s="4" t="str">
        <f t="shared" si="66"/>
        <v>ReinvDivTD RR Bond</v>
      </c>
      <c r="V500" s="23">
        <f>IFERROR(IF(AND(AB500&gt;0,B500&lt;&gt;"Sell"),(AA500-SUMIF(C$4:C499,C500,AC$4:AC500))/AB500,0),"")</f>
        <v>-14.215080364729918</v>
      </c>
      <c r="W500" s="24" t="str">
        <f t="shared" si="61"/>
        <v/>
      </c>
      <c r="X500" s="25" t="str">
        <f t="shared" si="60"/>
        <v>TD RR Bond_ACB</v>
      </c>
      <c r="Y500" s="10" t="str">
        <f>IF(S501&lt;&gt;eRRSP_Tx_Table[[#This Row],[Year]],SUMIFS($W$4:$W500,$S$4:$S500,eRRSP_Tx_Table[[#This Row],[Year]],$W$4:$W500,"&gt;0"),"")</f>
        <v/>
      </c>
      <c r="Z500" s="10" t="str">
        <f>IF(S501&lt;&gt;eRRSP_Tx_Table[[#This Row],[Year]],SUMIFS($W$4:$W500,$S$4:$S500,eRRSP_Tx_Table[[#This Row],[Year]],$W$4:$W500,"&lt;0"),"")</f>
        <v/>
      </c>
      <c r="AA500" s="3">
        <f>(SUMIF($U$4:$U500,CONCATENATE("Buy",$C500),$N$4:$N500)+SUMIF($U$4:$U500,CONCATENATE("ReinvDiv",$C500),$N$4:$N500))</f>
        <v>-9434.89</v>
      </c>
      <c r="AB500" s="3">
        <f>(SUMIF($U$4:$U500,CONCATENATE("Buy",$C500),$F$4:$F500)+SUMIF($U$4:$U500,CONCATENATE("ReinvDiv",$C500),$F$4:$F500)+SUMIF($U$4:$U500,CONCATENATE("StkSplit",$C500),$F$4:$F500)-SUMIF($U$4:$U500,CONCATENATE("Sell",$C500),$F$4:$F500))</f>
        <v>663.72399999999993</v>
      </c>
      <c r="AC500" s="3">
        <f>IF(B500="Sell",F500*INDEX(V:V,LOOKUP(2,1/(X$4:X499=CONCATENATE(C500,"_ACB")),ROW(V$4:V499))),0)</f>
        <v>0</v>
      </c>
    </row>
    <row r="501" spans="1:29" x14ac:dyDescent="0.25">
      <c r="A501" s="20">
        <v>39538</v>
      </c>
      <c r="B501" t="s">
        <v>42</v>
      </c>
      <c r="C501" t="s">
        <v>86</v>
      </c>
      <c r="D501" s="3">
        <v>6.33</v>
      </c>
      <c r="M501" s="21">
        <f t="shared" si="64"/>
        <v>6.33</v>
      </c>
      <c r="N501" s="8">
        <f t="shared" si="62"/>
        <v>6.33</v>
      </c>
      <c r="O501" s="25">
        <f t="shared" si="67"/>
        <v>34445.109999999993</v>
      </c>
      <c r="P501" s="8">
        <f t="shared" si="65"/>
        <v>0</v>
      </c>
      <c r="Q501" s="4">
        <f>IF(AND(S501&gt;=[1]eRRSP_Rpt!$C$6,S501&lt;=[1]eRRSP_Rpt!$C$7),1,0)</f>
        <v>1</v>
      </c>
      <c r="R501" s="4"/>
      <c r="S501" s="4">
        <f t="shared" si="63"/>
        <v>2008</v>
      </c>
      <c r="T501" s="4"/>
      <c r="U501" s="4" t="str">
        <f t="shared" si="66"/>
        <v>DiviShares S&amp;P SmallCap</v>
      </c>
      <c r="V501" s="23">
        <f>IFERROR(IF(AND(AB501&gt;0,B501&lt;&gt;"Sell"),(AA501-SUMIF(C$4:C500,C501,AC$4:AC501))/AB501,0),"")</f>
        <v>-70.414404761904763</v>
      </c>
      <c r="W501" s="24" t="str">
        <f t="shared" si="61"/>
        <v/>
      </c>
      <c r="X501" s="25" t="str">
        <f t="shared" si="60"/>
        <v>iShares S&amp;P SmallCap_ACB</v>
      </c>
      <c r="Y501" s="10" t="str">
        <f>IF(S502&lt;&gt;eRRSP_Tx_Table[[#This Row],[Year]],SUMIFS($W$4:$W501,$S$4:$S501,eRRSP_Tx_Table[[#This Row],[Year]],$W$4:$W501,"&gt;0"),"")</f>
        <v/>
      </c>
      <c r="Z501" s="10" t="str">
        <f>IF(S502&lt;&gt;eRRSP_Tx_Table[[#This Row],[Year]],SUMIFS($W$4:$W501,$S$4:$S501,eRRSP_Tx_Table[[#This Row],[Year]],$W$4:$W501,"&lt;0"),"")</f>
        <v/>
      </c>
      <c r="AA501" s="3">
        <f>(SUMIF($U$4:$U501,CONCATENATE("Buy",$C501),$N$4:$N501)+SUMIF($U$4:$U501,CONCATENATE("ReinvDiv",$C501),$N$4:$N501))</f>
        <v>-5914.81</v>
      </c>
      <c r="AB501" s="3">
        <f>(SUMIF($U$4:$U501,CONCATENATE("Buy",$C501),$F$4:$F501)+SUMIF($U$4:$U501,CONCATENATE("ReinvDiv",$C501),$F$4:$F501)+SUMIF($U$4:$U501,CONCATENATE("StkSplit",$C501),$F$4:$F501)-SUMIF($U$4:$U501,CONCATENATE("Sell",$C501),$F$4:$F501))</f>
        <v>84</v>
      </c>
      <c r="AC501" s="3">
        <f>IF(B501="Sell",F501*INDEX(V:V,LOOKUP(2,1/(X$4:X500=CONCATENATE(C501,"_ACB")),ROW(V$4:V500))),0)</f>
        <v>0</v>
      </c>
    </row>
    <row r="502" spans="1:29" x14ac:dyDescent="0.25">
      <c r="A502" s="20">
        <v>39538</v>
      </c>
      <c r="B502" t="s">
        <v>42</v>
      </c>
      <c r="C502" t="s">
        <v>90</v>
      </c>
      <c r="D502" s="3">
        <v>19.010000000000002</v>
      </c>
      <c r="M502" s="21">
        <f t="shared" si="64"/>
        <v>19.010000000000002</v>
      </c>
      <c r="N502" s="8">
        <f t="shared" si="62"/>
        <v>19.010000000000002</v>
      </c>
      <c r="O502" s="25">
        <f t="shared" si="67"/>
        <v>34464.119999999995</v>
      </c>
      <c r="P502" s="8">
        <f t="shared" si="65"/>
        <v>0</v>
      </c>
      <c r="Q502" s="4">
        <f>IF(AND(S502&gt;=[1]eRRSP_Rpt!$C$6,S502&lt;=[1]eRRSP_Rpt!$C$7),1,0)</f>
        <v>1</v>
      </c>
      <c r="R502" s="4"/>
      <c r="S502" s="4">
        <f t="shared" si="63"/>
        <v>2008</v>
      </c>
      <c r="T502" s="4"/>
      <c r="U502" s="4" t="str">
        <f t="shared" si="66"/>
        <v>DivVanguard Large Cap ETF</v>
      </c>
      <c r="V502" s="23">
        <f>IFERROR(IF(AND(AB502&gt;0,B502&lt;&gt;"Sell"),(AA502-SUMIF(C$4:C501,C502,AC$4:AC502))/AB502,0),"")</f>
        <v>-74.401142857142858</v>
      </c>
      <c r="W502" s="24" t="str">
        <f t="shared" si="61"/>
        <v/>
      </c>
      <c r="X502" s="25" t="str">
        <f t="shared" si="60"/>
        <v>Vanguard Large Cap ETF_ACB</v>
      </c>
      <c r="Y502" s="10" t="str">
        <f>IF(S503&lt;&gt;eRRSP_Tx_Table[[#This Row],[Year]],SUMIFS($W$4:$W502,$S$4:$S502,eRRSP_Tx_Table[[#This Row],[Year]],$W$4:$W502,"&gt;0"),"")</f>
        <v/>
      </c>
      <c r="Z502" s="10" t="str">
        <f>IF(S503&lt;&gt;eRRSP_Tx_Table[[#This Row],[Year]],SUMIFS($W$4:$W502,$S$4:$S502,eRRSP_Tx_Table[[#This Row],[Year]],$W$4:$W502,"&lt;0"),"")</f>
        <v/>
      </c>
      <c r="AA502" s="3">
        <f>(SUMIF($U$4:$U502,CONCATENATE("Buy",$C502),$N$4:$N502)+SUMIF($U$4:$U502,CONCATENATE("ReinvDiv",$C502),$N$4:$N502))</f>
        <v>-5208.08</v>
      </c>
      <c r="AB502" s="3">
        <f>(SUMIF($U$4:$U502,CONCATENATE("Buy",$C502),$F$4:$F502)+SUMIF($U$4:$U502,CONCATENATE("ReinvDiv",$C502),$F$4:$F502)+SUMIF($U$4:$U502,CONCATENATE("StkSplit",$C502),$F$4:$F502)-SUMIF($U$4:$U502,CONCATENATE("Sell",$C502),$F$4:$F502))</f>
        <v>70</v>
      </c>
      <c r="AC502" s="3">
        <f>IF(B502="Sell",F502*INDEX(V:V,LOOKUP(2,1/(X$4:X501=CONCATENATE(C502,"_ACB")),ROW(V$4:V501))),0)</f>
        <v>0</v>
      </c>
    </row>
    <row r="503" spans="1:29" x14ac:dyDescent="0.25">
      <c r="A503" s="20">
        <v>39545</v>
      </c>
      <c r="B503" t="s">
        <v>42</v>
      </c>
      <c r="C503" t="s">
        <v>88</v>
      </c>
      <c r="D503" s="3">
        <v>26.88</v>
      </c>
      <c r="M503" s="21">
        <f t="shared" si="64"/>
        <v>26.88</v>
      </c>
      <c r="N503" s="8">
        <f t="shared" si="62"/>
        <v>26.88</v>
      </c>
      <c r="O503" s="25">
        <f t="shared" si="67"/>
        <v>34490.999999999993</v>
      </c>
      <c r="P503" s="8">
        <f t="shared" si="65"/>
        <v>0</v>
      </c>
      <c r="Q503" s="4">
        <f>IF(AND(S503&gt;=[1]eRRSP_Rpt!$C$6,S503&lt;=[1]eRRSP_Rpt!$C$7),1,0)</f>
        <v>1</v>
      </c>
      <c r="R503" s="4"/>
      <c r="S503" s="4">
        <f t="shared" si="63"/>
        <v>2008</v>
      </c>
      <c r="T503" s="4"/>
      <c r="U503" s="4" t="str">
        <f t="shared" si="66"/>
        <v>DiviShares IBOXX (US$)</v>
      </c>
      <c r="V503" s="23">
        <f>IFERROR(IF(AND(AB503&gt;0,B503&lt;&gt;"Sell"),(AA503-SUMIF(C$4:C502,C503,AC$4:AC503))/AB503,0),"")</f>
        <v>-127.70865384615385</v>
      </c>
      <c r="W503" s="24" t="str">
        <f t="shared" si="61"/>
        <v/>
      </c>
      <c r="X503" s="25" t="str">
        <f t="shared" si="60"/>
        <v>iShares IBOXX (US$)_ACB</v>
      </c>
      <c r="Y503" s="10" t="str">
        <f>IF(S504&lt;&gt;eRRSP_Tx_Table[[#This Row],[Year]],SUMIFS($W$4:$W503,$S$4:$S503,eRRSP_Tx_Table[[#This Row],[Year]],$W$4:$W503,"&gt;0"),"")</f>
        <v/>
      </c>
      <c r="Z503" s="10" t="str">
        <f>IF(S504&lt;&gt;eRRSP_Tx_Table[[#This Row],[Year]],SUMIFS($W$4:$W503,$S$4:$S503,eRRSP_Tx_Table[[#This Row],[Year]],$W$4:$W503,"&lt;0"),"")</f>
        <v/>
      </c>
      <c r="AA503" s="3">
        <f>(SUMIF($U$4:$U503,CONCATENATE("Buy",$C503),$N$4:$N503)+SUMIF($U$4:$U503,CONCATENATE("ReinvDiv",$C503),$N$4:$N503))</f>
        <v>-6640.85</v>
      </c>
      <c r="AB503" s="3">
        <f>(SUMIF($U$4:$U503,CONCATENATE("Buy",$C503),$F$4:$F503)+SUMIF($U$4:$U503,CONCATENATE("ReinvDiv",$C503),$F$4:$F503)+SUMIF($U$4:$U503,CONCATENATE("StkSplit",$C503),$F$4:$F503)-SUMIF($U$4:$U503,CONCATENATE("Sell",$C503),$F$4:$F503))</f>
        <v>52</v>
      </c>
      <c r="AC503" s="3">
        <f>IF(B503="Sell",F503*INDEX(V:V,LOOKUP(2,1/(X$4:X502=CONCATENATE(C503,"_ACB")),ROW(V$4:V502))),0)</f>
        <v>0</v>
      </c>
    </row>
    <row r="504" spans="1:29" x14ac:dyDescent="0.25">
      <c r="A504" s="20">
        <v>39549</v>
      </c>
      <c r="B504" t="s">
        <v>42</v>
      </c>
      <c r="C504" t="s">
        <v>87</v>
      </c>
      <c r="D504" s="3">
        <v>41.17</v>
      </c>
      <c r="M504" s="21">
        <f t="shared" si="64"/>
        <v>41.17</v>
      </c>
      <c r="N504" s="8">
        <f t="shared" si="62"/>
        <v>41.17</v>
      </c>
      <c r="O504" s="25">
        <f t="shared" si="67"/>
        <v>34532.169999999991</v>
      </c>
      <c r="P504" s="8">
        <f t="shared" si="65"/>
        <v>0</v>
      </c>
      <c r="Q504" s="4">
        <f>IF(AND(S504&gt;=[1]eRRSP_Rpt!$C$6,S504&lt;=[1]eRRSP_Rpt!$C$7),1,0)</f>
        <v>1</v>
      </c>
      <c r="R504" s="4"/>
      <c r="S504" s="4">
        <f t="shared" si="63"/>
        <v>2008</v>
      </c>
      <c r="T504" s="4"/>
      <c r="U504" s="4" t="str">
        <f t="shared" si="66"/>
        <v>DivAberdeen Asia Pacific Income Fund</v>
      </c>
      <c r="V504" s="23">
        <f>IFERROR(IF(AND(AB504&gt;0,B504&lt;&gt;"Sell"),(AA504-SUMIF(C$4:C503,C504,AC$4:AC504))/AB504,0),"")</f>
        <v>-7.4694020797227028</v>
      </c>
      <c r="W504" s="24" t="str">
        <f t="shared" si="61"/>
        <v/>
      </c>
      <c r="X504" s="25" t="str">
        <f t="shared" si="60"/>
        <v>Aberdeen Asia Pacific Income Fund_ACB</v>
      </c>
      <c r="Y504" s="10" t="str">
        <f>IF(S505&lt;&gt;eRRSP_Tx_Table[[#This Row],[Year]],SUMIFS($W$4:$W504,$S$4:$S504,eRRSP_Tx_Table[[#This Row],[Year]],$W$4:$W504,"&gt;0"),"")</f>
        <v/>
      </c>
      <c r="Z504" s="10" t="str">
        <f>IF(S505&lt;&gt;eRRSP_Tx_Table[[#This Row],[Year]],SUMIFS($W$4:$W504,$S$4:$S504,eRRSP_Tx_Table[[#This Row],[Year]],$W$4:$W504,"&lt;0"),"")</f>
        <v/>
      </c>
      <c r="AA504" s="3">
        <f>(SUMIF($U$4:$U504,CONCATENATE("Buy",$C504),$N$4:$N504)+SUMIF($U$4:$U504,CONCATENATE("ReinvDiv",$C504),$N$4:$N504))</f>
        <v>-8619.6899999999987</v>
      </c>
      <c r="AB504" s="3">
        <f>(SUMIF($U$4:$U504,CONCATENATE("Buy",$C504),$F$4:$F504)+SUMIF($U$4:$U504,CONCATENATE("ReinvDiv",$C504),$F$4:$F504)+SUMIF($U$4:$U504,CONCATENATE("StkSplit",$C504),$F$4:$F504)-SUMIF($U$4:$U504,CONCATENATE("Sell",$C504),$F$4:$F504))</f>
        <v>1154</v>
      </c>
      <c r="AC504" s="3">
        <f>IF(B504="Sell",F504*INDEX(V:V,LOOKUP(2,1/(X$4:X503=CONCATENATE(C504,"_ACB")),ROW(V$4:V503))),0)</f>
        <v>0</v>
      </c>
    </row>
    <row r="505" spans="1:29" x14ac:dyDescent="0.25">
      <c r="A505" s="20">
        <v>39554</v>
      </c>
      <c r="B505" t="s">
        <v>43</v>
      </c>
      <c r="C505" t="s">
        <v>36</v>
      </c>
      <c r="D505" s="3">
        <v>22.16</v>
      </c>
      <c r="M505" s="21">
        <f t="shared" si="64"/>
        <v>22.16</v>
      </c>
      <c r="N505" s="8">
        <f t="shared" si="62"/>
        <v>22.16</v>
      </c>
      <c r="O505" s="25">
        <f t="shared" si="67"/>
        <v>34554.329999999994</v>
      </c>
      <c r="P505" s="8">
        <f t="shared" si="65"/>
        <v>0</v>
      </c>
      <c r="Q505" s="4">
        <f>IF(AND(S505&gt;=[1]eRRSP_Rpt!$C$6,S505&lt;=[1]eRRSP_Rpt!$C$7),1,0)</f>
        <v>1</v>
      </c>
      <c r="R505" s="4"/>
      <c r="S505" s="4">
        <f t="shared" si="63"/>
        <v>2008</v>
      </c>
      <c r="T505" s="4"/>
      <c r="U505" s="4" t="str">
        <f t="shared" si="66"/>
        <v>IntIncTDW</v>
      </c>
      <c r="V505" s="23">
        <f>IFERROR(IF(AND(AB505&gt;0,B505&lt;&gt;"Sell"),(AA505-SUMIF(C$4:C504,C505,AC$4:AC505))/AB505,0),"")</f>
        <v>0</v>
      </c>
      <c r="W505" s="24" t="str">
        <f t="shared" si="61"/>
        <v/>
      </c>
      <c r="X505" s="25" t="str">
        <f t="shared" si="60"/>
        <v/>
      </c>
      <c r="Y505" s="10" t="str">
        <f>IF(S506&lt;&gt;eRRSP_Tx_Table[[#This Row],[Year]],SUMIFS($W$4:$W505,$S$4:$S505,eRRSP_Tx_Table[[#This Row],[Year]],$W$4:$W505,"&gt;0"),"")</f>
        <v/>
      </c>
      <c r="Z505" s="10" t="str">
        <f>IF(S506&lt;&gt;eRRSP_Tx_Table[[#This Row],[Year]],SUMIFS($W$4:$W505,$S$4:$S505,eRRSP_Tx_Table[[#This Row],[Year]],$W$4:$W505,"&lt;0"),"")</f>
        <v/>
      </c>
      <c r="AA505" s="3">
        <f>(SUMIF($U$4:$U505,CONCATENATE("Buy",$C505),$N$4:$N505)+SUMIF($U$4:$U505,CONCATENATE("ReinvDiv",$C505),$N$4:$N505))</f>
        <v>0</v>
      </c>
      <c r="AB505" s="3">
        <f>(SUMIF($U$4:$U505,CONCATENATE("Buy",$C505),$F$4:$F505)+SUMIF($U$4:$U505,CONCATENATE("ReinvDiv",$C505),$F$4:$F505)+SUMIF($U$4:$U505,CONCATENATE("StkSplit",$C505),$F$4:$F505)-SUMIF($U$4:$U505,CONCATENATE("Sell",$C505),$F$4:$F505))</f>
        <v>0</v>
      </c>
      <c r="AC505" s="3">
        <f>IF(B505="Sell",F505*INDEX(V:V,LOOKUP(2,1/(X$4:X504=CONCATENATE(C505,"_ACB")),ROW(V$4:V504))),0)</f>
        <v>0</v>
      </c>
    </row>
    <row r="506" spans="1:29" x14ac:dyDescent="0.25">
      <c r="A506" s="20">
        <v>39568</v>
      </c>
      <c r="B506" t="s">
        <v>42</v>
      </c>
      <c r="C506" t="s">
        <v>45</v>
      </c>
      <c r="D506" s="3">
        <v>11.8</v>
      </c>
      <c r="M506" s="21">
        <f t="shared" si="64"/>
        <v>11.8</v>
      </c>
      <c r="N506" s="8">
        <f t="shared" si="62"/>
        <v>11.8</v>
      </c>
      <c r="O506" s="25">
        <f t="shared" si="67"/>
        <v>34566.129999999997</v>
      </c>
      <c r="P506" s="8">
        <f t="shared" si="65"/>
        <v>0</v>
      </c>
      <c r="Q506" s="4">
        <f>IF(AND(S506&gt;=[1]eRRSP_Rpt!$C$6,S506&lt;=[1]eRRSP_Rpt!$C$7),1,0)</f>
        <v>1</v>
      </c>
      <c r="R506" s="4"/>
      <c r="S506" s="4">
        <f t="shared" si="63"/>
        <v>2008</v>
      </c>
      <c r="T506" s="4"/>
      <c r="U506" s="4" t="str">
        <f t="shared" si="66"/>
        <v>DivTD Bank</v>
      </c>
      <c r="V506" s="23">
        <f>IFERROR(IF(AND(AB506&gt;0,B506&lt;&gt;"Sell"),(AA506-SUMIF(C$4:C505,C506,AC$4:AC506))/AB506,0),"")</f>
        <v>-44.29</v>
      </c>
      <c r="W506" s="24" t="str">
        <f t="shared" si="61"/>
        <v/>
      </c>
      <c r="X506" s="25" t="str">
        <f t="shared" si="60"/>
        <v>TD Bank_ACB</v>
      </c>
      <c r="Y506" s="10" t="str">
        <f>IF(S507&lt;&gt;eRRSP_Tx_Table[[#This Row],[Year]],SUMIFS($W$4:$W506,$S$4:$S506,eRRSP_Tx_Table[[#This Row],[Year]],$W$4:$W506,"&gt;0"),"")</f>
        <v/>
      </c>
      <c r="Z506" s="10" t="str">
        <f>IF(S507&lt;&gt;eRRSP_Tx_Table[[#This Row],[Year]],SUMIFS($W$4:$W506,$S$4:$S506,eRRSP_Tx_Table[[#This Row],[Year]],$W$4:$W506,"&lt;0"),"")</f>
        <v/>
      </c>
      <c r="AA506" s="3">
        <f>(SUMIF($U$4:$U506,CONCATENATE("Buy",$C506),$N$4:$N506)+SUMIF($U$4:$U506,CONCATENATE("ReinvDiv",$C506),$N$4:$N506))</f>
        <v>-885.8</v>
      </c>
      <c r="AB506" s="3">
        <f>(SUMIF($U$4:$U506,CONCATENATE("Buy",$C506),$F$4:$F506)+SUMIF($U$4:$U506,CONCATENATE("ReinvDiv",$C506),$F$4:$F506)+SUMIF($U$4:$U506,CONCATENATE("StkSplit",$C506),$F$4:$F506)-SUMIF($U$4:$U506,CONCATENATE("Sell",$C506),$F$4:$F506))</f>
        <v>20</v>
      </c>
      <c r="AC506" s="3">
        <f>IF(B506="Sell",F506*INDEX(V:V,LOOKUP(2,1/(X$4:X505=CONCATENATE(C506,"_ACB")),ROW(V$4:V505))),0)</f>
        <v>0</v>
      </c>
    </row>
    <row r="507" spans="1:29" x14ac:dyDescent="0.25">
      <c r="A507" s="20">
        <v>39575</v>
      </c>
      <c r="B507" t="s">
        <v>42</v>
      </c>
      <c r="C507" t="s">
        <v>88</v>
      </c>
      <c r="D507" s="3">
        <v>24.11</v>
      </c>
      <c r="M507" s="21">
        <f t="shared" si="64"/>
        <v>24.11</v>
      </c>
      <c r="N507" s="8">
        <f t="shared" si="62"/>
        <v>24.11</v>
      </c>
      <c r="O507" s="25">
        <f t="shared" si="67"/>
        <v>34590.239999999998</v>
      </c>
      <c r="P507" s="8">
        <f t="shared" si="65"/>
        <v>0</v>
      </c>
      <c r="Q507" s="4">
        <f>IF(AND(S507&gt;=[1]eRRSP_Rpt!$C$6,S507&lt;=[1]eRRSP_Rpt!$C$7),1,0)</f>
        <v>1</v>
      </c>
      <c r="R507" s="4"/>
      <c r="S507" s="4">
        <f t="shared" si="63"/>
        <v>2008</v>
      </c>
      <c r="T507" s="4"/>
      <c r="U507" s="4" t="str">
        <f t="shared" si="66"/>
        <v>DiviShares IBOXX (US$)</v>
      </c>
      <c r="V507" s="23">
        <f>IFERROR(IF(AND(AB507&gt;0,B507&lt;&gt;"Sell"),(AA507-SUMIF(C$4:C506,C507,AC$4:AC507))/AB507,0),"")</f>
        <v>-127.70865384615385</v>
      </c>
      <c r="W507" s="24" t="str">
        <f t="shared" si="61"/>
        <v/>
      </c>
      <c r="X507" s="25" t="str">
        <f t="shared" si="60"/>
        <v>iShares IBOXX (US$)_ACB</v>
      </c>
      <c r="Y507" s="10" t="str">
        <f>IF(S508&lt;&gt;eRRSP_Tx_Table[[#This Row],[Year]],SUMIFS($W$4:$W507,$S$4:$S507,eRRSP_Tx_Table[[#This Row],[Year]],$W$4:$W507,"&gt;0"),"")</f>
        <v/>
      </c>
      <c r="Z507" s="10" t="str">
        <f>IF(S508&lt;&gt;eRRSP_Tx_Table[[#This Row],[Year]],SUMIFS($W$4:$W507,$S$4:$S507,eRRSP_Tx_Table[[#This Row],[Year]],$W$4:$W507,"&lt;0"),"")</f>
        <v/>
      </c>
      <c r="AA507" s="3">
        <f>(SUMIF($U$4:$U507,CONCATENATE("Buy",$C507),$N$4:$N507)+SUMIF($U$4:$U507,CONCATENATE("ReinvDiv",$C507),$N$4:$N507))</f>
        <v>-6640.85</v>
      </c>
      <c r="AB507" s="3">
        <f>(SUMIF($U$4:$U507,CONCATENATE("Buy",$C507),$F$4:$F507)+SUMIF($U$4:$U507,CONCATENATE("ReinvDiv",$C507),$F$4:$F507)+SUMIF($U$4:$U507,CONCATENATE("StkSplit",$C507),$F$4:$F507)-SUMIF($U$4:$U507,CONCATENATE("Sell",$C507),$F$4:$F507))</f>
        <v>52</v>
      </c>
      <c r="AC507" s="3">
        <f>IF(B507="Sell",F507*INDEX(V:V,LOOKUP(2,1/(X$4:X506=CONCATENATE(C507,"_ACB")),ROW(V$4:V506))),0)</f>
        <v>0</v>
      </c>
    </row>
    <row r="508" spans="1:29" x14ac:dyDescent="0.25">
      <c r="A508" s="20">
        <v>39584</v>
      </c>
      <c r="B508" t="s">
        <v>43</v>
      </c>
      <c r="C508" t="s">
        <v>36</v>
      </c>
      <c r="D508" s="3">
        <v>10.41</v>
      </c>
      <c r="M508" s="21">
        <f t="shared" si="64"/>
        <v>10.41</v>
      </c>
      <c r="N508" s="8">
        <f t="shared" si="62"/>
        <v>10.41</v>
      </c>
      <c r="O508" s="25">
        <f t="shared" si="67"/>
        <v>34600.65</v>
      </c>
      <c r="P508" s="8">
        <f t="shared" si="65"/>
        <v>0</v>
      </c>
      <c r="Q508" s="4">
        <f>IF(AND(S508&gt;=[1]eRRSP_Rpt!$C$6,S508&lt;=[1]eRRSP_Rpt!$C$7),1,0)</f>
        <v>1</v>
      </c>
      <c r="R508" s="4"/>
      <c r="S508" s="4">
        <f t="shared" si="63"/>
        <v>2008</v>
      </c>
      <c r="T508" s="4"/>
      <c r="U508" s="4" t="str">
        <f t="shared" si="66"/>
        <v>IntIncTDW</v>
      </c>
      <c r="V508" s="23">
        <f>IFERROR(IF(AND(AB508&gt;0,B508&lt;&gt;"Sell"),(AA508-SUMIF(C$4:C507,C508,AC$4:AC508))/AB508,0),"")</f>
        <v>0</v>
      </c>
      <c r="W508" s="24" t="str">
        <f t="shared" si="61"/>
        <v/>
      </c>
      <c r="X508" s="25" t="str">
        <f t="shared" si="60"/>
        <v/>
      </c>
      <c r="Y508" s="10" t="str">
        <f>IF(S509&lt;&gt;eRRSP_Tx_Table[[#This Row],[Year]],SUMIFS($W$4:$W508,$S$4:$S508,eRRSP_Tx_Table[[#This Row],[Year]],$W$4:$W508,"&gt;0"),"")</f>
        <v/>
      </c>
      <c r="Z508" s="10" t="str">
        <f>IF(S509&lt;&gt;eRRSP_Tx_Table[[#This Row],[Year]],SUMIFS($W$4:$W508,$S$4:$S508,eRRSP_Tx_Table[[#This Row],[Year]],$W$4:$W508,"&lt;0"),"")</f>
        <v/>
      </c>
      <c r="AA508" s="3">
        <f>(SUMIF($U$4:$U508,CONCATENATE("Buy",$C508),$N$4:$N508)+SUMIF($U$4:$U508,CONCATENATE("ReinvDiv",$C508),$N$4:$N508))</f>
        <v>0</v>
      </c>
      <c r="AB508" s="3">
        <f>(SUMIF($U$4:$U508,CONCATENATE("Buy",$C508),$F$4:$F508)+SUMIF($U$4:$U508,CONCATENATE("ReinvDiv",$C508),$F$4:$F508)+SUMIF($U$4:$U508,CONCATENATE("StkSplit",$C508),$F$4:$F508)-SUMIF($U$4:$U508,CONCATENATE("Sell",$C508),$F$4:$F508))</f>
        <v>0</v>
      </c>
      <c r="AC508" s="3">
        <f>IF(B508="Sell",F508*INDEX(V:V,LOOKUP(2,1/(X$4:X507=CONCATENATE(C508,"_ACB")),ROW(V$4:V507))),0)</f>
        <v>0</v>
      </c>
    </row>
    <row r="509" spans="1:29" x14ac:dyDescent="0.25">
      <c r="A509" s="20">
        <v>39584</v>
      </c>
      <c r="B509" t="s">
        <v>42</v>
      </c>
      <c r="C509" t="s">
        <v>87</v>
      </c>
      <c r="D509" s="3">
        <v>40.369999999999997</v>
      </c>
      <c r="M509" s="21">
        <f t="shared" si="64"/>
        <v>40.369999999999997</v>
      </c>
      <c r="N509" s="8">
        <f t="shared" si="62"/>
        <v>40.369999999999997</v>
      </c>
      <c r="O509" s="25">
        <f t="shared" si="67"/>
        <v>34641.020000000004</v>
      </c>
      <c r="P509" s="8">
        <f t="shared" si="65"/>
        <v>0</v>
      </c>
      <c r="Q509" s="4">
        <f>IF(AND(S509&gt;=[1]eRRSP_Rpt!$C$6,S509&lt;=[1]eRRSP_Rpt!$C$7),1,0)</f>
        <v>1</v>
      </c>
      <c r="R509" s="4"/>
      <c r="S509" s="4">
        <f t="shared" si="63"/>
        <v>2008</v>
      </c>
      <c r="T509" s="4"/>
      <c r="U509" s="4" t="str">
        <f t="shared" si="66"/>
        <v>DivAberdeen Asia Pacific Income Fund</v>
      </c>
      <c r="V509" s="23">
        <f>IFERROR(IF(AND(AB509&gt;0,B509&lt;&gt;"Sell"),(AA509-SUMIF(C$4:C508,C509,AC$4:AC509))/AB509,0),"")</f>
        <v>-7.4694020797227028</v>
      </c>
      <c r="W509" s="24" t="str">
        <f t="shared" si="61"/>
        <v/>
      </c>
      <c r="X509" s="25" t="str">
        <f t="shared" si="60"/>
        <v>Aberdeen Asia Pacific Income Fund_ACB</v>
      </c>
      <c r="Y509" s="10" t="str">
        <f>IF(S510&lt;&gt;eRRSP_Tx_Table[[#This Row],[Year]],SUMIFS($W$4:$W509,$S$4:$S509,eRRSP_Tx_Table[[#This Row],[Year]],$W$4:$W509,"&gt;0"),"")</f>
        <v/>
      </c>
      <c r="Z509" s="10" t="str">
        <f>IF(S510&lt;&gt;eRRSP_Tx_Table[[#This Row],[Year]],SUMIFS($W$4:$W509,$S$4:$S509,eRRSP_Tx_Table[[#This Row],[Year]],$W$4:$W509,"&lt;0"),"")</f>
        <v/>
      </c>
      <c r="AA509" s="3">
        <f>(SUMIF($U$4:$U509,CONCATENATE("Buy",$C509),$N$4:$N509)+SUMIF($U$4:$U509,CONCATENATE("ReinvDiv",$C509),$N$4:$N509))</f>
        <v>-8619.6899999999987</v>
      </c>
      <c r="AB509" s="3">
        <f>(SUMIF($U$4:$U509,CONCATENATE("Buy",$C509),$F$4:$F509)+SUMIF($U$4:$U509,CONCATENATE("ReinvDiv",$C509),$F$4:$F509)+SUMIF($U$4:$U509,CONCATENATE("StkSplit",$C509),$F$4:$F509)-SUMIF($U$4:$U509,CONCATENATE("Sell",$C509),$F$4:$F509))</f>
        <v>1154</v>
      </c>
      <c r="AC509" s="3">
        <f>IF(B509="Sell",F509*INDEX(V:V,LOOKUP(2,1/(X$4:X508=CONCATENATE(C509,"_ACB")),ROW(V$4:V508))),0)</f>
        <v>0</v>
      </c>
    </row>
    <row r="510" spans="1:29" x14ac:dyDescent="0.25">
      <c r="A510" s="20">
        <v>39600</v>
      </c>
      <c r="B510" t="s">
        <v>42</v>
      </c>
      <c r="C510" t="s">
        <v>33</v>
      </c>
      <c r="D510" s="3">
        <v>24.09</v>
      </c>
      <c r="M510" s="21">
        <f t="shared" si="64"/>
        <v>24.09</v>
      </c>
      <c r="N510" s="8">
        <f t="shared" si="62"/>
        <v>24.09</v>
      </c>
      <c r="O510" s="25">
        <f t="shared" si="67"/>
        <v>34665.11</v>
      </c>
      <c r="P510" s="8">
        <f t="shared" si="65"/>
        <v>0</v>
      </c>
      <c r="Q510" s="4">
        <f>IF(AND(S510&gt;=[1]eRRSP_Rpt!$C$6,S510&lt;=[1]eRRSP_Rpt!$C$7),1,0)</f>
        <v>1</v>
      </c>
      <c r="R510" s="4"/>
      <c r="S510" s="4">
        <f t="shared" si="63"/>
        <v>2008</v>
      </c>
      <c r="T510" s="4"/>
      <c r="U510" s="4" t="str">
        <f t="shared" si="66"/>
        <v>DivEnbridge</v>
      </c>
      <c r="V510" s="23">
        <f>IFERROR(IF(AND(AB510&gt;0,B510&lt;&gt;"Sell"),(AA510-SUMIF(C$4:C509,C510,AC$4:AC510))/AB510,0),"")</f>
        <v>-12.859027777777776</v>
      </c>
      <c r="W510" s="24" t="str">
        <f t="shared" si="61"/>
        <v/>
      </c>
      <c r="X510" s="25" t="str">
        <f t="shared" si="60"/>
        <v>Enbridge_ACB</v>
      </c>
      <c r="Y510" s="10" t="str">
        <f>IF(S511&lt;&gt;eRRSP_Tx_Table[[#This Row],[Year]],SUMIFS($W$4:$W510,$S$4:$S510,eRRSP_Tx_Table[[#This Row],[Year]],$W$4:$W510,"&gt;0"),"")</f>
        <v/>
      </c>
      <c r="Z510" s="10" t="str">
        <f>IF(S511&lt;&gt;eRRSP_Tx_Table[[#This Row],[Year]],SUMIFS($W$4:$W510,$S$4:$S510,eRRSP_Tx_Table[[#This Row],[Year]],$W$4:$W510,"&lt;0"),"")</f>
        <v/>
      </c>
      <c r="AA510" s="3">
        <f>(SUMIF($U$4:$U510,CONCATENATE("Buy",$C510),$N$4:$N510)+SUMIF($U$4:$U510,CONCATENATE("ReinvDiv",$C510),$N$4:$N510))</f>
        <v>-1851.7</v>
      </c>
      <c r="AB510" s="3">
        <f>(SUMIF($U$4:$U510,CONCATENATE("Buy",$C510),$F$4:$F510)+SUMIF($U$4:$U510,CONCATENATE("ReinvDiv",$C510),$F$4:$F510)+SUMIF($U$4:$U510,CONCATENATE("StkSplit",$C510),$F$4:$F510)-SUMIF($U$4:$U510,CONCATENATE("Sell",$C510),$F$4:$F510))</f>
        <v>73</v>
      </c>
      <c r="AC510" s="3">
        <f>IF(B510="Sell",F510*INDEX(V:V,LOOKUP(2,1/(X$4:X509=CONCATENATE(C510,"_ACB")),ROW(V$4:V509))),0)</f>
        <v>0</v>
      </c>
    </row>
    <row r="511" spans="1:29" x14ac:dyDescent="0.25">
      <c r="A511" s="20">
        <v>39605</v>
      </c>
      <c r="B511" t="s">
        <v>42</v>
      </c>
      <c r="C511" t="s">
        <v>88</v>
      </c>
      <c r="D511" s="3">
        <v>25.07</v>
      </c>
      <c r="M511" s="21">
        <f t="shared" si="64"/>
        <v>25.07</v>
      </c>
      <c r="N511" s="8">
        <f t="shared" si="62"/>
        <v>25.07</v>
      </c>
      <c r="O511" s="25">
        <f t="shared" si="67"/>
        <v>34690.18</v>
      </c>
      <c r="P511" s="8">
        <f t="shared" si="65"/>
        <v>0</v>
      </c>
      <c r="Q511" s="4">
        <f>IF(AND(S511&gt;=[1]eRRSP_Rpt!$C$6,S511&lt;=[1]eRRSP_Rpt!$C$7),1,0)</f>
        <v>1</v>
      </c>
      <c r="R511" s="4"/>
      <c r="S511" s="4">
        <f t="shared" si="63"/>
        <v>2008</v>
      </c>
      <c r="T511" s="4"/>
      <c r="U511" s="4" t="str">
        <f t="shared" si="66"/>
        <v>DiviShares IBOXX (US$)</v>
      </c>
      <c r="V511" s="23">
        <f>IFERROR(IF(AND(AB511&gt;0,B511&lt;&gt;"Sell"),(AA511-SUMIF(C$4:C510,C511,AC$4:AC511))/AB511,0),"")</f>
        <v>-127.70865384615385</v>
      </c>
      <c r="W511" s="24" t="str">
        <f t="shared" si="61"/>
        <v/>
      </c>
      <c r="X511" s="25" t="str">
        <f t="shared" si="60"/>
        <v>iShares IBOXX (US$)_ACB</v>
      </c>
      <c r="Y511" s="10" t="str">
        <f>IF(S512&lt;&gt;eRRSP_Tx_Table[[#This Row],[Year]],SUMIFS($W$4:$W511,$S$4:$S511,eRRSP_Tx_Table[[#This Row],[Year]],$W$4:$W511,"&gt;0"),"")</f>
        <v/>
      </c>
      <c r="Z511" s="10" t="str">
        <f>IF(S512&lt;&gt;eRRSP_Tx_Table[[#This Row],[Year]],SUMIFS($W$4:$W511,$S$4:$S511,eRRSP_Tx_Table[[#This Row],[Year]],$W$4:$W511,"&lt;0"),"")</f>
        <v/>
      </c>
      <c r="AA511" s="3">
        <f>(SUMIF($U$4:$U511,CONCATENATE("Buy",$C511),$N$4:$N511)+SUMIF($U$4:$U511,CONCATENATE("ReinvDiv",$C511),$N$4:$N511))</f>
        <v>-6640.85</v>
      </c>
      <c r="AB511" s="3">
        <f>(SUMIF($U$4:$U511,CONCATENATE("Buy",$C511),$F$4:$F511)+SUMIF($U$4:$U511,CONCATENATE("ReinvDiv",$C511),$F$4:$F511)+SUMIF($U$4:$U511,CONCATENATE("StkSplit",$C511),$F$4:$F511)-SUMIF($U$4:$U511,CONCATENATE("Sell",$C511),$F$4:$F511))</f>
        <v>52</v>
      </c>
      <c r="AC511" s="3">
        <f>IF(B511="Sell",F511*INDEX(V:V,LOOKUP(2,1/(X$4:X510=CONCATENATE(C511,"_ACB")),ROW(V$4:V510))),0)</f>
        <v>0</v>
      </c>
    </row>
    <row r="512" spans="1:29" x14ac:dyDescent="0.25">
      <c r="A512" s="20">
        <v>39612</v>
      </c>
      <c r="B512" t="s">
        <v>42</v>
      </c>
      <c r="C512" t="s">
        <v>87</v>
      </c>
      <c r="D512" s="3">
        <v>41.27</v>
      </c>
      <c r="M512" s="21">
        <f t="shared" si="64"/>
        <v>41.27</v>
      </c>
      <c r="N512" s="8">
        <f t="shared" si="62"/>
        <v>41.27</v>
      </c>
      <c r="O512" s="25">
        <f t="shared" si="67"/>
        <v>34731.449999999997</v>
      </c>
      <c r="P512" s="8">
        <f t="shared" si="65"/>
        <v>0</v>
      </c>
      <c r="Q512" s="4">
        <f>IF(AND(S512&gt;=[1]eRRSP_Rpt!$C$6,S512&lt;=[1]eRRSP_Rpt!$C$7),1,0)</f>
        <v>1</v>
      </c>
      <c r="R512" s="4"/>
      <c r="S512" s="4">
        <f t="shared" si="63"/>
        <v>2008</v>
      </c>
      <c r="T512" s="4"/>
      <c r="U512" s="4" t="str">
        <f t="shared" si="66"/>
        <v>DivAberdeen Asia Pacific Income Fund</v>
      </c>
      <c r="V512" s="23">
        <f>IFERROR(IF(AND(AB512&gt;0,B512&lt;&gt;"Sell"),(AA512-SUMIF(C$4:C511,C512,AC$4:AC512))/AB512,0),"")</f>
        <v>-7.4694020797227028</v>
      </c>
      <c r="W512" s="24" t="str">
        <f t="shared" si="61"/>
        <v/>
      </c>
      <c r="X512" s="25" t="str">
        <f t="shared" si="60"/>
        <v>Aberdeen Asia Pacific Income Fund_ACB</v>
      </c>
      <c r="Y512" s="10" t="str">
        <f>IF(S513&lt;&gt;eRRSP_Tx_Table[[#This Row],[Year]],SUMIFS($W$4:$W512,$S$4:$S512,eRRSP_Tx_Table[[#This Row],[Year]],$W$4:$W512,"&gt;0"),"")</f>
        <v/>
      </c>
      <c r="Z512" s="10" t="str">
        <f>IF(S513&lt;&gt;eRRSP_Tx_Table[[#This Row],[Year]],SUMIFS($W$4:$W512,$S$4:$S512,eRRSP_Tx_Table[[#This Row],[Year]],$W$4:$W512,"&lt;0"),"")</f>
        <v/>
      </c>
      <c r="AA512" s="3">
        <f>(SUMIF($U$4:$U512,CONCATENATE("Buy",$C512),$N$4:$N512)+SUMIF($U$4:$U512,CONCATENATE("ReinvDiv",$C512),$N$4:$N512))</f>
        <v>-8619.6899999999987</v>
      </c>
      <c r="AB512" s="3">
        <f>(SUMIF($U$4:$U512,CONCATENATE("Buy",$C512),$F$4:$F512)+SUMIF($U$4:$U512,CONCATENATE("ReinvDiv",$C512),$F$4:$F512)+SUMIF($U$4:$U512,CONCATENATE("StkSplit",$C512),$F$4:$F512)-SUMIF($U$4:$U512,CONCATENATE("Sell",$C512),$F$4:$F512))</f>
        <v>1154</v>
      </c>
      <c r="AC512" s="3">
        <f>IF(B512="Sell",F512*INDEX(V:V,LOOKUP(2,1/(X$4:X511=CONCATENATE(C512,"_ACB")),ROW(V$4:V511))),0)</f>
        <v>0</v>
      </c>
    </row>
    <row r="513" spans="1:29" x14ac:dyDescent="0.25">
      <c r="A513" s="20">
        <v>39622</v>
      </c>
      <c r="B513" t="s">
        <v>30</v>
      </c>
      <c r="C513" t="s">
        <v>31</v>
      </c>
      <c r="D513" s="3">
        <v>5980</v>
      </c>
      <c r="M513" s="21">
        <f t="shared" si="64"/>
        <v>5980</v>
      </c>
      <c r="N513" s="8">
        <f t="shared" si="62"/>
        <v>5980</v>
      </c>
      <c r="O513" s="25">
        <f t="shared" si="67"/>
        <v>40711.449999999997</v>
      </c>
      <c r="P513" s="8">
        <f t="shared" si="65"/>
        <v>5980</v>
      </c>
      <c r="Q513" s="4">
        <f>IF(AND(S513&gt;=[1]eRRSP_Rpt!$C$6,S513&lt;=[1]eRRSP_Rpt!$C$7),1,0)</f>
        <v>1</v>
      </c>
      <c r="R513" s="4"/>
      <c r="S513" s="4">
        <f t="shared" si="63"/>
        <v>2008</v>
      </c>
      <c r="T513" s="4"/>
      <c r="U513" s="4" t="str">
        <f t="shared" si="66"/>
        <v>CashContribution</v>
      </c>
      <c r="V513" s="23">
        <f>IFERROR(IF(AND(AB513&gt;0,B513&lt;&gt;"Sell"),(AA513-SUMIF(C$4:C512,C513,AC$4:AC513))/AB513,0),"")</f>
        <v>0</v>
      </c>
      <c r="W513" s="24" t="str">
        <f t="shared" si="61"/>
        <v/>
      </c>
      <c r="X513" s="25" t="str">
        <f t="shared" si="60"/>
        <v/>
      </c>
      <c r="Y513" s="10" t="str">
        <f>IF(S514&lt;&gt;eRRSP_Tx_Table[[#This Row],[Year]],SUMIFS($W$4:$W513,$S$4:$S513,eRRSP_Tx_Table[[#This Row],[Year]],$W$4:$W513,"&gt;0"),"")</f>
        <v/>
      </c>
      <c r="Z513" s="10" t="str">
        <f>IF(S514&lt;&gt;eRRSP_Tx_Table[[#This Row],[Year]],SUMIFS($W$4:$W513,$S$4:$S513,eRRSP_Tx_Table[[#This Row],[Year]],$W$4:$W513,"&lt;0"),"")</f>
        <v/>
      </c>
      <c r="AA513" s="3">
        <f>(SUMIF($U$4:$U513,CONCATENATE("Buy",$C513),$N$4:$N513)+SUMIF($U$4:$U513,CONCATENATE("ReinvDiv",$C513),$N$4:$N513))</f>
        <v>0</v>
      </c>
      <c r="AB513" s="3">
        <f>(SUMIF($U$4:$U513,CONCATENATE("Buy",$C513),$F$4:$F513)+SUMIF($U$4:$U513,CONCATENATE("ReinvDiv",$C513),$F$4:$F513)+SUMIF($U$4:$U513,CONCATENATE("StkSplit",$C513),$F$4:$F513)-SUMIF($U$4:$U513,CONCATENATE("Sell",$C513),$F$4:$F513))</f>
        <v>0</v>
      </c>
      <c r="AC513" s="3">
        <f>IF(B513="Sell",F513*INDEX(V:V,LOOKUP(2,1/(X$4:X512=CONCATENATE(C513,"_ACB")),ROW(V$4:V512))),0)</f>
        <v>0</v>
      </c>
    </row>
    <row r="514" spans="1:29" x14ac:dyDescent="0.25">
      <c r="A514" s="20">
        <v>39623</v>
      </c>
      <c r="B514" t="s">
        <v>76</v>
      </c>
      <c r="C514" t="s">
        <v>82</v>
      </c>
      <c r="F514" s="3">
        <f>L514-(L514/K514)</f>
        <v>172</v>
      </c>
      <c r="K514">
        <v>5</v>
      </c>
      <c r="L514">
        <f>(SUMIF($U$4:$U513,CONCATENATE("Buy",C514),$F$4:$F513)+SUMIF($U$4:$U513,CONCATENATE("StkSplit",C514),$F$4:$F513)-SUMIF($U$4:$U513,CONCATENATE("Sell",C514),$F$4:$F513)+SUMIF($U$4:$U513,CONCATENATE("ReinvDiv",C514),$F$4:$F513))*K514</f>
        <v>215</v>
      </c>
      <c r="M514" s="21">
        <f t="shared" si="64"/>
        <v>0</v>
      </c>
      <c r="N514" s="8">
        <f t="shared" si="62"/>
        <v>0</v>
      </c>
      <c r="O514" s="25">
        <f t="shared" si="67"/>
        <v>40711.449999999997</v>
      </c>
      <c r="P514" s="8">
        <f t="shared" si="65"/>
        <v>0</v>
      </c>
      <c r="Q514" s="4">
        <f>IF(AND(S514&gt;=[1]eRRSP_Rpt!$C$6,S514&lt;=[1]eRRSP_Rpt!$C$7),1,0)</f>
        <v>1</v>
      </c>
      <c r="R514" s="4"/>
      <c r="S514" s="4">
        <f t="shared" si="63"/>
        <v>2008</v>
      </c>
      <c r="T514" s="4"/>
      <c r="U514" s="4" t="str">
        <f t="shared" si="66"/>
        <v>StkSplitiShares S&amp;P Latin America (US$)</v>
      </c>
      <c r="V514" s="23">
        <f>IFERROR(IF(AND(AB514&gt;0,B514&lt;&gt;"Sell"),(AA514-SUMIF(C$4:C513,C514,AC$4:AC514))/AB514,0),"")</f>
        <v>-32.47767441860465</v>
      </c>
      <c r="W514" s="24" t="str">
        <f t="shared" si="61"/>
        <v/>
      </c>
      <c r="X514" s="25" t="str">
        <f t="shared" si="60"/>
        <v>iShares S&amp;P Latin America (US$)_ACB</v>
      </c>
      <c r="Y514" s="10" t="str">
        <f>IF(S515&lt;&gt;eRRSP_Tx_Table[[#This Row],[Year]],SUMIFS($W$4:$W514,$S$4:$S514,eRRSP_Tx_Table[[#This Row],[Year]],$W$4:$W514,"&gt;0"),"")</f>
        <v/>
      </c>
      <c r="Z514" s="10" t="str">
        <f>IF(S515&lt;&gt;eRRSP_Tx_Table[[#This Row],[Year]],SUMIFS($W$4:$W514,$S$4:$S514,eRRSP_Tx_Table[[#This Row],[Year]],$W$4:$W514,"&lt;0"),"")</f>
        <v/>
      </c>
      <c r="AA514" s="3">
        <f>(SUMIF($U$4:$U514,CONCATENATE("Buy",$C514),$N$4:$N514)+SUMIF($U$4:$U514,CONCATENATE("ReinvDiv",$C514),$N$4:$N514))</f>
        <v>-6982.7</v>
      </c>
      <c r="AB514" s="3">
        <f>(SUMIF($U$4:$U514,CONCATENATE("Buy",$C514),$F$4:$F514)+SUMIF($U$4:$U514,CONCATENATE("ReinvDiv",$C514),$F$4:$F514)+SUMIF($U$4:$U514,CONCATENATE("StkSplit",$C514),$F$4:$F514)-SUMIF($U$4:$U514,CONCATENATE("Sell",$C514),$F$4:$F514))</f>
        <v>215</v>
      </c>
      <c r="AC514" s="3">
        <f>IF(B514="Sell",F514*INDEX(V:V,LOOKUP(2,1/(X$4:X513=CONCATENATE(C514,"_ACB")),ROW(V$4:V513))),0)</f>
        <v>0</v>
      </c>
    </row>
    <row r="515" spans="1:29" x14ac:dyDescent="0.25">
      <c r="A515" s="20">
        <v>39623</v>
      </c>
      <c r="B515" t="s">
        <v>76</v>
      </c>
      <c r="C515" t="s">
        <v>83</v>
      </c>
      <c r="F515" s="3">
        <f>L515-(L515/K515)</f>
        <v>52</v>
      </c>
      <c r="K515">
        <v>2</v>
      </c>
      <c r="L515">
        <f>(SUMIF($U$4:$U514,CONCATENATE("Buy",C515),$F$4:$F514)+SUMIF($U$4:$U514,CONCATENATE("StkSplit",C515),$F$4:$F514)-SUMIF($U$4:$U514,CONCATENATE("Sell",C515),$F$4:$F514)+SUMIF($U$4:$U514,CONCATENATE("ReinvDiv",C515),$F$4:$F514))*K515</f>
        <v>104</v>
      </c>
      <c r="M515" s="21">
        <f t="shared" si="64"/>
        <v>0</v>
      </c>
      <c r="N515" s="8">
        <f t="shared" si="62"/>
        <v>0</v>
      </c>
      <c r="O515" s="25">
        <f t="shared" si="67"/>
        <v>40711.449999999997</v>
      </c>
      <c r="P515" s="8">
        <f t="shared" si="65"/>
        <v>0</v>
      </c>
      <c r="Q515" s="4">
        <f>IF(AND(S515&gt;=[1]eRRSP_Rpt!$C$6,S515&lt;=[1]eRRSP_Rpt!$C$7),1,0)</f>
        <v>1</v>
      </c>
      <c r="R515" s="4"/>
      <c r="S515" s="4">
        <f t="shared" si="63"/>
        <v>2008</v>
      </c>
      <c r="T515" s="4"/>
      <c r="U515" s="4" t="str">
        <f t="shared" si="66"/>
        <v>StkSplitiShares MSCI South Africa (US$)</v>
      </c>
      <c r="V515" s="23">
        <f>IFERROR(IF(AND(AB515&gt;0,B515&lt;&gt;"Sell"),(AA515-SUMIF(C$4:C514,C515,AC$4:AC515))/AB515,0),"")</f>
        <v>-66.699423076923068</v>
      </c>
      <c r="W515" s="24" t="str">
        <f t="shared" si="61"/>
        <v/>
      </c>
      <c r="X515" s="25" t="str">
        <f t="shared" si="60"/>
        <v>iShares MSCI South Africa (US$)_ACB</v>
      </c>
      <c r="Y515" s="10" t="str">
        <f>IF(S516&lt;&gt;eRRSP_Tx_Table[[#This Row],[Year]],SUMIFS($W$4:$W515,$S$4:$S515,eRRSP_Tx_Table[[#This Row],[Year]],$W$4:$W515,"&gt;0"),"")</f>
        <v/>
      </c>
      <c r="Z515" s="10" t="str">
        <f>IF(S516&lt;&gt;eRRSP_Tx_Table[[#This Row],[Year]],SUMIFS($W$4:$W515,$S$4:$S515,eRRSP_Tx_Table[[#This Row],[Year]],$W$4:$W515,"&lt;0"),"")</f>
        <v/>
      </c>
      <c r="AA515" s="3">
        <f>(SUMIF($U$4:$U515,CONCATENATE("Buy",$C515),$N$4:$N515)+SUMIF($U$4:$U515,CONCATENATE("ReinvDiv",$C515),$N$4:$N515))</f>
        <v>-6936.74</v>
      </c>
      <c r="AB515" s="3">
        <f>(SUMIF($U$4:$U515,CONCATENATE("Buy",$C515),$F$4:$F515)+SUMIF($U$4:$U515,CONCATENATE("ReinvDiv",$C515),$F$4:$F515)+SUMIF($U$4:$U515,CONCATENATE("StkSplit",$C515),$F$4:$F515)-SUMIF($U$4:$U515,CONCATENATE("Sell",$C515),$F$4:$F515))</f>
        <v>104</v>
      </c>
      <c r="AC515" s="3">
        <f>IF(B515="Sell",F515*INDEX(V:V,LOOKUP(2,1/(X$4:X514=CONCATENATE(C515,"_ACB")),ROW(V$4:V514))),0)</f>
        <v>0</v>
      </c>
    </row>
    <row r="516" spans="1:29" x14ac:dyDescent="0.25">
      <c r="A516" s="20">
        <v>39623</v>
      </c>
      <c r="B516" t="s">
        <v>76</v>
      </c>
      <c r="C516" t="s">
        <v>84</v>
      </c>
      <c r="F516" s="3">
        <f>L516-(L516/K516)</f>
        <v>39</v>
      </c>
      <c r="K516">
        <v>2</v>
      </c>
      <c r="L516">
        <f>(SUMIF($U$4:$U515,CONCATENATE("Buy",C516),$F$4:$F515)+SUMIF($U$4:$U515,CONCATENATE("StkSplit",C516),$F$4:$F515)-SUMIF($U$4:$U515,CONCATENATE("Sell",C516),$F$4:$F515)+SUMIF($U$4:$U515,CONCATENATE("ReinvDiv",C516),$F$4:$F515))*K516</f>
        <v>78</v>
      </c>
      <c r="M516" s="21">
        <f t="shared" si="64"/>
        <v>0</v>
      </c>
      <c r="N516" s="8">
        <f t="shared" si="62"/>
        <v>0</v>
      </c>
      <c r="O516" s="25">
        <f t="shared" si="67"/>
        <v>40711.449999999997</v>
      </c>
      <c r="P516" s="8">
        <f t="shared" si="65"/>
        <v>0</v>
      </c>
      <c r="Q516" s="4">
        <f>IF(AND(S516&gt;=[1]eRRSP_Rpt!$C$6,S516&lt;=[1]eRRSP_Rpt!$C$7),1,0)</f>
        <v>1</v>
      </c>
      <c r="R516" s="4"/>
      <c r="S516" s="4">
        <f t="shared" si="63"/>
        <v>2008</v>
      </c>
      <c r="T516" s="4"/>
      <c r="U516" s="4" t="str">
        <f t="shared" si="66"/>
        <v>StkSplitiShares S&amp;P Europe 350 (US$)</v>
      </c>
      <c r="V516" s="23">
        <f>IFERROR(IF(AND(AB516&gt;0,B516&lt;&gt;"Sell"),(AA516-SUMIF(C$4:C515,C516,AC$4:AC516))/AB516,0),"")</f>
        <v>-54.267692307692307</v>
      </c>
      <c r="W516" s="24" t="str">
        <f t="shared" si="61"/>
        <v/>
      </c>
      <c r="X516" s="25" t="str">
        <f t="shared" ref="X516:X579" si="68">IF(V516,CONCATENATE(C516,"_ACB"),"")</f>
        <v>iShares S&amp;P Europe 350 (US$)_ACB</v>
      </c>
      <c r="Y516" s="10" t="str">
        <f>IF(S517&lt;&gt;eRRSP_Tx_Table[[#This Row],[Year]],SUMIFS($W$4:$W516,$S$4:$S516,eRRSP_Tx_Table[[#This Row],[Year]],$W$4:$W516,"&gt;0"),"")</f>
        <v/>
      </c>
      <c r="Z516" s="10" t="str">
        <f>IF(S517&lt;&gt;eRRSP_Tx_Table[[#This Row],[Year]],SUMIFS($W$4:$W516,$S$4:$S516,eRRSP_Tx_Table[[#This Row],[Year]],$W$4:$W516,"&lt;0"),"")</f>
        <v/>
      </c>
      <c r="AA516" s="3">
        <f>(SUMIF($U$4:$U516,CONCATENATE("Buy",$C516),$N$4:$N516)+SUMIF($U$4:$U516,CONCATENATE("ReinvDiv",$C516),$N$4:$N516))</f>
        <v>-4232.88</v>
      </c>
      <c r="AB516" s="3">
        <f>(SUMIF($U$4:$U516,CONCATENATE("Buy",$C516),$F$4:$F516)+SUMIF($U$4:$U516,CONCATENATE("ReinvDiv",$C516),$F$4:$F516)+SUMIF($U$4:$U516,CONCATENATE("StkSplit",$C516),$F$4:$F516)-SUMIF($U$4:$U516,CONCATENATE("Sell",$C516),$F$4:$F516))</f>
        <v>78</v>
      </c>
      <c r="AC516" s="3">
        <f>IF(B516="Sell",F516*INDEX(V:V,LOOKUP(2,1/(X$4:X515=CONCATENATE(C516,"_ACB")),ROW(V$4:V515))),0)</f>
        <v>0</v>
      </c>
    </row>
    <row r="517" spans="1:29" x14ac:dyDescent="0.25">
      <c r="A517" s="20">
        <v>39626</v>
      </c>
      <c r="B517" t="s">
        <v>42</v>
      </c>
      <c r="C517" t="s">
        <v>84</v>
      </c>
      <c r="D517" s="3">
        <v>103.29</v>
      </c>
      <c r="M517" s="21">
        <f t="shared" si="64"/>
        <v>103.29</v>
      </c>
      <c r="N517" s="8">
        <f t="shared" si="62"/>
        <v>103.29</v>
      </c>
      <c r="O517" s="25">
        <f t="shared" si="67"/>
        <v>40814.74</v>
      </c>
      <c r="P517" s="8">
        <f t="shared" si="65"/>
        <v>0</v>
      </c>
      <c r="Q517" s="4">
        <f>IF(AND(S517&gt;=[1]eRRSP_Rpt!$C$6,S517&lt;=[1]eRRSP_Rpt!$C$7),1,0)</f>
        <v>1</v>
      </c>
      <c r="R517" s="4"/>
      <c r="S517" s="4">
        <f t="shared" si="63"/>
        <v>2008</v>
      </c>
      <c r="T517" s="4"/>
      <c r="U517" s="4" t="str">
        <f t="shared" si="66"/>
        <v>DiviShares S&amp;P Europe 350 (US$)</v>
      </c>
      <c r="V517" s="23">
        <f>IFERROR(IF(AND(AB517&gt;0,B517&lt;&gt;"Sell"),(AA517-SUMIF(C$4:C516,C517,AC$4:AC517))/AB517,0),"")</f>
        <v>-54.267692307692307</v>
      </c>
      <c r="W517" s="24" t="str">
        <f t="shared" ref="W517:W580" si="69">IF(B517="Sell",N517+AC517,"")</f>
        <v/>
      </c>
      <c r="X517" s="25" t="str">
        <f t="shared" si="68"/>
        <v>iShares S&amp;P Europe 350 (US$)_ACB</v>
      </c>
      <c r="Y517" s="10" t="str">
        <f>IF(S518&lt;&gt;eRRSP_Tx_Table[[#This Row],[Year]],SUMIFS($W$4:$W517,$S$4:$S517,eRRSP_Tx_Table[[#This Row],[Year]],$W$4:$W517,"&gt;0"),"")</f>
        <v/>
      </c>
      <c r="Z517" s="10" t="str">
        <f>IF(S518&lt;&gt;eRRSP_Tx_Table[[#This Row],[Year]],SUMIFS($W$4:$W517,$S$4:$S517,eRRSP_Tx_Table[[#This Row],[Year]],$W$4:$W517,"&lt;0"),"")</f>
        <v/>
      </c>
      <c r="AA517" s="3">
        <f>(SUMIF($U$4:$U517,CONCATENATE("Buy",$C517),$N$4:$N517)+SUMIF($U$4:$U517,CONCATENATE("ReinvDiv",$C517),$N$4:$N517))</f>
        <v>-4232.88</v>
      </c>
      <c r="AB517" s="3">
        <f>(SUMIF($U$4:$U517,CONCATENATE("Buy",$C517),$F$4:$F517)+SUMIF($U$4:$U517,CONCATENATE("ReinvDiv",$C517),$F$4:$F517)+SUMIF($U$4:$U517,CONCATENATE("StkSplit",$C517),$F$4:$F517)-SUMIF($U$4:$U517,CONCATENATE("Sell",$C517),$F$4:$F517))</f>
        <v>78</v>
      </c>
      <c r="AC517" s="3">
        <f>IF(B517="Sell",F517*INDEX(V:V,LOOKUP(2,1/(X$4:X516=CONCATENATE(C517,"_ACB")),ROW(V$4:V516))),0)</f>
        <v>0</v>
      </c>
    </row>
    <row r="518" spans="1:29" x14ac:dyDescent="0.25">
      <c r="A518" s="20">
        <v>39626</v>
      </c>
      <c r="B518" t="s">
        <v>42</v>
      </c>
      <c r="C518" t="s">
        <v>82</v>
      </c>
      <c r="D518" s="3">
        <v>114.81</v>
      </c>
      <c r="M518" s="21">
        <f t="shared" si="64"/>
        <v>114.81</v>
      </c>
      <c r="N518" s="8">
        <f t="shared" si="62"/>
        <v>114.81</v>
      </c>
      <c r="O518" s="25">
        <f t="shared" si="67"/>
        <v>40929.549999999996</v>
      </c>
      <c r="P518" s="8">
        <f t="shared" si="65"/>
        <v>0</v>
      </c>
      <c r="Q518" s="4">
        <f>IF(AND(S518&gt;=[1]eRRSP_Rpt!$C$6,S518&lt;=[1]eRRSP_Rpt!$C$7),1,0)</f>
        <v>1</v>
      </c>
      <c r="R518" s="4"/>
      <c r="S518" s="4">
        <f t="shared" si="63"/>
        <v>2008</v>
      </c>
      <c r="T518" s="4"/>
      <c r="U518" s="4" t="str">
        <f t="shared" si="66"/>
        <v>DiviShares S&amp;P Latin America (US$)</v>
      </c>
      <c r="V518" s="23">
        <f>IFERROR(IF(AND(AB518&gt;0,B518&lt;&gt;"Sell"),(AA518-SUMIF(C$4:C517,C518,AC$4:AC518))/AB518,0),"")</f>
        <v>-32.47767441860465</v>
      </c>
      <c r="W518" s="24" t="str">
        <f t="shared" si="69"/>
        <v/>
      </c>
      <c r="X518" s="25" t="str">
        <f t="shared" si="68"/>
        <v>iShares S&amp;P Latin America (US$)_ACB</v>
      </c>
      <c r="Y518" s="10" t="str">
        <f>IF(S519&lt;&gt;eRRSP_Tx_Table[[#This Row],[Year]],SUMIFS($W$4:$W518,$S$4:$S518,eRRSP_Tx_Table[[#This Row],[Year]],$W$4:$W518,"&gt;0"),"")</f>
        <v/>
      </c>
      <c r="Z518" s="10" t="str">
        <f>IF(S519&lt;&gt;eRRSP_Tx_Table[[#This Row],[Year]],SUMIFS($W$4:$W518,$S$4:$S518,eRRSP_Tx_Table[[#This Row],[Year]],$W$4:$W518,"&lt;0"),"")</f>
        <v/>
      </c>
      <c r="AA518" s="3">
        <f>(SUMIF($U$4:$U518,CONCATENATE("Buy",$C518),$N$4:$N518)+SUMIF($U$4:$U518,CONCATENATE("ReinvDiv",$C518),$N$4:$N518))</f>
        <v>-6982.7</v>
      </c>
      <c r="AB518" s="3">
        <f>(SUMIF($U$4:$U518,CONCATENATE("Buy",$C518),$F$4:$F518)+SUMIF($U$4:$U518,CONCATENATE("ReinvDiv",$C518),$F$4:$F518)+SUMIF($U$4:$U518,CONCATENATE("StkSplit",$C518),$F$4:$F518)-SUMIF($U$4:$U518,CONCATENATE("Sell",$C518),$F$4:$F518))</f>
        <v>215</v>
      </c>
      <c r="AC518" s="3">
        <f>IF(B518="Sell",F518*INDEX(V:V,LOOKUP(2,1/(X$4:X517=CONCATENATE(C518,"_ACB")),ROW(V$4:V517))),0)</f>
        <v>0</v>
      </c>
    </row>
    <row r="519" spans="1:29" x14ac:dyDescent="0.25">
      <c r="A519" s="20">
        <v>39626</v>
      </c>
      <c r="B519" t="s">
        <v>41</v>
      </c>
      <c r="C519" t="s">
        <v>62</v>
      </c>
      <c r="D519" s="3">
        <v>139.04</v>
      </c>
      <c r="E519">
        <v>15.4695</v>
      </c>
      <c r="F519" s="3">
        <v>8.9879999999999995</v>
      </c>
      <c r="M519" s="21">
        <f t="shared" si="64"/>
        <v>139.04</v>
      </c>
      <c r="N519" s="8">
        <f t="shared" si="62"/>
        <v>-139.04</v>
      </c>
      <c r="O519" s="25">
        <f t="shared" si="67"/>
        <v>40929.549999999996</v>
      </c>
      <c r="P519" s="8">
        <f t="shared" si="65"/>
        <v>0</v>
      </c>
      <c r="Q519" s="4">
        <f>IF(AND(S519&gt;=[1]eRRSP_Rpt!$C$6,S519&lt;=[1]eRRSP_Rpt!$C$7),1,0)</f>
        <v>1</v>
      </c>
      <c r="R519" s="4"/>
      <c r="S519" s="4">
        <f t="shared" si="63"/>
        <v>2008</v>
      </c>
      <c r="T519" s="4"/>
      <c r="U519" s="4" t="str">
        <f t="shared" si="66"/>
        <v>ReinvDivTD RR Bond</v>
      </c>
      <c r="V519" s="23">
        <f>IFERROR(IF(AND(AB519&gt;0,B519&lt;&gt;"Sell"),(AA519-SUMIF(C$4:C518,C519,AC$4:AC519))/AB519,0),"")</f>
        <v>-14.231840668815185</v>
      </c>
      <c r="W519" s="24" t="str">
        <f t="shared" si="69"/>
        <v/>
      </c>
      <c r="X519" s="25" t="str">
        <f t="shared" si="68"/>
        <v>TD RR Bond_ACB</v>
      </c>
      <c r="Y519" s="10" t="str">
        <f>IF(S520&lt;&gt;eRRSP_Tx_Table[[#This Row],[Year]],SUMIFS($W$4:$W519,$S$4:$S519,eRRSP_Tx_Table[[#This Row],[Year]],$W$4:$W519,"&gt;0"),"")</f>
        <v/>
      </c>
      <c r="Z519" s="10" t="str">
        <f>IF(S520&lt;&gt;eRRSP_Tx_Table[[#This Row],[Year]],SUMIFS($W$4:$W519,$S$4:$S519,eRRSP_Tx_Table[[#This Row],[Year]],$W$4:$W519,"&lt;0"),"")</f>
        <v/>
      </c>
      <c r="AA519" s="3">
        <f>(SUMIF($U$4:$U519,CONCATENATE("Buy",$C519),$N$4:$N519)+SUMIF($U$4:$U519,CONCATENATE("ReinvDiv",$C519),$N$4:$N519))</f>
        <v>-9573.93</v>
      </c>
      <c r="AB519" s="3">
        <f>(SUMIF($U$4:$U519,CONCATENATE("Buy",$C519),$F$4:$F519)+SUMIF($U$4:$U519,CONCATENATE("ReinvDiv",$C519),$F$4:$F519)+SUMIF($U$4:$U519,CONCATENATE("StkSplit",$C519),$F$4:$F519)-SUMIF($U$4:$U519,CONCATENATE("Sell",$C519),$F$4:$F519))</f>
        <v>672.71199999999999</v>
      </c>
      <c r="AC519" s="3">
        <f>IF(B519="Sell",F519*INDEX(V:V,LOOKUP(2,1/(X$4:X518=CONCATENATE(C519,"_ACB")),ROW(V$4:V518))),0)</f>
        <v>0</v>
      </c>
    </row>
    <row r="520" spans="1:29" x14ac:dyDescent="0.25">
      <c r="A520" s="20">
        <v>39629</v>
      </c>
      <c r="B520" t="s">
        <v>42</v>
      </c>
      <c r="C520" t="s">
        <v>86</v>
      </c>
      <c r="D520" s="3">
        <v>13.29</v>
      </c>
      <c r="M520" s="21">
        <f t="shared" si="64"/>
        <v>13.29</v>
      </c>
      <c r="N520" s="8">
        <f t="shared" si="62"/>
        <v>13.29</v>
      </c>
      <c r="O520" s="25">
        <f t="shared" si="67"/>
        <v>40942.839999999997</v>
      </c>
      <c r="P520" s="8">
        <f t="shared" si="65"/>
        <v>0</v>
      </c>
      <c r="Q520" s="4">
        <f>IF(AND(S520&gt;=[1]eRRSP_Rpt!$C$6,S520&lt;=[1]eRRSP_Rpt!$C$7),1,0)</f>
        <v>1</v>
      </c>
      <c r="R520" s="4"/>
      <c r="S520" s="4">
        <f t="shared" si="63"/>
        <v>2008</v>
      </c>
      <c r="T520" s="4"/>
      <c r="U520" s="4" t="str">
        <f t="shared" si="66"/>
        <v>DiviShares S&amp;P SmallCap</v>
      </c>
      <c r="V520" s="23">
        <f>IFERROR(IF(AND(AB520&gt;0,B520&lt;&gt;"Sell"),(AA520-SUMIF(C$4:C519,C520,AC$4:AC520))/AB520,0),"")</f>
        <v>-70.414404761904763</v>
      </c>
      <c r="W520" s="24" t="str">
        <f t="shared" si="69"/>
        <v/>
      </c>
      <c r="X520" s="25" t="str">
        <f t="shared" si="68"/>
        <v>iShares S&amp;P SmallCap_ACB</v>
      </c>
      <c r="Y520" s="10" t="str">
        <f>IF(S521&lt;&gt;eRRSP_Tx_Table[[#This Row],[Year]],SUMIFS($W$4:$W520,$S$4:$S520,eRRSP_Tx_Table[[#This Row],[Year]],$W$4:$W520,"&gt;0"),"")</f>
        <v/>
      </c>
      <c r="Z520" s="10" t="str">
        <f>IF(S521&lt;&gt;eRRSP_Tx_Table[[#This Row],[Year]],SUMIFS($W$4:$W520,$S$4:$S520,eRRSP_Tx_Table[[#This Row],[Year]],$W$4:$W520,"&lt;0"),"")</f>
        <v/>
      </c>
      <c r="AA520" s="3">
        <f>(SUMIF($U$4:$U520,CONCATENATE("Buy",$C520),$N$4:$N520)+SUMIF($U$4:$U520,CONCATENATE("ReinvDiv",$C520),$N$4:$N520))</f>
        <v>-5914.81</v>
      </c>
      <c r="AB520" s="3">
        <f>(SUMIF($U$4:$U520,CONCATENATE("Buy",$C520),$F$4:$F520)+SUMIF($U$4:$U520,CONCATENATE("ReinvDiv",$C520),$F$4:$F520)+SUMIF($U$4:$U520,CONCATENATE("StkSplit",$C520),$F$4:$F520)-SUMIF($U$4:$U520,CONCATENATE("Sell",$C520),$F$4:$F520))</f>
        <v>84</v>
      </c>
      <c r="AC520" s="3">
        <f>IF(B520="Sell",F520*INDEX(V:V,LOOKUP(2,1/(X$4:X519=CONCATENATE(C520,"_ACB")),ROW(V$4:V519))),0)</f>
        <v>0</v>
      </c>
    </row>
    <row r="521" spans="1:29" x14ac:dyDescent="0.25">
      <c r="A521" s="20">
        <v>39629</v>
      </c>
      <c r="B521" t="s">
        <v>42</v>
      </c>
      <c r="C521" t="s">
        <v>90</v>
      </c>
      <c r="D521" s="3">
        <v>18.62</v>
      </c>
      <c r="M521" s="21">
        <f t="shared" si="64"/>
        <v>18.62</v>
      </c>
      <c r="N521" s="8">
        <f t="shared" si="62"/>
        <v>18.62</v>
      </c>
      <c r="O521" s="25">
        <f t="shared" si="67"/>
        <v>40961.46</v>
      </c>
      <c r="P521" s="8">
        <f t="shared" si="65"/>
        <v>0</v>
      </c>
      <c r="Q521" s="4">
        <f>IF(AND(S521&gt;=[1]eRRSP_Rpt!$C$6,S521&lt;=[1]eRRSP_Rpt!$C$7),1,0)</f>
        <v>1</v>
      </c>
      <c r="R521" s="4"/>
      <c r="S521" s="4">
        <f t="shared" si="63"/>
        <v>2008</v>
      </c>
      <c r="T521" s="4"/>
      <c r="U521" s="4" t="str">
        <f t="shared" si="66"/>
        <v>DivVanguard Large Cap ETF</v>
      </c>
      <c r="V521" s="23">
        <f>IFERROR(IF(AND(AB521&gt;0,B521&lt;&gt;"Sell"),(AA521-SUMIF(C$4:C520,C521,AC$4:AC521))/AB521,0),"")</f>
        <v>-74.401142857142858</v>
      </c>
      <c r="W521" s="24" t="str">
        <f t="shared" si="69"/>
        <v/>
      </c>
      <c r="X521" s="25" t="str">
        <f t="shared" si="68"/>
        <v>Vanguard Large Cap ETF_ACB</v>
      </c>
      <c r="Y521" s="10" t="str">
        <f>IF(S522&lt;&gt;eRRSP_Tx_Table[[#This Row],[Year]],SUMIFS($W$4:$W521,$S$4:$S521,eRRSP_Tx_Table[[#This Row],[Year]],$W$4:$W521,"&gt;0"),"")</f>
        <v/>
      </c>
      <c r="Z521" s="10" t="str">
        <f>IF(S522&lt;&gt;eRRSP_Tx_Table[[#This Row],[Year]],SUMIFS($W$4:$W521,$S$4:$S521,eRRSP_Tx_Table[[#This Row],[Year]],$W$4:$W521,"&lt;0"),"")</f>
        <v/>
      </c>
      <c r="AA521" s="3">
        <f>(SUMIF($U$4:$U521,CONCATENATE("Buy",$C521),$N$4:$N521)+SUMIF($U$4:$U521,CONCATENATE("ReinvDiv",$C521),$N$4:$N521))</f>
        <v>-5208.08</v>
      </c>
      <c r="AB521" s="3">
        <f>(SUMIF($U$4:$U521,CONCATENATE("Buy",$C521),$F$4:$F521)+SUMIF($U$4:$U521,CONCATENATE("ReinvDiv",$C521),$F$4:$F521)+SUMIF($U$4:$U521,CONCATENATE("StkSplit",$C521),$F$4:$F521)-SUMIF($U$4:$U521,CONCATENATE("Sell",$C521),$F$4:$F521))</f>
        <v>70</v>
      </c>
      <c r="AC521" s="3">
        <f>IF(B521="Sell",F521*INDEX(V:V,LOOKUP(2,1/(X$4:X520=CONCATENATE(C521,"_ACB")),ROW(V$4:V520))),0)</f>
        <v>0</v>
      </c>
    </row>
    <row r="522" spans="1:29" x14ac:dyDescent="0.25">
      <c r="A522" s="20">
        <v>39629</v>
      </c>
      <c r="B522" t="s">
        <v>42</v>
      </c>
      <c r="C522" t="s">
        <v>81</v>
      </c>
      <c r="D522" s="3">
        <v>25.48</v>
      </c>
      <c r="M522" s="21">
        <f t="shared" si="64"/>
        <v>25.48</v>
      </c>
      <c r="N522" s="8">
        <f t="shared" ref="N522:N585" si="70">IF(OR(B522="Buy",B522="ReinvDiv"),-M522-G522,M522-G522)</f>
        <v>25.48</v>
      </c>
      <c r="O522" s="25">
        <f t="shared" si="67"/>
        <v>40986.94</v>
      </c>
      <c r="P522" s="8">
        <f t="shared" si="65"/>
        <v>0</v>
      </c>
      <c r="Q522" s="4">
        <f>IF(AND(S522&gt;=[1]eRRSP_Rpt!$C$6,S522&lt;=[1]eRRSP_Rpt!$C$7),1,0)</f>
        <v>1</v>
      </c>
      <c r="R522" s="4"/>
      <c r="S522" s="4">
        <f t="shared" si="63"/>
        <v>2008</v>
      </c>
      <c r="T522" s="4"/>
      <c r="U522" s="4" t="str">
        <f t="shared" si="66"/>
        <v>DiviShares MSCI Japan (US$)</v>
      </c>
      <c r="V522" s="23">
        <f>IFERROR(IF(AND(AB522&gt;0,B522&lt;&gt;"Sell"),(AA522-SUMIF(C$4:C521,C522,AC$4:AC522))/AB522,0),"")</f>
        <v>-16.497404761904761</v>
      </c>
      <c r="W522" s="24" t="str">
        <f t="shared" si="69"/>
        <v/>
      </c>
      <c r="X522" s="25" t="str">
        <f t="shared" si="68"/>
        <v>iShares MSCI Japan (US$)_ACB</v>
      </c>
      <c r="Y522" s="10" t="str">
        <f>IF(S523&lt;&gt;eRRSP_Tx_Table[[#This Row],[Year]],SUMIFS($W$4:$W522,$S$4:$S522,eRRSP_Tx_Table[[#This Row],[Year]],$W$4:$W522,"&gt;0"),"")</f>
        <v/>
      </c>
      <c r="Z522" s="10" t="str">
        <f>IF(S523&lt;&gt;eRRSP_Tx_Table[[#This Row],[Year]],SUMIFS($W$4:$W522,$S$4:$S522,eRRSP_Tx_Table[[#This Row],[Year]],$W$4:$W522,"&lt;0"),"")</f>
        <v/>
      </c>
      <c r="AA522" s="3">
        <f>(SUMIF($U$4:$U522,CONCATENATE("Buy",$C522),$N$4:$N522)+SUMIF($U$4:$U522,CONCATENATE("ReinvDiv",$C522),$N$4:$N522))</f>
        <v>-6928.91</v>
      </c>
      <c r="AB522" s="3">
        <f>(SUMIF($U$4:$U522,CONCATENATE("Buy",$C522),$F$4:$F522)+SUMIF($U$4:$U522,CONCATENATE("ReinvDiv",$C522),$F$4:$F522)+SUMIF($U$4:$U522,CONCATENATE("StkSplit",$C522),$F$4:$F522)-SUMIF($U$4:$U522,CONCATENATE("Sell",$C522),$F$4:$F522))</f>
        <v>420</v>
      </c>
      <c r="AC522" s="3">
        <f>IF(B522="Sell",F522*INDEX(V:V,LOOKUP(2,1/(X$4:X521=CONCATENATE(C522,"_ACB")),ROW(V$4:V521))),0)</f>
        <v>0</v>
      </c>
    </row>
    <row r="523" spans="1:29" x14ac:dyDescent="0.25">
      <c r="A523" s="20">
        <v>39629</v>
      </c>
      <c r="B523" t="s">
        <v>42</v>
      </c>
      <c r="C523" t="s">
        <v>89</v>
      </c>
      <c r="D523" s="3">
        <v>46.66</v>
      </c>
      <c r="M523" s="21">
        <f t="shared" si="64"/>
        <v>46.66</v>
      </c>
      <c r="N523" s="8">
        <f t="shared" si="70"/>
        <v>46.66</v>
      </c>
      <c r="O523" s="25">
        <f t="shared" si="67"/>
        <v>41033.600000000006</v>
      </c>
      <c r="P523" s="8">
        <f t="shared" si="65"/>
        <v>0</v>
      </c>
      <c r="Q523" s="4">
        <f>IF(AND(S523&gt;=[1]eRRSP_Rpt!$C$6,S523&lt;=[1]eRRSP_Rpt!$C$7),1,0)</f>
        <v>1</v>
      </c>
      <c r="R523" s="4"/>
      <c r="S523" s="4">
        <f t="shared" si="63"/>
        <v>2008</v>
      </c>
      <c r="T523" s="4"/>
      <c r="U523" s="4" t="str">
        <f t="shared" si="66"/>
        <v>DiviShares MSCI EAFE (US$)</v>
      </c>
      <c r="V523" s="23">
        <f>IFERROR(IF(AND(AB523&gt;0,B523&lt;&gt;"Sell"),(AA523-SUMIF(C$4:C522,C523,AC$4:AC523))/AB523,0),"")</f>
        <v>-88.693428571428583</v>
      </c>
      <c r="W523" s="24" t="str">
        <f t="shared" si="69"/>
        <v/>
      </c>
      <c r="X523" s="25" t="str">
        <f t="shared" si="68"/>
        <v>iShares MSCI EAFE (US$)_ACB</v>
      </c>
      <c r="Y523" s="10" t="str">
        <f>IF(S524&lt;&gt;eRRSP_Tx_Table[[#This Row],[Year]],SUMIFS($W$4:$W523,$S$4:$S523,eRRSP_Tx_Table[[#This Row],[Year]],$W$4:$W523,"&gt;0"),"")</f>
        <v/>
      </c>
      <c r="Z523" s="10" t="str">
        <f>IF(S524&lt;&gt;eRRSP_Tx_Table[[#This Row],[Year]],SUMIFS($W$4:$W523,$S$4:$S523,eRRSP_Tx_Table[[#This Row],[Year]],$W$4:$W523,"&lt;0"),"")</f>
        <v/>
      </c>
      <c r="AA523" s="3">
        <f>(SUMIF($U$4:$U523,CONCATENATE("Buy",$C523),$N$4:$N523)+SUMIF($U$4:$U523,CONCATENATE("ReinvDiv",$C523),$N$4:$N523))</f>
        <v>-3104.2700000000004</v>
      </c>
      <c r="AB523" s="3">
        <f>(SUMIF($U$4:$U523,CONCATENATE("Buy",$C523),$F$4:$F523)+SUMIF($U$4:$U523,CONCATENATE("ReinvDiv",$C523),$F$4:$F523)+SUMIF($U$4:$U523,CONCATENATE("StkSplit",$C523),$F$4:$F523)-SUMIF($U$4:$U523,CONCATENATE("Sell",$C523),$F$4:$F523))</f>
        <v>35</v>
      </c>
      <c r="AC523" s="3">
        <f>IF(B523="Sell",F523*INDEX(V:V,LOOKUP(2,1/(X$4:X522=CONCATENATE(C523,"_ACB")),ROW(V$4:V522))),0)</f>
        <v>0</v>
      </c>
    </row>
    <row r="524" spans="1:29" x14ac:dyDescent="0.25">
      <c r="A524" s="20">
        <v>39637</v>
      </c>
      <c r="B524" t="s">
        <v>42</v>
      </c>
      <c r="C524" t="s">
        <v>83</v>
      </c>
      <c r="D524" s="3">
        <v>150</v>
      </c>
      <c r="M524" s="21">
        <f t="shared" si="64"/>
        <v>150</v>
      </c>
      <c r="N524" s="8">
        <f t="shared" si="70"/>
        <v>150</v>
      </c>
      <c r="O524" s="25">
        <f t="shared" si="67"/>
        <v>41183.600000000006</v>
      </c>
      <c r="P524" s="8">
        <f t="shared" si="65"/>
        <v>0</v>
      </c>
      <c r="Q524" s="4">
        <f>IF(AND(S524&gt;=[1]eRRSP_Rpt!$C$6,S524&lt;=[1]eRRSP_Rpt!$C$7),1,0)</f>
        <v>1</v>
      </c>
      <c r="R524" s="4"/>
      <c r="S524" s="4">
        <f t="shared" si="63"/>
        <v>2008</v>
      </c>
      <c r="T524" s="4"/>
      <c r="U524" s="4" t="str">
        <f t="shared" si="66"/>
        <v>DiviShares MSCI South Africa (US$)</v>
      </c>
      <c r="V524" s="23">
        <f>IFERROR(IF(AND(AB524&gt;0,B524&lt;&gt;"Sell"),(AA524-SUMIF(C$4:C523,C524,AC$4:AC524))/AB524,0),"")</f>
        <v>-66.699423076923068</v>
      </c>
      <c r="W524" s="24" t="str">
        <f t="shared" si="69"/>
        <v/>
      </c>
      <c r="X524" s="25" t="str">
        <f t="shared" si="68"/>
        <v>iShares MSCI South Africa (US$)_ACB</v>
      </c>
      <c r="Y524" s="10" t="str">
        <f>IF(S525&lt;&gt;eRRSP_Tx_Table[[#This Row],[Year]],SUMIFS($W$4:$W524,$S$4:$S524,eRRSP_Tx_Table[[#This Row],[Year]],$W$4:$W524,"&gt;0"),"")</f>
        <v/>
      </c>
      <c r="Z524" s="10" t="str">
        <f>IF(S525&lt;&gt;eRRSP_Tx_Table[[#This Row],[Year]],SUMIFS($W$4:$W524,$S$4:$S524,eRRSP_Tx_Table[[#This Row],[Year]],$W$4:$W524,"&lt;0"),"")</f>
        <v/>
      </c>
      <c r="AA524" s="3">
        <f>(SUMIF($U$4:$U524,CONCATENATE("Buy",$C524),$N$4:$N524)+SUMIF($U$4:$U524,CONCATENATE("ReinvDiv",$C524),$N$4:$N524))</f>
        <v>-6936.74</v>
      </c>
      <c r="AB524" s="3">
        <f>(SUMIF($U$4:$U524,CONCATENATE("Buy",$C524),$F$4:$F524)+SUMIF($U$4:$U524,CONCATENATE("ReinvDiv",$C524),$F$4:$F524)+SUMIF($U$4:$U524,CONCATENATE("StkSplit",$C524),$F$4:$F524)-SUMIF($U$4:$U524,CONCATENATE("Sell",$C524),$F$4:$F524))</f>
        <v>104</v>
      </c>
      <c r="AC524" s="3">
        <f>IF(B524="Sell",F524*INDEX(V:V,LOOKUP(2,1/(X$4:X523=CONCATENATE(C524,"_ACB")),ROW(V$4:V523))),0)</f>
        <v>0</v>
      </c>
    </row>
    <row r="525" spans="1:29" x14ac:dyDescent="0.25">
      <c r="A525" s="20">
        <v>39637</v>
      </c>
      <c r="B525" t="s">
        <v>42</v>
      </c>
      <c r="C525" t="s">
        <v>88</v>
      </c>
      <c r="D525" s="3">
        <v>22.98</v>
      </c>
      <c r="J525">
        <v>0.76</v>
      </c>
      <c r="M525" s="21">
        <f t="shared" si="64"/>
        <v>22.98</v>
      </c>
      <c r="N525" s="8">
        <f t="shared" si="70"/>
        <v>22.98</v>
      </c>
      <c r="O525" s="25">
        <f t="shared" si="67"/>
        <v>41206.580000000009</v>
      </c>
      <c r="P525" s="8">
        <f t="shared" si="65"/>
        <v>0</v>
      </c>
      <c r="Q525" s="4">
        <f>IF(AND(S525&gt;=[1]eRRSP_Rpt!$C$6,S525&lt;=[1]eRRSP_Rpt!$C$7),1,0)</f>
        <v>1</v>
      </c>
      <c r="R525" s="4"/>
      <c r="S525" s="4">
        <f t="shared" si="63"/>
        <v>2008</v>
      </c>
      <c r="T525" s="4"/>
      <c r="U525" s="4" t="str">
        <f t="shared" si="66"/>
        <v>DiviShares IBOXX (US$)</v>
      </c>
      <c r="V525" s="23">
        <f>IFERROR(IF(AND(AB525&gt;0,B525&lt;&gt;"Sell"),(AA525-SUMIF(C$4:C524,C525,AC$4:AC525))/AB525,0),"")</f>
        <v>-127.70865384615385</v>
      </c>
      <c r="W525" s="24" t="str">
        <f t="shared" si="69"/>
        <v/>
      </c>
      <c r="X525" s="25" t="str">
        <f t="shared" si="68"/>
        <v>iShares IBOXX (US$)_ACB</v>
      </c>
      <c r="Y525" s="10" t="str">
        <f>IF(S526&lt;&gt;eRRSP_Tx_Table[[#This Row],[Year]],SUMIFS($W$4:$W525,$S$4:$S525,eRRSP_Tx_Table[[#This Row],[Year]],$W$4:$W525,"&gt;0"),"")</f>
        <v/>
      </c>
      <c r="Z525" s="10" t="str">
        <f>IF(S526&lt;&gt;eRRSP_Tx_Table[[#This Row],[Year]],SUMIFS($W$4:$W525,$S$4:$S525,eRRSP_Tx_Table[[#This Row],[Year]],$W$4:$W525,"&lt;0"),"")</f>
        <v/>
      </c>
      <c r="AA525" s="3">
        <f>(SUMIF($U$4:$U525,CONCATENATE("Buy",$C525),$N$4:$N525)+SUMIF($U$4:$U525,CONCATENATE("ReinvDiv",$C525),$N$4:$N525))</f>
        <v>-6640.85</v>
      </c>
      <c r="AB525" s="3">
        <f>(SUMIF($U$4:$U525,CONCATENATE("Buy",$C525),$F$4:$F525)+SUMIF($U$4:$U525,CONCATENATE("ReinvDiv",$C525),$F$4:$F525)+SUMIF($U$4:$U525,CONCATENATE("StkSplit",$C525),$F$4:$F525)-SUMIF($U$4:$U525,CONCATENATE("Sell",$C525),$F$4:$F525))</f>
        <v>52</v>
      </c>
      <c r="AC525" s="3">
        <f>IF(B525="Sell",F525*INDEX(V:V,LOOKUP(2,1/(X$4:X524=CONCATENATE(C525,"_ACB")),ROW(V$4:V524))),0)</f>
        <v>0</v>
      </c>
    </row>
    <row r="526" spans="1:29" x14ac:dyDescent="0.25">
      <c r="A526" s="20">
        <v>39640</v>
      </c>
      <c r="B526" t="s">
        <v>42</v>
      </c>
      <c r="C526" t="s">
        <v>87</v>
      </c>
      <c r="D526" s="3">
        <v>40.75</v>
      </c>
      <c r="J526">
        <v>11.8</v>
      </c>
      <c r="M526" s="21">
        <f t="shared" si="64"/>
        <v>40.75</v>
      </c>
      <c r="N526" s="8">
        <f t="shared" si="70"/>
        <v>40.75</v>
      </c>
      <c r="O526" s="25">
        <f t="shared" si="67"/>
        <v>41247.330000000009</v>
      </c>
      <c r="P526" s="8">
        <f t="shared" si="65"/>
        <v>0</v>
      </c>
      <c r="Q526" s="4">
        <f>IF(AND(S526&gt;=[1]eRRSP_Rpt!$C$6,S526&lt;=[1]eRRSP_Rpt!$C$7),1,0)</f>
        <v>1</v>
      </c>
      <c r="R526" s="4"/>
      <c r="S526" s="4">
        <f t="shared" si="63"/>
        <v>2008</v>
      </c>
      <c r="T526" s="4"/>
      <c r="U526" s="4" t="str">
        <f t="shared" si="66"/>
        <v>DivAberdeen Asia Pacific Income Fund</v>
      </c>
      <c r="V526" s="23">
        <f>IFERROR(IF(AND(AB526&gt;0,B526&lt;&gt;"Sell"),(AA526-SUMIF(C$4:C525,C526,AC$4:AC526))/AB526,0),"")</f>
        <v>-7.4694020797227028</v>
      </c>
      <c r="W526" s="24" t="str">
        <f t="shared" si="69"/>
        <v/>
      </c>
      <c r="X526" s="25" t="str">
        <f t="shared" si="68"/>
        <v>Aberdeen Asia Pacific Income Fund_ACB</v>
      </c>
      <c r="Y526" s="10" t="str">
        <f>IF(S527&lt;&gt;eRRSP_Tx_Table[[#This Row],[Year]],SUMIFS($W$4:$W526,$S$4:$S526,eRRSP_Tx_Table[[#This Row],[Year]],$W$4:$W526,"&gt;0"),"")</f>
        <v/>
      </c>
      <c r="Z526" s="10" t="str">
        <f>IF(S527&lt;&gt;eRRSP_Tx_Table[[#This Row],[Year]],SUMIFS($W$4:$W526,$S$4:$S526,eRRSP_Tx_Table[[#This Row],[Year]],$W$4:$W526,"&lt;0"),"")</f>
        <v/>
      </c>
      <c r="AA526" s="3">
        <f>(SUMIF($U$4:$U526,CONCATENATE("Buy",$C526),$N$4:$N526)+SUMIF($U$4:$U526,CONCATENATE("ReinvDiv",$C526),$N$4:$N526))</f>
        <v>-8619.6899999999987</v>
      </c>
      <c r="AB526" s="3">
        <f>(SUMIF($U$4:$U526,CONCATENATE("Buy",$C526),$F$4:$F526)+SUMIF($U$4:$U526,CONCATENATE("ReinvDiv",$C526),$F$4:$F526)+SUMIF($U$4:$U526,CONCATENATE("StkSplit",$C526),$F$4:$F526)-SUMIF($U$4:$U526,CONCATENATE("Sell",$C526),$F$4:$F526))</f>
        <v>1154</v>
      </c>
      <c r="AC526" s="3">
        <f>IF(B526="Sell",F526*INDEX(V:V,LOOKUP(2,1/(X$4:X525=CONCATENATE(C526,"_ACB")),ROW(V$4:V525))),0)</f>
        <v>0</v>
      </c>
    </row>
    <row r="527" spans="1:29" x14ac:dyDescent="0.25">
      <c r="A527" s="20">
        <v>39660</v>
      </c>
      <c r="B527" t="s">
        <v>42</v>
      </c>
      <c r="C527" t="s">
        <v>47</v>
      </c>
      <c r="D527" s="3">
        <v>0.76</v>
      </c>
      <c r="J527">
        <v>25.39</v>
      </c>
      <c r="M527" s="21">
        <f t="shared" si="64"/>
        <v>0.76</v>
      </c>
      <c r="N527" s="8">
        <f t="shared" si="70"/>
        <v>0.76</v>
      </c>
      <c r="O527" s="25">
        <f t="shared" si="67"/>
        <v>41248.090000000011</v>
      </c>
      <c r="P527" s="8">
        <f t="shared" si="65"/>
        <v>0</v>
      </c>
      <c r="Q527" s="4">
        <f>IF(AND(S527&gt;=[1]eRRSP_Rpt!$C$6,S527&lt;=[1]eRRSP_Rpt!$C$7),1,0)</f>
        <v>1</v>
      </c>
      <c r="R527" s="4"/>
      <c r="S527" s="4">
        <f t="shared" si="63"/>
        <v>2008</v>
      </c>
      <c r="T527" s="4"/>
      <c r="U527" s="4" t="str">
        <f t="shared" si="66"/>
        <v>DivBombardier</v>
      </c>
      <c r="V527" s="23">
        <f>IFERROR(IF(AND(AB527&gt;0,B527&lt;&gt;"Sell"),(AA527-SUMIF(C$4:C526,C527,AC$4:AC527))/AB527,0),"")</f>
        <v>-23.216666666666665</v>
      </c>
      <c r="W527" s="24" t="str">
        <f t="shared" si="69"/>
        <v/>
      </c>
      <c r="X527" s="25" t="str">
        <f t="shared" si="68"/>
        <v>Bombardier_ACB</v>
      </c>
      <c r="Y527" s="10" t="str">
        <f>IF(S528&lt;&gt;eRRSP_Tx_Table[[#This Row],[Year]],SUMIFS($W$4:$W527,$S$4:$S527,eRRSP_Tx_Table[[#This Row],[Year]],$W$4:$W527,"&gt;0"),"")</f>
        <v/>
      </c>
      <c r="Z527" s="10" t="str">
        <f>IF(S528&lt;&gt;eRRSP_Tx_Table[[#This Row],[Year]],SUMIFS($W$4:$W527,$S$4:$S527,eRRSP_Tx_Table[[#This Row],[Year]],$W$4:$W527,"&lt;0"),"")</f>
        <v/>
      </c>
      <c r="AA527" s="3">
        <f>(SUMIF($U$4:$U527,CONCATENATE("Buy",$C527),$N$4:$N527)+SUMIF($U$4:$U527,CONCATENATE("ReinvDiv",$C527),$N$4:$N527))</f>
        <v>-696.5</v>
      </c>
      <c r="AB527" s="3">
        <f>(SUMIF($U$4:$U527,CONCATENATE("Buy",$C527),$F$4:$F527)+SUMIF($U$4:$U527,CONCATENATE("ReinvDiv",$C527),$F$4:$F527)+SUMIF($U$4:$U527,CONCATENATE("StkSplit",$C527),$F$4:$F527)-SUMIF($U$4:$U527,CONCATENATE("Sell",$C527),$F$4:$F527))</f>
        <v>30</v>
      </c>
      <c r="AC527" s="3">
        <f>IF(B527="Sell",F527*INDEX(V:V,LOOKUP(2,1/(X$4:X526=CONCATENATE(C527,"_ACB")),ROW(V$4:V526))),0)</f>
        <v>0</v>
      </c>
    </row>
    <row r="528" spans="1:29" x14ac:dyDescent="0.25">
      <c r="A528" s="20">
        <v>39660</v>
      </c>
      <c r="B528" t="s">
        <v>42</v>
      </c>
      <c r="C528" t="s">
        <v>45</v>
      </c>
      <c r="D528" s="3">
        <v>11.8</v>
      </c>
      <c r="J528">
        <v>43.01</v>
      </c>
      <c r="M528" s="21">
        <f t="shared" si="64"/>
        <v>11.8</v>
      </c>
      <c r="N528" s="8">
        <f t="shared" si="70"/>
        <v>11.8</v>
      </c>
      <c r="O528" s="25">
        <f t="shared" si="67"/>
        <v>41259.890000000014</v>
      </c>
      <c r="P528" s="8">
        <f t="shared" si="65"/>
        <v>0</v>
      </c>
      <c r="Q528" s="4">
        <f>IF(AND(S528&gt;=[1]eRRSP_Rpt!$C$6,S528&lt;=[1]eRRSP_Rpt!$C$7),1,0)</f>
        <v>1</v>
      </c>
      <c r="R528" s="4"/>
      <c r="S528" s="4">
        <f t="shared" si="63"/>
        <v>2008</v>
      </c>
      <c r="T528" s="4"/>
      <c r="U528" s="4" t="str">
        <f t="shared" si="66"/>
        <v>DivTD Bank</v>
      </c>
      <c r="V528" s="23">
        <f>IFERROR(IF(AND(AB528&gt;0,B528&lt;&gt;"Sell"),(AA528-SUMIF(C$4:C527,C528,AC$4:AC528))/AB528,0),"")</f>
        <v>-44.29</v>
      </c>
      <c r="W528" s="24" t="str">
        <f t="shared" si="69"/>
        <v/>
      </c>
      <c r="X528" s="25" t="str">
        <f t="shared" si="68"/>
        <v>TD Bank_ACB</v>
      </c>
      <c r="Y528" s="10" t="str">
        <f>IF(S529&lt;&gt;eRRSP_Tx_Table[[#This Row],[Year]],SUMIFS($W$4:$W528,$S$4:$S528,eRRSP_Tx_Table[[#This Row],[Year]],$W$4:$W528,"&gt;0"),"")</f>
        <v/>
      </c>
      <c r="Z528" s="10" t="str">
        <f>IF(S529&lt;&gt;eRRSP_Tx_Table[[#This Row],[Year]],SUMIFS($W$4:$W528,$S$4:$S528,eRRSP_Tx_Table[[#This Row],[Year]],$W$4:$W528,"&lt;0"),"")</f>
        <v/>
      </c>
      <c r="AA528" s="3">
        <f>(SUMIF($U$4:$U528,CONCATENATE("Buy",$C528),$N$4:$N528)+SUMIF($U$4:$U528,CONCATENATE("ReinvDiv",$C528),$N$4:$N528))</f>
        <v>-885.8</v>
      </c>
      <c r="AB528" s="3">
        <f>(SUMIF($U$4:$U528,CONCATENATE("Buy",$C528),$F$4:$F528)+SUMIF($U$4:$U528,CONCATENATE("ReinvDiv",$C528),$F$4:$F528)+SUMIF($U$4:$U528,CONCATENATE("StkSplit",$C528),$F$4:$F528)-SUMIF($U$4:$U528,CONCATENATE("Sell",$C528),$F$4:$F528))</f>
        <v>20</v>
      </c>
      <c r="AC528" s="3">
        <f>IF(B528="Sell",F528*INDEX(V:V,LOOKUP(2,1/(X$4:X527=CONCATENATE(C528,"_ACB")),ROW(V$4:V527))),0)</f>
        <v>0</v>
      </c>
    </row>
    <row r="529" spans="1:29" x14ac:dyDescent="0.25">
      <c r="A529" s="20">
        <v>39667</v>
      </c>
      <c r="B529" t="s">
        <v>42</v>
      </c>
      <c r="C529" t="s">
        <v>88</v>
      </c>
      <c r="D529" s="3">
        <v>25.39</v>
      </c>
      <c r="J529">
        <v>24.09</v>
      </c>
      <c r="M529" s="21">
        <f t="shared" si="64"/>
        <v>25.39</v>
      </c>
      <c r="N529" s="8">
        <f t="shared" si="70"/>
        <v>25.39</v>
      </c>
      <c r="O529" s="25">
        <f t="shared" si="67"/>
        <v>41285.280000000013</v>
      </c>
      <c r="P529" s="8">
        <f t="shared" si="65"/>
        <v>0</v>
      </c>
      <c r="Q529" s="4">
        <f>IF(AND(S529&gt;=[1]eRRSP_Rpt!$C$6,S529&lt;=[1]eRRSP_Rpt!$C$7),1,0)</f>
        <v>1</v>
      </c>
      <c r="R529" s="4"/>
      <c r="S529" s="4">
        <f t="shared" si="63"/>
        <v>2008</v>
      </c>
      <c r="T529" s="4"/>
      <c r="U529" s="4" t="str">
        <f t="shared" si="66"/>
        <v>DiviShares IBOXX (US$)</v>
      </c>
      <c r="V529" s="23">
        <f>IFERROR(IF(AND(AB529&gt;0,B529&lt;&gt;"Sell"),(AA529-SUMIF(C$4:C528,C529,AC$4:AC529))/AB529,0),"")</f>
        <v>-127.70865384615385</v>
      </c>
      <c r="W529" s="24" t="str">
        <f t="shared" si="69"/>
        <v/>
      </c>
      <c r="X529" s="25" t="str">
        <f t="shared" si="68"/>
        <v>iShares IBOXX (US$)_ACB</v>
      </c>
      <c r="Y529" s="10" t="str">
        <f>IF(S530&lt;&gt;eRRSP_Tx_Table[[#This Row],[Year]],SUMIFS($W$4:$W529,$S$4:$S529,eRRSP_Tx_Table[[#This Row],[Year]],$W$4:$W529,"&gt;0"),"")</f>
        <v/>
      </c>
      <c r="Z529" s="10" t="str">
        <f>IF(S530&lt;&gt;eRRSP_Tx_Table[[#This Row],[Year]],SUMIFS($W$4:$W529,$S$4:$S529,eRRSP_Tx_Table[[#This Row],[Year]],$W$4:$W529,"&lt;0"),"")</f>
        <v/>
      </c>
      <c r="AA529" s="3">
        <f>(SUMIF($U$4:$U529,CONCATENATE("Buy",$C529),$N$4:$N529)+SUMIF($U$4:$U529,CONCATENATE("ReinvDiv",$C529),$N$4:$N529))</f>
        <v>-6640.85</v>
      </c>
      <c r="AB529" s="3">
        <f>(SUMIF($U$4:$U529,CONCATENATE("Buy",$C529),$F$4:$F529)+SUMIF($U$4:$U529,CONCATENATE("ReinvDiv",$C529),$F$4:$F529)+SUMIF($U$4:$U529,CONCATENATE("StkSplit",$C529),$F$4:$F529)-SUMIF($U$4:$U529,CONCATENATE("Sell",$C529),$F$4:$F529))</f>
        <v>52</v>
      </c>
      <c r="AC529" s="3">
        <f>IF(B529="Sell",F529*INDEX(V:V,LOOKUP(2,1/(X$4:X528=CONCATENATE(C529,"_ACB")),ROW(V$4:V528))),0)</f>
        <v>0</v>
      </c>
    </row>
    <row r="530" spans="1:29" x14ac:dyDescent="0.25">
      <c r="A530" s="20">
        <v>39675</v>
      </c>
      <c r="B530" t="s">
        <v>42</v>
      </c>
      <c r="C530" t="s">
        <v>87</v>
      </c>
      <c r="D530" s="3">
        <v>43.01</v>
      </c>
      <c r="J530">
        <v>25.27</v>
      </c>
      <c r="M530" s="21">
        <f t="shared" si="64"/>
        <v>43.01</v>
      </c>
      <c r="N530" s="8">
        <f t="shared" si="70"/>
        <v>43.01</v>
      </c>
      <c r="O530" s="25">
        <f t="shared" si="67"/>
        <v>41328.290000000015</v>
      </c>
      <c r="P530" s="8">
        <f t="shared" si="65"/>
        <v>0</v>
      </c>
      <c r="Q530" s="4">
        <f>IF(AND(S530&gt;=[1]eRRSP_Rpt!$C$6,S530&lt;=[1]eRRSP_Rpt!$C$7),1,0)</f>
        <v>1</v>
      </c>
      <c r="R530" s="4"/>
      <c r="S530" s="4">
        <f t="shared" si="63"/>
        <v>2008</v>
      </c>
      <c r="T530" s="4"/>
      <c r="U530" s="4" t="str">
        <f t="shared" si="66"/>
        <v>DivAberdeen Asia Pacific Income Fund</v>
      </c>
      <c r="V530" s="23">
        <f>IFERROR(IF(AND(AB530&gt;0,B530&lt;&gt;"Sell"),(AA530-SUMIF(C$4:C529,C530,AC$4:AC530))/AB530,0),"")</f>
        <v>-7.4694020797227028</v>
      </c>
      <c r="W530" s="24" t="str">
        <f t="shared" si="69"/>
        <v/>
      </c>
      <c r="X530" s="25" t="str">
        <f t="shared" si="68"/>
        <v>Aberdeen Asia Pacific Income Fund_ACB</v>
      </c>
      <c r="Y530" s="10" t="str">
        <f>IF(S531&lt;&gt;eRRSP_Tx_Table[[#This Row],[Year]],SUMIFS($W$4:$W530,$S$4:$S530,eRRSP_Tx_Table[[#This Row],[Year]],$W$4:$W530,"&gt;0"),"")</f>
        <v/>
      </c>
      <c r="Z530" s="10" t="str">
        <f>IF(S531&lt;&gt;eRRSP_Tx_Table[[#This Row],[Year]],SUMIFS($W$4:$W530,$S$4:$S530,eRRSP_Tx_Table[[#This Row],[Year]],$W$4:$W530,"&lt;0"),"")</f>
        <v/>
      </c>
      <c r="AA530" s="3">
        <f>(SUMIF($U$4:$U530,CONCATENATE("Buy",$C530),$N$4:$N530)+SUMIF($U$4:$U530,CONCATENATE("ReinvDiv",$C530),$N$4:$N530))</f>
        <v>-8619.6899999999987</v>
      </c>
      <c r="AB530" s="3">
        <f>(SUMIF($U$4:$U530,CONCATENATE("Buy",$C530),$F$4:$F530)+SUMIF($U$4:$U530,CONCATENATE("ReinvDiv",$C530),$F$4:$F530)+SUMIF($U$4:$U530,CONCATENATE("StkSplit",$C530),$F$4:$F530)-SUMIF($U$4:$U530,CONCATENATE("Sell",$C530),$F$4:$F530))</f>
        <v>1154</v>
      </c>
      <c r="AC530" s="3">
        <f>IF(B530="Sell",F530*INDEX(V:V,LOOKUP(2,1/(X$4:X529=CONCATENATE(C530,"_ACB")),ROW(V$4:V529))),0)</f>
        <v>0</v>
      </c>
    </row>
    <row r="531" spans="1:29" x14ac:dyDescent="0.25">
      <c r="A531" s="20">
        <v>39692</v>
      </c>
      <c r="B531" t="s">
        <v>42</v>
      </c>
      <c r="C531" t="s">
        <v>33</v>
      </c>
      <c r="D531" s="3">
        <v>24.09</v>
      </c>
      <c r="J531">
        <v>43.52</v>
      </c>
      <c r="M531" s="21">
        <f t="shared" si="64"/>
        <v>24.09</v>
      </c>
      <c r="N531" s="8">
        <f t="shared" si="70"/>
        <v>24.09</v>
      </c>
      <c r="O531" s="25">
        <f t="shared" si="67"/>
        <v>41352.380000000012</v>
      </c>
      <c r="P531" s="8">
        <f t="shared" si="65"/>
        <v>0</v>
      </c>
      <c r="Q531" s="4">
        <f>IF(AND(S531&gt;=[1]eRRSP_Rpt!$C$6,S531&lt;=[1]eRRSP_Rpt!$C$7),1,0)</f>
        <v>1</v>
      </c>
      <c r="R531" s="4"/>
      <c r="S531" s="4">
        <f t="shared" ref="S531:S596" si="71">YEAR(A531)</f>
        <v>2008</v>
      </c>
      <c r="T531" s="4"/>
      <c r="U531" s="4" t="str">
        <f t="shared" si="66"/>
        <v>DivEnbridge</v>
      </c>
      <c r="V531" s="23">
        <f>IFERROR(IF(AND(AB531&gt;0,B531&lt;&gt;"Sell"),(AA531-SUMIF(C$4:C530,C531,AC$4:AC531))/AB531,0),"")</f>
        <v>-12.859027777777776</v>
      </c>
      <c r="W531" s="24" t="str">
        <f t="shared" si="69"/>
        <v/>
      </c>
      <c r="X531" s="25" t="str">
        <f t="shared" si="68"/>
        <v>Enbridge_ACB</v>
      </c>
      <c r="Y531" s="10" t="str">
        <f>IF(S532&lt;&gt;eRRSP_Tx_Table[[#This Row],[Year]],SUMIFS($W$4:$W531,$S$4:$S531,eRRSP_Tx_Table[[#This Row],[Year]],$W$4:$W531,"&gt;0"),"")</f>
        <v/>
      </c>
      <c r="Z531" s="10" t="str">
        <f>IF(S532&lt;&gt;eRRSP_Tx_Table[[#This Row],[Year]],SUMIFS($W$4:$W531,$S$4:$S531,eRRSP_Tx_Table[[#This Row],[Year]],$W$4:$W531,"&lt;0"),"")</f>
        <v/>
      </c>
      <c r="AA531" s="3">
        <f>(SUMIF($U$4:$U531,CONCATENATE("Buy",$C531),$N$4:$N531)+SUMIF($U$4:$U531,CONCATENATE("ReinvDiv",$C531),$N$4:$N531))</f>
        <v>-1851.7</v>
      </c>
      <c r="AB531" s="3">
        <f>(SUMIF($U$4:$U531,CONCATENATE("Buy",$C531),$F$4:$F531)+SUMIF($U$4:$U531,CONCATENATE("ReinvDiv",$C531),$F$4:$F531)+SUMIF($U$4:$U531,CONCATENATE("StkSplit",$C531),$F$4:$F531)-SUMIF($U$4:$U531,CONCATENATE("Sell",$C531),$F$4:$F531))</f>
        <v>73</v>
      </c>
      <c r="AC531" s="3">
        <f>IF(B531="Sell",F531*INDEX(V:V,LOOKUP(2,1/(X$4:X530=CONCATENATE(C531,"_ACB")),ROW(V$4:V530))),0)</f>
        <v>0</v>
      </c>
    </row>
    <row r="532" spans="1:29" x14ac:dyDescent="0.25">
      <c r="A532" s="20">
        <v>39699</v>
      </c>
      <c r="B532" t="s">
        <v>42</v>
      </c>
      <c r="C532" t="s">
        <v>88</v>
      </c>
      <c r="D532" s="3">
        <v>25.27</v>
      </c>
      <c r="J532">
        <v>129.04</v>
      </c>
      <c r="M532" s="21">
        <f t="shared" si="64"/>
        <v>25.27</v>
      </c>
      <c r="N532" s="8">
        <f t="shared" si="70"/>
        <v>25.27</v>
      </c>
      <c r="O532" s="25">
        <f t="shared" si="67"/>
        <v>41377.650000000009</v>
      </c>
      <c r="P532" s="8">
        <f t="shared" si="65"/>
        <v>0</v>
      </c>
      <c r="Q532" s="4">
        <f>IF(AND(S532&gt;=[1]eRRSP_Rpt!$C$6,S532&lt;=[1]eRRSP_Rpt!$C$7),1,0)</f>
        <v>1</v>
      </c>
      <c r="R532" s="4"/>
      <c r="S532" s="4">
        <f t="shared" si="71"/>
        <v>2008</v>
      </c>
      <c r="T532" s="4"/>
      <c r="U532" s="4" t="str">
        <f t="shared" si="66"/>
        <v>DiviShares IBOXX (US$)</v>
      </c>
      <c r="V532" s="23">
        <f>IFERROR(IF(AND(AB532&gt;0,B532&lt;&gt;"Sell"),(AA532-SUMIF(C$4:C531,C532,AC$4:AC532))/AB532,0),"")</f>
        <v>-127.70865384615385</v>
      </c>
      <c r="W532" s="24" t="str">
        <f t="shared" si="69"/>
        <v/>
      </c>
      <c r="X532" s="25" t="str">
        <f t="shared" si="68"/>
        <v>iShares IBOXX (US$)_ACB</v>
      </c>
      <c r="Y532" s="10" t="str">
        <f>IF(S533&lt;&gt;eRRSP_Tx_Table[[#This Row],[Year]],SUMIFS($W$4:$W532,$S$4:$S532,eRRSP_Tx_Table[[#This Row],[Year]],$W$4:$W532,"&gt;0"),"")</f>
        <v/>
      </c>
      <c r="Z532" s="10" t="str">
        <f>IF(S533&lt;&gt;eRRSP_Tx_Table[[#This Row],[Year]],SUMIFS($W$4:$W532,$S$4:$S532,eRRSP_Tx_Table[[#This Row],[Year]],$W$4:$W532,"&lt;0"),"")</f>
        <v/>
      </c>
      <c r="AA532" s="3">
        <f>(SUMIF($U$4:$U532,CONCATENATE("Buy",$C532),$N$4:$N532)+SUMIF($U$4:$U532,CONCATENATE("ReinvDiv",$C532),$N$4:$N532))</f>
        <v>-6640.85</v>
      </c>
      <c r="AB532" s="3">
        <f>(SUMIF($U$4:$U532,CONCATENATE("Buy",$C532),$F$4:$F532)+SUMIF($U$4:$U532,CONCATENATE("ReinvDiv",$C532),$F$4:$F532)+SUMIF($U$4:$U532,CONCATENATE("StkSplit",$C532),$F$4:$F532)-SUMIF($U$4:$U532,CONCATENATE("Sell",$C532),$F$4:$F532))</f>
        <v>52</v>
      </c>
      <c r="AC532" s="3">
        <f>IF(B532="Sell",F532*INDEX(V:V,LOOKUP(2,1/(X$4:X531=CONCATENATE(C532,"_ACB")),ROW(V$4:V531))),0)</f>
        <v>0</v>
      </c>
    </row>
    <row r="533" spans="1:29" x14ac:dyDescent="0.25">
      <c r="A533" s="20">
        <v>39703</v>
      </c>
      <c r="B533" t="s">
        <v>42</v>
      </c>
      <c r="C533" t="s">
        <v>87</v>
      </c>
      <c r="D533" s="3">
        <v>43.52</v>
      </c>
      <c r="J533">
        <v>20.65</v>
      </c>
      <c r="M533" s="21">
        <f t="shared" si="64"/>
        <v>43.52</v>
      </c>
      <c r="N533" s="8">
        <f t="shared" si="70"/>
        <v>43.52</v>
      </c>
      <c r="O533" s="25">
        <f t="shared" si="67"/>
        <v>41421.170000000006</v>
      </c>
      <c r="P533" s="8">
        <f t="shared" si="65"/>
        <v>0</v>
      </c>
      <c r="Q533" s="4">
        <f>IF(AND(S533&gt;=[1]eRRSP_Rpt!$C$6,S533&lt;=[1]eRRSP_Rpt!$C$7),1,0)</f>
        <v>1</v>
      </c>
      <c r="R533" s="4"/>
      <c r="S533" s="4">
        <f t="shared" si="71"/>
        <v>2008</v>
      </c>
      <c r="T533" s="4"/>
      <c r="U533" s="4" t="str">
        <f t="shared" si="66"/>
        <v>DivAberdeen Asia Pacific Income Fund</v>
      </c>
      <c r="V533" s="23">
        <f>IFERROR(IF(AND(AB533&gt;0,B533&lt;&gt;"Sell"),(AA533-SUMIF(C$4:C532,C533,AC$4:AC533))/AB533,0),"")</f>
        <v>-7.4694020797227028</v>
      </c>
      <c r="W533" s="24" t="str">
        <f t="shared" si="69"/>
        <v/>
      </c>
      <c r="X533" s="25" t="str">
        <f t="shared" si="68"/>
        <v>Aberdeen Asia Pacific Income Fund_ACB</v>
      </c>
      <c r="Y533" s="10" t="str">
        <f>IF(S534&lt;&gt;eRRSP_Tx_Table[[#This Row],[Year]],SUMIFS($W$4:$W533,$S$4:$S533,eRRSP_Tx_Table[[#This Row],[Year]],$W$4:$W533,"&gt;0"),"")</f>
        <v/>
      </c>
      <c r="Z533" s="10" t="str">
        <f>IF(S534&lt;&gt;eRRSP_Tx_Table[[#This Row],[Year]],SUMIFS($W$4:$W533,$S$4:$S533,eRRSP_Tx_Table[[#This Row],[Year]],$W$4:$W533,"&lt;0"),"")</f>
        <v/>
      </c>
      <c r="AA533" s="3">
        <f>(SUMIF($U$4:$U533,CONCATENATE("Buy",$C533),$N$4:$N533)+SUMIF($U$4:$U533,CONCATENATE("ReinvDiv",$C533),$N$4:$N533))</f>
        <v>-8619.6899999999987</v>
      </c>
      <c r="AB533" s="3">
        <f>(SUMIF($U$4:$U533,CONCATENATE("Buy",$C533),$F$4:$F533)+SUMIF($U$4:$U533,CONCATENATE("ReinvDiv",$C533),$F$4:$F533)+SUMIF($U$4:$U533,CONCATENATE("StkSplit",$C533),$F$4:$F533)-SUMIF($U$4:$U533,CONCATENATE("Sell",$C533),$F$4:$F533))</f>
        <v>1154</v>
      </c>
      <c r="AC533" s="3">
        <f>IF(B533="Sell",F533*INDEX(V:V,LOOKUP(2,1/(X$4:X532=CONCATENATE(C533,"_ACB")),ROW(V$4:V532))),0)</f>
        <v>0</v>
      </c>
    </row>
    <row r="534" spans="1:29" x14ac:dyDescent="0.25">
      <c r="A534" s="20">
        <v>39720</v>
      </c>
      <c r="B534" t="s">
        <v>41</v>
      </c>
      <c r="C534" t="s">
        <v>62</v>
      </c>
      <c r="D534" s="3">
        <v>129.04</v>
      </c>
      <c r="E534">
        <v>14.3569</v>
      </c>
      <c r="F534" s="3">
        <v>8.9879999999999995</v>
      </c>
      <c r="J534">
        <v>15.96</v>
      </c>
      <c r="M534" s="21">
        <f t="shared" si="64"/>
        <v>129.04</v>
      </c>
      <c r="N534" s="8">
        <f t="shared" si="70"/>
        <v>-129.04</v>
      </c>
      <c r="O534" s="25">
        <f t="shared" si="67"/>
        <v>41421.170000000006</v>
      </c>
      <c r="P534" s="8">
        <f t="shared" si="65"/>
        <v>0</v>
      </c>
      <c r="Q534" s="4">
        <f>IF(AND(S534&gt;=[1]eRRSP_Rpt!$C$6,S534&lt;=[1]eRRSP_Rpt!$C$7),1,0)</f>
        <v>1</v>
      </c>
      <c r="R534" s="4"/>
      <c r="S534" s="4">
        <f t="shared" si="71"/>
        <v>2008</v>
      </c>
      <c r="T534" s="4"/>
      <c r="U534" s="4" t="str">
        <f t="shared" si="66"/>
        <v>ReinvDivTD RR Bond</v>
      </c>
      <c r="V534" s="23">
        <f>IFERROR(IF(AND(AB534&gt;0,B534&lt;&gt;"Sell"),(AA534-SUMIF(C$4:C533,C534,AC$4:AC534))/AB534,0),"")</f>
        <v>-14.233489804899515</v>
      </c>
      <c r="W534" s="24" t="str">
        <f t="shared" si="69"/>
        <v/>
      </c>
      <c r="X534" s="25" t="str">
        <f t="shared" si="68"/>
        <v>TD RR Bond_ACB</v>
      </c>
      <c r="Y534" s="10" t="str">
        <f>IF(S535&lt;&gt;eRRSP_Tx_Table[[#This Row],[Year]],SUMIFS($W$4:$W534,$S$4:$S534,eRRSP_Tx_Table[[#This Row],[Year]],$W$4:$W534,"&gt;0"),"")</f>
        <v/>
      </c>
      <c r="Z534" s="10" t="str">
        <f>IF(S535&lt;&gt;eRRSP_Tx_Table[[#This Row],[Year]],SUMIFS($W$4:$W534,$S$4:$S534,eRRSP_Tx_Table[[#This Row],[Year]],$W$4:$W534,"&lt;0"),"")</f>
        <v/>
      </c>
      <c r="AA534" s="3">
        <f>(SUMIF($U$4:$U534,CONCATENATE("Buy",$C534),$N$4:$N534)+SUMIF($U$4:$U534,CONCATENATE("ReinvDiv",$C534),$N$4:$N534))</f>
        <v>-9702.9699999999993</v>
      </c>
      <c r="AB534" s="3">
        <f>(SUMIF($U$4:$U534,CONCATENATE("Buy",$C534),$F$4:$F534)+SUMIF($U$4:$U534,CONCATENATE("ReinvDiv",$C534),$F$4:$F534)+SUMIF($U$4:$U534,CONCATENATE("StkSplit",$C534),$F$4:$F534)-SUMIF($U$4:$U534,CONCATENATE("Sell",$C534),$F$4:$F534))</f>
        <v>681.7</v>
      </c>
      <c r="AC534" s="3">
        <f>IF(B534="Sell",F534*INDEX(V:V,LOOKUP(2,1/(X$4:X533=CONCATENATE(C534,"_ACB")),ROW(V$4:V533))),0)</f>
        <v>0</v>
      </c>
    </row>
    <row r="535" spans="1:29" x14ac:dyDescent="0.25">
      <c r="A535" s="20">
        <v>39721</v>
      </c>
      <c r="B535" t="s">
        <v>42</v>
      </c>
      <c r="C535" t="s">
        <v>90</v>
      </c>
      <c r="D535" s="3">
        <v>20.65</v>
      </c>
      <c r="J535">
        <v>23.3</v>
      </c>
      <c r="M535" s="21">
        <f t="shared" ref="M535:M600" si="72">ROUND(IF(OR(B535="Buy",B535="Sell"),E535*F535,D535),2)</f>
        <v>20.65</v>
      </c>
      <c r="N535" s="8">
        <f t="shared" si="70"/>
        <v>20.65</v>
      </c>
      <c r="O535" s="25">
        <f t="shared" si="67"/>
        <v>41441.820000000007</v>
      </c>
      <c r="P535" s="8">
        <f t="shared" ref="P535:P600" si="73">IF(OR($B535="Cash"),$N535,0)</f>
        <v>0</v>
      </c>
      <c r="Q535" s="4">
        <f>IF(AND(S535&gt;=[1]eRRSP_Rpt!$C$6,S535&lt;=[1]eRRSP_Rpt!$C$7),1,0)</f>
        <v>1</v>
      </c>
      <c r="R535" s="4"/>
      <c r="S535" s="4">
        <f t="shared" si="71"/>
        <v>2008</v>
      </c>
      <c r="T535" s="4"/>
      <c r="U535" s="4" t="str">
        <f t="shared" ref="U535:U600" si="74">CONCATENATE(B535,C535)</f>
        <v>DivVanguard Large Cap ETF</v>
      </c>
      <c r="V535" s="23">
        <f>IFERROR(IF(AND(AB535&gt;0,B535&lt;&gt;"Sell"),(AA535-SUMIF(C$4:C534,C535,AC$4:AC535))/AB535,0),"")</f>
        <v>-74.401142857142858</v>
      </c>
      <c r="W535" s="24" t="str">
        <f t="shared" si="69"/>
        <v/>
      </c>
      <c r="X535" s="25" t="str">
        <f t="shared" si="68"/>
        <v>Vanguard Large Cap ETF_ACB</v>
      </c>
      <c r="Y535" s="10" t="str">
        <f>IF(S536&lt;&gt;eRRSP_Tx_Table[[#This Row],[Year]],SUMIFS($W$4:$W535,$S$4:$S535,eRRSP_Tx_Table[[#This Row],[Year]],$W$4:$W535,"&gt;0"),"")</f>
        <v/>
      </c>
      <c r="Z535" s="10" t="str">
        <f>IF(S536&lt;&gt;eRRSP_Tx_Table[[#This Row],[Year]],SUMIFS($W$4:$W535,$S$4:$S535,eRRSP_Tx_Table[[#This Row],[Year]],$W$4:$W535,"&lt;0"),"")</f>
        <v/>
      </c>
      <c r="AA535" s="3">
        <f>(SUMIF($U$4:$U535,CONCATENATE("Buy",$C535),$N$4:$N535)+SUMIF($U$4:$U535,CONCATENATE("ReinvDiv",$C535),$N$4:$N535))</f>
        <v>-5208.08</v>
      </c>
      <c r="AB535" s="3">
        <f>(SUMIF($U$4:$U535,CONCATENATE("Buy",$C535),$F$4:$F535)+SUMIF($U$4:$U535,CONCATENATE("ReinvDiv",$C535),$F$4:$F535)+SUMIF($U$4:$U535,CONCATENATE("StkSplit",$C535),$F$4:$F535)-SUMIF($U$4:$U535,CONCATENATE("Sell",$C535),$F$4:$F535))</f>
        <v>70</v>
      </c>
      <c r="AC535" s="3">
        <f>IF(B535="Sell",F535*INDEX(V:V,LOOKUP(2,1/(X$4:X534=CONCATENATE(C535,"_ACB")),ROW(V$4:V534))),0)</f>
        <v>0</v>
      </c>
    </row>
    <row r="536" spans="1:29" x14ac:dyDescent="0.25">
      <c r="A536" s="20">
        <v>39721</v>
      </c>
      <c r="B536" t="s">
        <v>42</v>
      </c>
      <c r="C536" t="s">
        <v>86</v>
      </c>
      <c r="D536" s="3">
        <v>15.96</v>
      </c>
      <c r="J536">
        <v>46.14</v>
      </c>
      <c r="M536" s="21">
        <f t="shared" si="72"/>
        <v>15.96</v>
      </c>
      <c r="N536" s="8">
        <f t="shared" si="70"/>
        <v>15.96</v>
      </c>
      <c r="O536" s="25">
        <f t="shared" si="67"/>
        <v>41457.780000000006</v>
      </c>
      <c r="P536" s="8">
        <f t="shared" si="73"/>
        <v>0</v>
      </c>
      <c r="Q536" s="4">
        <f>IF(AND(S536&gt;=[1]eRRSP_Rpt!$C$6,S536&lt;=[1]eRRSP_Rpt!$C$7),1,0)</f>
        <v>1</v>
      </c>
      <c r="R536" s="4"/>
      <c r="S536" s="4">
        <f t="shared" si="71"/>
        <v>2008</v>
      </c>
      <c r="T536" s="4"/>
      <c r="U536" s="4" t="str">
        <f t="shared" si="74"/>
        <v>DiviShares S&amp;P SmallCap</v>
      </c>
      <c r="V536" s="23">
        <f>IFERROR(IF(AND(AB536&gt;0,B536&lt;&gt;"Sell"),(AA536-SUMIF(C$4:C535,C536,AC$4:AC536))/AB536,0),"")</f>
        <v>-70.414404761904763</v>
      </c>
      <c r="W536" s="24" t="str">
        <f t="shared" si="69"/>
        <v/>
      </c>
      <c r="X536" s="25" t="str">
        <f t="shared" si="68"/>
        <v>iShares S&amp;P SmallCap_ACB</v>
      </c>
      <c r="Y536" s="10" t="str">
        <f>IF(S537&lt;&gt;eRRSP_Tx_Table[[#This Row],[Year]],SUMIFS($W$4:$W536,$S$4:$S536,eRRSP_Tx_Table[[#This Row],[Year]],$W$4:$W536,"&gt;0"),"")</f>
        <v/>
      </c>
      <c r="Z536" s="10" t="str">
        <f>IF(S537&lt;&gt;eRRSP_Tx_Table[[#This Row],[Year]],SUMIFS($W$4:$W536,$S$4:$S536,eRRSP_Tx_Table[[#This Row],[Year]],$W$4:$W536,"&lt;0"),"")</f>
        <v/>
      </c>
      <c r="AA536" s="3">
        <f>(SUMIF($U$4:$U536,CONCATENATE("Buy",$C536),$N$4:$N536)+SUMIF($U$4:$U536,CONCATENATE("ReinvDiv",$C536),$N$4:$N536))</f>
        <v>-5914.81</v>
      </c>
      <c r="AB536" s="3">
        <f>(SUMIF($U$4:$U536,CONCATENATE("Buy",$C536),$F$4:$F536)+SUMIF($U$4:$U536,CONCATENATE("ReinvDiv",$C536),$F$4:$F536)+SUMIF($U$4:$U536,CONCATENATE("StkSplit",$C536),$F$4:$F536)-SUMIF($U$4:$U536,CONCATENATE("Sell",$C536),$F$4:$F536))</f>
        <v>84</v>
      </c>
      <c r="AC536" s="3">
        <f>IF(B536="Sell",F536*INDEX(V:V,LOOKUP(2,1/(X$4:X535=CONCATENATE(C536,"_ACB")),ROW(V$4:V535))),0)</f>
        <v>0</v>
      </c>
    </row>
    <row r="537" spans="1:29" x14ac:dyDescent="0.25">
      <c r="A537" s="20">
        <v>39728</v>
      </c>
      <c r="B537" t="s">
        <v>42</v>
      </c>
      <c r="C537" t="s">
        <v>88</v>
      </c>
      <c r="D537" s="3">
        <v>23.3</v>
      </c>
      <c r="J537">
        <v>-672.49</v>
      </c>
      <c r="M537" s="21">
        <f t="shared" si="72"/>
        <v>23.3</v>
      </c>
      <c r="N537" s="8">
        <f t="shared" si="70"/>
        <v>23.3</v>
      </c>
      <c r="O537" s="25">
        <f t="shared" si="67"/>
        <v>41481.080000000009</v>
      </c>
      <c r="P537" s="8">
        <f t="shared" si="73"/>
        <v>0</v>
      </c>
      <c r="Q537" s="4">
        <f>IF(AND(S537&gt;=[1]eRRSP_Rpt!$C$6,S537&lt;=[1]eRRSP_Rpt!$C$7),1,0)</f>
        <v>1</v>
      </c>
      <c r="R537" s="4"/>
      <c r="S537" s="4">
        <f t="shared" si="71"/>
        <v>2008</v>
      </c>
      <c r="T537" s="4"/>
      <c r="U537" s="4" t="str">
        <f t="shared" si="74"/>
        <v>DiviShares IBOXX (US$)</v>
      </c>
      <c r="V537" s="23">
        <f>IFERROR(IF(AND(AB537&gt;0,B537&lt;&gt;"Sell"),(AA537-SUMIF(C$4:C536,C537,AC$4:AC537))/AB537,0),"")</f>
        <v>-127.70865384615385</v>
      </c>
      <c r="W537" s="24" t="str">
        <f t="shared" si="69"/>
        <v/>
      </c>
      <c r="X537" s="25" t="str">
        <f t="shared" si="68"/>
        <v>iShares IBOXX (US$)_ACB</v>
      </c>
      <c r="Y537" s="10" t="str">
        <f>IF(S538&lt;&gt;eRRSP_Tx_Table[[#This Row],[Year]],SUMIFS($W$4:$W537,$S$4:$S537,eRRSP_Tx_Table[[#This Row],[Year]],$W$4:$W537,"&gt;0"),"")</f>
        <v/>
      </c>
      <c r="Z537" s="10" t="str">
        <f>IF(S538&lt;&gt;eRRSP_Tx_Table[[#This Row],[Year]],SUMIFS($W$4:$W537,$S$4:$S537,eRRSP_Tx_Table[[#This Row],[Year]],$W$4:$W537,"&lt;0"),"")</f>
        <v/>
      </c>
      <c r="AA537" s="3">
        <f>(SUMIF($U$4:$U537,CONCATENATE("Buy",$C537),$N$4:$N537)+SUMIF($U$4:$U537,CONCATENATE("ReinvDiv",$C537),$N$4:$N537))</f>
        <v>-6640.85</v>
      </c>
      <c r="AB537" s="3">
        <f>(SUMIF($U$4:$U537,CONCATENATE("Buy",$C537),$F$4:$F537)+SUMIF($U$4:$U537,CONCATENATE("ReinvDiv",$C537),$F$4:$F537)+SUMIF($U$4:$U537,CONCATENATE("StkSplit",$C537),$F$4:$F537)-SUMIF($U$4:$U537,CONCATENATE("Sell",$C537),$F$4:$F537))</f>
        <v>52</v>
      </c>
      <c r="AC537" s="3">
        <f>IF(B537="Sell",F537*INDEX(V:V,LOOKUP(2,1/(X$4:X536=CONCATENATE(C537,"_ACB")),ROW(V$4:V536))),0)</f>
        <v>0</v>
      </c>
    </row>
    <row r="538" spans="1:29" x14ac:dyDescent="0.25">
      <c r="A538" s="20">
        <v>39728</v>
      </c>
      <c r="B538" t="s">
        <v>42</v>
      </c>
      <c r="C538" t="s">
        <v>87</v>
      </c>
      <c r="D538" s="3">
        <v>46.14</v>
      </c>
      <c r="J538">
        <v>0.76</v>
      </c>
      <c r="M538" s="21">
        <f t="shared" si="72"/>
        <v>46.14</v>
      </c>
      <c r="N538" s="8">
        <f t="shared" si="70"/>
        <v>46.14</v>
      </c>
      <c r="O538" s="25">
        <f t="shared" si="67"/>
        <v>41527.220000000008</v>
      </c>
      <c r="P538" s="8">
        <f t="shared" si="73"/>
        <v>0</v>
      </c>
      <c r="Q538" s="4">
        <f>IF(AND(S538&gt;=[1]eRRSP_Rpt!$C$6,S538&lt;=[1]eRRSP_Rpt!$C$7),1,0)</f>
        <v>1</v>
      </c>
      <c r="R538" s="4"/>
      <c r="S538" s="4">
        <f t="shared" si="71"/>
        <v>2008</v>
      </c>
      <c r="T538" s="4"/>
      <c r="U538" s="4" t="str">
        <f t="shared" si="74"/>
        <v>DivAberdeen Asia Pacific Income Fund</v>
      </c>
      <c r="V538" s="23">
        <f>IFERROR(IF(AND(AB538&gt;0,B538&lt;&gt;"Sell"),(AA538-SUMIF(C$4:C537,C538,AC$4:AC538))/AB538,0),"")</f>
        <v>-7.4694020797227028</v>
      </c>
      <c r="W538" s="24" t="str">
        <f t="shared" si="69"/>
        <v/>
      </c>
      <c r="X538" s="25" t="str">
        <f t="shared" si="68"/>
        <v>Aberdeen Asia Pacific Income Fund_ACB</v>
      </c>
      <c r="Y538" s="10" t="str">
        <f>IF(S539&lt;&gt;eRRSP_Tx_Table[[#This Row],[Year]],SUMIFS($W$4:$W538,$S$4:$S538,eRRSP_Tx_Table[[#This Row],[Year]],$W$4:$W538,"&gt;0"),"")</f>
        <v/>
      </c>
      <c r="Z538" s="10" t="str">
        <f>IF(S539&lt;&gt;eRRSP_Tx_Table[[#This Row],[Year]],SUMIFS($W$4:$W538,$S$4:$S538,eRRSP_Tx_Table[[#This Row],[Year]],$W$4:$W538,"&lt;0"),"")</f>
        <v/>
      </c>
      <c r="AA538" s="3">
        <f>(SUMIF($U$4:$U538,CONCATENATE("Buy",$C538),$N$4:$N538)+SUMIF($U$4:$U538,CONCATENATE("ReinvDiv",$C538),$N$4:$N538))</f>
        <v>-8619.6899999999987</v>
      </c>
      <c r="AB538" s="3">
        <f>(SUMIF($U$4:$U538,CONCATENATE("Buy",$C538),$F$4:$F538)+SUMIF($U$4:$U538,CONCATENATE("ReinvDiv",$C538),$F$4:$F538)+SUMIF($U$4:$U538,CONCATENATE("StkSplit",$C538),$F$4:$F538)-SUMIF($U$4:$U538,CONCATENATE("Sell",$C538),$F$4:$F538))</f>
        <v>1154</v>
      </c>
      <c r="AC538" s="3">
        <f>IF(B538="Sell",F538*INDEX(V:V,LOOKUP(2,1/(X$4:X537=CONCATENATE(C538,"_ACB")),ROW(V$4:V537))),0)</f>
        <v>0</v>
      </c>
    </row>
    <row r="539" spans="1:29" x14ac:dyDescent="0.25">
      <c r="A539" s="20">
        <v>39738</v>
      </c>
      <c r="B539" t="s">
        <v>32</v>
      </c>
      <c r="C539" t="s">
        <v>92</v>
      </c>
      <c r="D539" s="3">
        <v>672.49</v>
      </c>
      <c r="E539">
        <v>13.25</v>
      </c>
      <c r="F539" s="3">
        <v>50</v>
      </c>
      <c r="G539">
        <v>9.99</v>
      </c>
      <c r="J539">
        <v>12.2</v>
      </c>
      <c r="M539" s="21">
        <f t="shared" si="72"/>
        <v>662.5</v>
      </c>
      <c r="N539" s="8">
        <f t="shared" si="70"/>
        <v>-672.49</v>
      </c>
      <c r="O539" s="25">
        <f t="shared" si="67"/>
        <v>40854.73000000001</v>
      </c>
      <c r="P539" s="8">
        <f t="shared" si="73"/>
        <v>0</v>
      </c>
      <c r="Q539" s="4">
        <f>IF(AND(S539&gt;=[1]eRRSP_Rpt!$C$6,S539&lt;=[1]eRRSP_Rpt!$C$7),1,0)</f>
        <v>1</v>
      </c>
      <c r="R539" s="4"/>
      <c r="S539" s="4">
        <f t="shared" si="71"/>
        <v>2008</v>
      </c>
      <c r="T539" s="4"/>
      <c r="U539" s="4" t="str">
        <f t="shared" si="74"/>
        <v>BuyiUnits S&amp;P 500</v>
      </c>
      <c r="V539" s="23">
        <f>IFERROR(IF(AND(AB539&gt;0,B539&lt;&gt;"Sell"),(AA539-SUMIF(C$4:C538,C539,AC$4:AC539))/AB539,0),"")</f>
        <v>-13.4498</v>
      </c>
      <c r="W539" s="24" t="str">
        <f t="shared" si="69"/>
        <v/>
      </c>
      <c r="X539" s="25" t="str">
        <f t="shared" si="68"/>
        <v>iUnits S&amp;P 500_ACB</v>
      </c>
      <c r="Y539" s="10" t="str">
        <f>IF(S540&lt;&gt;eRRSP_Tx_Table[[#This Row],[Year]],SUMIFS($W$4:$W539,$S$4:$S539,eRRSP_Tx_Table[[#This Row],[Year]],$W$4:$W539,"&gt;0"),"")</f>
        <v/>
      </c>
      <c r="Z539" s="10" t="str">
        <f>IF(S540&lt;&gt;eRRSP_Tx_Table[[#This Row],[Year]],SUMIFS($W$4:$W539,$S$4:$S539,eRRSP_Tx_Table[[#This Row],[Year]],$W$4:$W539,"&lt;0"),"")</f>
        <v/>
      </c>
      <c r="AA539" s="3">
        <f>(SUMIF($U$4:$U539,CONCATENATE("Buy",$C539),$N$4:$N539)+SUMIF($U$4:$U539,CONCATENATE("ReinvDiv",$C539),$N$4:$N539))</f>
        <v>-672.49</v>
      </c>
      <c r="AB539" s="3">
        <f>(SUMIF($U$4:$U539,CONCATENATE("Buy",$C539),$F$4:$F539)+SUMIF($U$4:$U539,CONCATENATE("ReinvDiv",$C539),$F$4:$F539)+SUMIF($U$4:$U539,CONCATENATE("StkSplit",$C539),$F$4:$F539)-SUMIF($U$4:$U539,CONCATENATE("Sell",$C539),$F$4:$F539))</f>
        <v>50</v>
      </c>
      <c r="AC539" s="3">
        <f>IF(B539="Sell",F539*INDEX(V:V,LOOKUP(2,1/(X$4:X538=CONCATENATE(C539,"_ACB")),ROW(V$4:V538))),0)</f>
        <v>0</v>
      </c>
    </row>
    <row r="540" spans="1:29" x14ac:dyDescent="0.25">
      <c r="A540" s="20">
        <v>39752</v>
      </c>
      <c r="B540" t="s">
        <v>42</v>
      </c>
      <c r="C540" t="s">
        <v>47</v>
      </c>
      <c r="D540" s="3">
        <v>0.76</v>
      </c>
      <c r="J540">
        <v>27.04</v>
      </c>
      <c r="M540" s="21">
        <f t="shared" si="72"/>
        <v>0.76</v>
      </c>
      <c r="N540" s="8">
        <f t="shared" si="70"/>
        <v>0.76</v>
      </c>
      <c r="O540" s="25">
        <f t="shared" si="67"/>
        <v>40855.490000000013</v>
      </c>
      <c r="P540" s="8">
        <f t="shared" si="73"/>
        <v>0</v>
      </c>
      <c r="Q540" s="4">
        <f>IF(AND(S540&gt;=[1]eRRSP_Rpt!$C$6,S540&lt;=[1]eRRSP_Rpt!$C$7),1,0)</f>
        <v>1</v>
      </c>
      <c r="R540" s="4"/>
      <c r="S540" s="4">
        <f t="shared" si="71"/>
        <v>2008</v>
      </c>
      <c r="T540" s="4"/>
      <c r="U540" s="4" t="str">
        <f t="shared" si="74"/>
        <v>DivBombardier</v>
      </c>
      <c r="V540" s="23">
        <f>IFERROR(IF(AND(AB540&gt;0,B540&lt;&gt;"Sell"),(AA540-SUMIF(C$4:C539,C540,AC$4:AC540))/AB540,0),"")</f>
        <v>-23.216666666666665</v>
      </c>
      <c r="W540" s="24" t="str">
        <f t="shared" si="69"/>
        <v/>
      </c>
      <c r="X540" s="25" t="str">
        <f t="shared" si="68"/>
        <v>Bombardier_ACB</v>
      </c>
      <c r="Y540" s="10" t="str">
        <f>IF(S541&lt;&gt;eRRSP_Tx_Table[[#This Row],[Year]],SUMIFS($W$4:$W540,$S$4:$S540,eRRSP_Tx_Table[[#This Row],[Year]],$W$4:$W540,"&gt;0"),"")</f>
        <v/>
      </c>
      <c r="Z540" s="10" t="str">
        <f>IF(S541&lt;&gt;eRRSP_Tx_Table[[#This Row],[Year]],SUMIFS($W$4:$W540,$S$4:$S540,eRRSP_Tx_Table[[#This Row],[Year]],$W$4:$W540,"&lt;0"),"")</f>
        <v/>
      </c>
      <c r="AA540" s="3">
        <f>(SUMIF($U$4:$U540,CONCATENATE("Buy",$C540),$N$4:$N540)+SUMIF($U$4:$U540,CONCATENATE("ReinvDiv",$C540),$N$4:$N540))</f>
        <v>-696.5</v>
      </c>
      <c r="AB540" s="3">
        <f>(SUMIF($U$4:$U540,CONCATENATE("Buy",$C540),$F$4:$F540)+SUMIF($U$4:$U540,CONCATENATE("ReinvDiv",$C540),$F$4:$F540)+SUMIF($U$4:$U540,CONCATENATE("StkSplit",$C540),$F$4:$F540)-SUMIF($U$4:$U540,CONCATENATE("Sell",$C540),$F$4:$F540))</f>
        <v>30</v>
      </c>
      <c r="AC540" s="3">
        <f>IF(B540="Sell",F540*INDEX(V:V,LOOKUP(2,1/(X$4:X539=CONCATENATE(C540,"_ACB")),ROW(V$4:V539))),0)</f>
        <v>0</v>
      </c>
    </row>
    <row r="541" spans="1:29" x14ac:dyDescent="0.25">
      <c r="A541" s="20">
        <v>39752</v>
      </c>
      <c r="B541" t="s">
        <v>42</v>
      </c>
      <c r="C541" t="s">
        <v>45</v>
      </c>
      <c r="D541" s="3">
        <v>12.2</v>
      </c>
      <c r="J541">
        <v>2.7</v>
      </c>
      <c r="M541" s="21">
        <f t="shared" si="72"/>
        <v>12.2</v>
      </c>
      <c r="N541" s="8">
        <f t="shared" si="70"/>
        <v>12.2</v>
      </c>
      <c r="O541" s="25">
        <f t="shared" si="67"/>
        <v>40867.69000000001</v>
      </c>
      <c r="P541" s="8">
        <f t="shared" si="73"/>
        <v>0</v>
      </c>
      <c r="Q541" s="4">
        <f>IF(AND(S541&gt;=[1]eRRSP_Rpt!$C$6,S541&lt;=[1]eRRSP_Rpt!$C$7),1,0)</f>
        <v>1</v>
      </c>
      <c r="R541" s="4"/>
      <c r="S541" s="4">
        <f t="shared" si="71"/>
        <v>2008</v>
      </c>
      <c r="T541" s="4"/>
      <c r="U541" s="4" t="str">
        <f t="shared" si="74"/>
        <v>DivTD Bank</v>
      </c>
      <c r="V541" s="23">
        <f>IFERROR(IF(AND(AB541&gt;0,B541&lt;&gt;"Sell"),(AA541-SUMIF(C$4:C540,C541,AC$4:AC541))/AB541,0),"")</f>
        <v>-44.29</v>
      </c>
      <c r="W541" s="24" t="str">
        <f t="shared" si="69"/>
        <v/>
      </c>
      <c r="X541" s="25" t="str">
        <f t="shared" si="68"/>
        <v>TD Bank_ACB</v>
      </c>
      <c r="Y541" s="10" t="str">
        <f>IF(S542&lt;&gt;eRRSP_Tx_Table[[#This Row],[Year]],SUMIFS($W$4:$W541,$S$4:$S541,eRRSP_Tx_Table[[#This Row],[Year]],$W$4:$W541,"&gt;0"),"")</f>
        <v/>
      </c>
      <c r="Z541" s="10" t="str">
        <f>IF(S542&lt;&gt;eRRSP_Tx_Table[[#This Row],[Year]],SUMIFS($W$4:$W541,$S$4:$S541,eRRSP_Tx_Table[[#This Row],[Year]],$W$4:$W541,"&lt;0"),"")</f>
        <v/>
      </c>
      <c r="AA541" s="3">
        <f>(SUMIF($U$4:$U541,CONCATENATE("Buy",$C541),$N$4:$N541)+SUMIF($U$4:$U541,CONCATENATE("ReinvDiv",$C541),$N$4:$N541))</f>
        <v>-885.8</v>
      </c>
      <c r="AB541" s="3">
        <f>(SUMIF($U$4:$U541,CONCATENATE("Buy",$C541),$F$4:$F541)+SUMIF($U$4:$U541,CONCATENATE("ReinvDiv",$C541),$F$4:$F541)+SUMIF($U$4:$U541,CONCATENATE("StkSplit",$C541),$F$4:$F541)-SUMIF($U$4:$U541,CONCATENATE("Sell",$C541),$F$4:$F541))</f>
        <v>20</v>
      </c>
      <c r="AC541" s="3">
        <f>IF(B541="Sell",F541*INDEX(V:V,LOOKUP(2,1/(X$4:X540=CONCATENATE(C541,"_ACB")),ROW(V$4:V540))),0)</f>
        <v>0</v>
      </c>
    </row>
    <row r="542" spans="1:29" x14ac:dyDescent="0.25">
      <c r="A542" s="20">
        <v>39759</v>
      </c>
      <c r="B542" t="s">
        <v>42</v>
      </c>
      <c r="C542" t="s">
        <v>88</v>
      </c>
      <c r="D542" s="3">
        <v>27.04</v>
      </c>
      <c r="J542">
        <v>48.89</v>
      </c>
      <c r="M542" s="21">
        <f t="shared" si="72"/>
        <v>27.04</v>
      </c>
      <c r="N542" s="8">
        <f t="shared" si="70"/>
        <v>27.04</v>
      </c>
      <c r="O542" s="25">
        <f t="shared" si="67"/>
        <v>40894.73000000001</v>
      </c>
      <c r="P542" s="8">
        <f t="shared" si="73"/>
        <v>0</v>
      </c>
      <c r="Q542" s="4">
        <f>IF(AND(S542&gt;=[1]eRRSP_Rpt!$C$6,S542&lt;=[1]eRRSP_Rpt!$C$7),1,0)</f>
        <v>1</v>
      </c>
      <c r="R542" s="4"/>
      <c r="S542" s="4">
        <f t="shared" si="71"/>
        <v>2008</v>
      </c>
      <c r="T542" s="4"/>
      <c r="U542" s="4" t="str">
        <f t="shared" si="74"/>
        <v>DiviShares IBOXX (US$)</v>
      </c>
      <c r="V542" s="23">
        <f>IFERROR(IF(AND(AB542&gt;0,B542&lt;&gt;"Sell"),(AA542-SUMIF(C$4:C541,C542,AC$4:AC542))/AB542,0),"")</f>
        <v>-127.70865384615385</v>
      </c>
      <c r="W542" s="24" t="str">
        <f t="shared" si="69"/>
        <v/>
      </c>
      <c r="X542" s="25" t="str">
        <f t="shared" si="68"/>
        <v>iShares IBOXX (US$)_ACB</v>
      </c>
      <c r="Y542" s="10" t="str">
        <f>IF(S543&lt;&gt;eRRSP_Tx_Table[[#This Row],[Year]],SUMIFS($W$4:$W542,$S$4:$S542,eRRSP_Tx_Table[[#This Row],[Year]],$W$4:$W542,"&gt;0"),"")</f>
        <v/>
      </c>
      <c r="Z542" s="10" t="str">
        <f>IF(S543&lt;&gt;eRRSP_Tx_Table[[#This Row],[Year]],SUMIFS($W$4:$W542,$S$4:$S542,eRRSP_Tx_Table[[#This Row],[Year]],$W$4:$W542,"&lt;0"),"")</f>
        <v/>
      </c>
      <c r="AA542" s="3">
        <f>(SUMIF($U$4:$U542,CONCATENATE("Buy",$C542),$N$4:$N542)+SUMIF($U$4:$U542,CONCATENATE("ReinvDiv",$C542),$N$4:$N542))</f>
        <v>-6640.85</v>
      </c>
      <c r="AB542" s="3">
        <f>(SUMIF($U$4:$U542,CONCATENATE("Buy",$C542),$F$4:$F542)+SUMIF($U$4:$U542,CONCATENATE("ReinvDiv",$C542),$F$4:$F542)+SUMIF($U$4:$U542,CONCATENATE("StkSplit",$C542),$F$4:$F542)-SUMIF($U$4:$U542,CONCATENATE("Sell",$C542),$F$4:$F542))</f>
        <v>52</v>
      </c>
      <c r="AC542" s="3">
        <f>IF(B542="Sell",F542*INDEX(V:V,LOOKUP(2,1/(X$4:X541=CONCATENATE(C542,"_ACB")),ROW(V$4:V541))),0)</f>
        <v>0</v>
      </c>
    </row>
    <row r="543" spans="1:29" x14ac:dyDescent="0.25">
      <c r="A543" s="20">
        <v>39764</v>
      </c>
      <c r="B543" t="s">
        <v>42</v>
      </c>
      <c r="C543" t="s">
        <v>79</v>
      </c>
      <c r="D543" s="3">
        <v>2.7</v>
      </c>
      <c r="J543">
        <v>24.09</v>
      </c>
      <c r="M543" s="21">
        <f t="shared" si="72"/>
        <v>2.7</v>
      </c>
      <c r="N543" s="8">
        <f t="shared" si="70"/>
        <v>2.7</v>
      </c>
      <c r="O543" s="25">
        <f t="shared" si="67"/>
        <v>40897.430000000008</v>
      </c>
      <c r="P543" s="8">
        <f t="shared" si="73"/>
        <v>0</v>
      </c>
      <c r="Q543" s="4">
        <f>IF(AND(S543&gt;=[1]eRRSP_Rpt!$C$6,S543&lt;=[1]eRRSP_Rpt!$C$7),1,0)</f>
        <v>1</v>
      </c>
      <c r="R543" s="4"/>
      <c r="S543" s="4">
        <f t="shared" si="71"/>
        <v>2008</v>
      </c>
      <c r="T543" s="4"/>
      <c r="U543" s="4" t="str">
        <f t="shared" si="74"/>
        <v>DivCentral Fund of Canada</v>
      </c>
      <c r="V543" s="23">
        <f>IFERROR(IF(AND(AB543&gt;0,B543&lt;&gt;"Sell"),(AA543-SUMIF(C$4:C542,C543,AC$4:AC543))/AB543,0),"")</f>
        <v>-10.243200000000002</v>
      </c>
      <c r="W543" s="24" t="str">
        <f t="shared" si="69"/>
        <v/>
      </c>
      <c r="X543" s="25" t="str">
        <f t="shared" si="68"/>
        <v>Central Fund of Canada_ACB</v>
      </c>
      <c r="Y543" s="10" t="str">
        <f>IF(S544&lt;&gt;eRRSP_Tx_Table[[#This Row],[Year]],SUMIFS($W$4:$W543,$S$4:$S543,eRRSP_Tx_Table[[#This Row],[Year]],$W$4:$W543,"&gt;0"),"")</f>
        <v/>
      </c>
      <c r="Z543" s="10" t="str">
        <f>IF(S544&lt;&gt;eRRSP_Tx_Table[[#This Row],[Year]],SUMIFS($W$4:$W543,$S$4:$S543,eRRSP_Tx_Table[[#This Row],[Year]],$W$4:$W543,"&lt;0"),"")</f>
        <v/>
      </c>
      <c r="AA543" s="3">
        <f>(SUMIF($U$4:$U543,CONCATENATE("Buy",$C543),$N$4:$N543)+SUMIF($U$4:$U543,CONCATENATE("ReinvDiv",$C543),$N$4:$N543))</f>
        <v>-2304.7200000000003</v>
      </c>
      <c r="AB543" s="3">
        <f>(SUMIF($U$4:$U543,CONCATENATE("Buy",$C543),$F$4:$F543)+SUMIF($U$4:$U543,CONCATENATE("ReinvDiv",$C543),$F$4:$F543)+SUMIF($U$4:$U543,CONCATENATE("StkSplit",$C543),$F$4:$F543)-SUMIF($U$4:$U543,CONCATENATE("Sell",$C543),$F$4:$F543))</f>
        <v>225</v>
      </c>
      <c r="AC543" s="3">
        <f>IF(B543="Sell",F543*INDEX(V:V,LOOKUP(2,1/(X$4:X542=CONCATENATE(C543,"_ACB")),ROW(V$4:V542))),0)</f>
        <v>0</v>
      </c>
    </row>
    <row r="544" spans="1:29" x14ac:dyDescent="0.25">
      <c r="A544" s="20">
        <v>39766</v>
      </c>
      <c r="B544" t="s">
        <v>42</v>
      </c>
      <c r="C544" t="s">
        <v>87</v>
      </c>
      <c r="D544" s="3">
        <v>48.89</v>
      </c>
      <c r="J544">
        <v>29.95</v>
      </c>
      <c r="M544" s="21">
        <f t="shared" si="72"/>
        <v>48.89</v>
      </c>
      <c r="N544" s="8">
        <f t="shared" si="70"/>
        <v>48.89</v>
      </c>
      <c r="O544" s="25">
        <f t="shared" si="67"/>
        <v>40946.320000000007</v>
      </c>
      <c r="P544" s="8">
        <f t="shared" si="73"/>
        <v>0</v>
      </c>
      <c r="Q544" s="4">
        <f>IF(AND(S544&gt;=[1]eRRSP_Rpt!$C$6,S544&lt;=[1]eRRSP_Rpt!$C$7),1,0)</f>
        <v>1</v>
      </c>
      <c r="R544" s="4"/>
      <c r="S544" s="4">
        <f t="shared" si="71"/>
        <v>2008</v>
      </c>
      <c r="T544" s="4"/>
      <c r="U544" s="4" t="str">
        <f t="shared" si="74"/>
        <v>DivAberdeen Asia Pacific Income Fund</v>
      </c>
      <c r="V544" s="23">
        <f>IFERROR(IF(AND(AB544&gt;0,B544&lt;&gt;"Sell"),(AA544-SUMIF(C$4:C543,C544,AC$4:AC544))/AB544,0),"")</f>
        <v>-7.4694020797227028</v>
      </c>
      <c r="W544" s="24" t="str">
        <f t="shared" si="69"/>
        <v/>
      </c>
      <c r="X544" s="25" t="str">
        <f t="shared" si="68"/>
        <v>Aberdeen Asia Pacific Income Fund_ACB</v>
      </c>
      <c r="Y544" s="10" t="str">
        <f>IF(S545&lt;&gt;eRRSP_Tx_Table[[#This Row],[Year]],SUMIFS($W$4:$W544,$S$4:$S544,eRRSP_Tx_Table[[#This Row],[Year]],$W$4:$W544,"&gt;0"),"")</f>
        <v/>
      </c>
      <c r="Z544" s="10" t="str">
        <f>IF(S545&lt;&gt;eRRSP_Tx_Table[[#This Row],[Year]],SUMIFS($W$4:$W544,$S$4:$S544,eRRSP_Tx_Table[[#This Row],[Year]],$W$4:$W544,"&lt;0"),"")</f>
        <v/>
      </c>
      <c r="AA544" s="3">
        <f>(SUMIF($U$4:$U544,CONCATENATE("Buy",$C544),$N$4:$N544)+SUMIF($U$4:$U544,CONCATENATE("ReinvDiv",$C544),$N$4:$N544))</f>
        <v>-8619.6899999999987</v>
      </c>
      <c r="AB544" s="3">
        <f>(SUMIF($U$4:$U544,CONCATENATE("Buy",$C544),$F$4:$F544)+SUMIF($U$4:$U544,CONCATENATE("ReinvDiv",$C544),$F$4:$F544)+SUMIF($U$4:$U544,CONCATENATE("StkSplit",$C544),$F$4:$F544)-SUMIF($U$4:$U544,CONCATENATE("Sell",$C544),$F$4:$F544))</f>
        <v>1154</v>
      </c>
      <c r="AC544" s="3">
        <f>IF(B544="Sell",F544*INDEX(V:V,LOOKUP(2,1/(X$4:X543=CONCATENATE(C544,"_ACB")),ROW(V$4:V543))),0)</f>
        <v>0</v>
      </c>
    </row>
    <row r="545" spans="1:29" x14ac:dyDescent="0.25">
      <c r="A545" s="20">
        <v>39783</v>
      </c>
      <c r="B545" t="s">
        <v>42</v>
      </c>
      <c r="C545" t="s">
        <v>33</v>
      </c>
      <c r="D545" s="3">
        <v>24.09</v>
      </c>
      <c r="J545">
        <v>49.86</v>
      </c>
      <c r="M545" s="21">
        <f t="shared" si="72"/>
        <v>24.09</v>
      </c>
      <c r="N545" s="8">
        <f t="shared" si="70"/>
        <v>24.09</v>
      </c>
      <c r="O545" s="25">
        <f t="shared" si="67"/>
        <v>40970.410000000003</v>
      </c>
      <c r="P545" s="8">
        <f t="shared" si="73"/>
        <v>0</v>
      </c>
      <c r="Q545" s="4">
        <f>IF(AND(S545&gt;=[1]eRRSP_Rpt!$C$6,S545&lt;=[1]eRRSP_Rpt!$C$7),1,0)</f>
        <v>1</v>
      </c>
      <c r="R545" s="4"/>
      <c r="S545" s="4">
        <f t="shared" si="71"/>
        <v>2008</v>
      </c>
      <c r="T545" s="4"/>
      <c r="U545" s="4" t="str">
        <f t="shared" si="74"/>
        <v>DivEnbridge</v>
      </c>
      <c r="V545" s="23">
        <f>IFERROR(IF(AND(AB545&gt;0,B545&lt;&gt;"Sell"),(AA545-SUMIF(C$4:C544,C545,AC$4:AC545))/AB545,0),"")</f>
        <v>-12.859027777777776</v>
      </c>
      <c r="W545" s="24" t="str">
        <f t="shared" si="69"/>
        <v/>
      </c>
      <c r="X545" s="25" t="str">
        <f t="shared" si="68"/>
        <v>Enbridge_ACB</v>
      </c>
      <c r="Y545" s="10" t="str">
        <f>IF(S546&lt;&gt;eRRSP_Tx_Table[[#This Row],[Year]],SUMIFS($W$4:$W545,$S$4:$S545,eRRSP_Tx_Table[[#This Row],[Year]],$W$4:$W545,"&gt;0"),"")</f>
        <v/>
      </c>
      <c r="Z545" s="10" t="str">
        <f>IF(S546&lt;&gt;eRRSP_Tx_Table[[#This Row],[Year]],SUMIFS($W$4:$W545,$S$4:$S545,eRRSP_Tx_Table[[#This Row],[Year]],$W$4:$W545,"&lt;0"),"")</f>
        <v/>
      </c>
      <c r="AA545" s="3">
        <f>(SUMIF($U$4:$U545,CONCATENATE("Buy",$C545),$N$4:$N545)+SUMIF($U$4:$U545,CONCATENATE("ReinvDiv",$C545),$N$4:$N545))</f>
        <v>-1851.7</v>
      </c>
      <c r="AB545" s="3">
        <f>(SUMIF($U$4:$U545,CONCATENATE("Buy",$C545),$F$4:$F545)+SUMIF($U$4:$U545,CONCATENATE("ReinvDiv",$C545),$F$4:$F545)+SUMIF($U$4:$U545,CONCATENATE("StkSplit",$C545),$F$4:$F545)-SUMIF($U$4:$U545,CONCATENATE("Sell",$C545),$F$4:$F545))</f>
        <v>73</v>
      </c>
      <c r="AC545" s="3">
        <f>IF(B545="Sell",F545*INDEX(V:V,LOOKUP(2,1/(X$4:X544=CONCATENATE(C545,"_ACB")),ROW(V$4:V544))),0)</f>
        <v>0</v>
      </c>
    </row>
    <row r="546" spans="1:29" x14ac:dyDescent="0.25">
      <c r="A546" s="20">
        <v>39787</v>
      </c>
      <c r="B546" t="s">
        <v>42</v>
      </c>
      <c r="C546" t="s">
        <v>88</v>
      </c>
      <c r="D546" s="3">
        <v>29.95</v>
      </c>
      <c r="J546">
        <v>59.06</v>
      </c>
      <c r="M546" s="21">
        <f t="shared" si="72"/>
        <v>29.95</v>
      </c>
      <c r="N546" s="8">
        <f t="shared" si="70"/>
        <v>29.95</v>
      </c>
      <c r="O546" s="25">
        <f t="shared" ref="O546:O556" si="75">O545+IF(OR(B546="Cash",B546="Buy",B546="Sell",B546="Div",B546="Rebate",B546="Fees",B546="IntInc",B546="Tax",B546="Distr"),N546,0)</f>
        <v>41000.36</v>
      </c>
      <c r="P546" s="8">
        <f t="shared" si="73"/>
        <v>0</v>
      </c>
      <c r="Q546" s="4">
        <f>IF(AND(S546&gt;=[1]eRRSP_Rpt!$C$6,S546&lt;=[1]eRRSP_Rpt!$C$7),1,0)</f>
        <v>1</v>
      </c>
      <c r="R546" s="4"/>
      <c r="S546" s="4">
        <f t="shared" si="71"/>
        <v>2008</v>
      </c>
      <c r="T546" s="4"/>
      <c r="U546" s="4" t="str">
        <f t="shared" si="74"/>
        <v>DiviShares IBOXX (US$)</v>
      </c>
      <c r="V546" s="23">
        <f>IFERROR(IF(AND(AB546&gt;0,B546&lt;&gt;"Sell"),(AA546-SUMIF(C$4:C545,C546,AC$4:AC546))/AB546,0),"")</f>
        <v>-127.70865384615385</v>
      </c>
      <c r="W546" s="24" t="str">
        <f t="shared" si="69"/>
        <v/>
      </c>
      <c r="X546" s="25" t="str">
        <f t="shared" si="68"/>
        <v>iShares IBOXX (US$)_ACB</v>
      </c>
      <c r="Y546" s="10" t="str">
        <f>IF(S547&lt;&gt;eRRSP_Tx_Table[[#This Row],[Year]],SUMIFS($W$4:$W546,$S$4:$S546,eRRSP_Tx_Table[[#This Row],[Year]],$W$4:$W546,"&gt;0"),"")</f>
        <v/>
      </c>
      <c r="Z546" s="10" t="str">
        <f>IF(S547&lt;&gt;eRRSP_Tx_Table[[#This Row],[Year]],SUMIFS($W$4:$W546,$S$4:$S546,eRRSP_Tx_Table[[#This Row],[Year]],$W$4:$W546,"&lt;0"),"")</f>
        <v/>
      </c>
      <c r="AA546" s="3">
        <f>(SUMIF($U$4:$U546,CONCATENATE("Buy",$C546),$N$4:$N546)+SUMIF($U$4:$U546,CONCATENATE("ReinvDiv",$C546),$N$4:$N546))</f>
        <v>-6640.85</v>
      </c>
      <c r="AB546" s="3">
        <f>(SUMIF($U$4:$U546,CONCATENATE("Buy",$C546),$F$4:$F546)+SUMIF($U$4:$U546,CONCATENATE("ReinvDiv",$C546),$F$4:$F546)+SUMIF($U$4:$U546,CONCATENATE("StkSplit",$C546),$F$4:$F546)-SUMIF($U$4:$U546,CONCATENATE("Sell",$C546),$F$4:$F546))</f>
        <v>52</v>
      </c>
      <c r="AC546" s="3">
        <f>IF(B546="Sell",F546*INDEX(V:V,LOOKUP(2,1/(X$4:X545=CONCATENATE(C546,"_ACB")),ROW(V$4:V545))),0)</f>
        <v>0</v>
      </c>
    </row>
    <row r="547" spans="1:29" x14ac:dyDescent="0.25">
      <c r="A547" s="20">
        <v>39794</v>
      </c>
      <c r="B547" t="s">
        <v>42</v>
      </c>
      <c r="C547" t="s">
        <v>87</v>
      </c>
      <c r="D547" s="3">
        <v>49.86</v>
      </c>
      <c r="J547">
        <v>22.31</v>
      </c>
      <c r="M547" s="21">
        <f t="shared" si="72"/>
        <v>49.86</v>
      </c>
      <c r="N547" s="8">
        <f t="shared" si="70"/>
        <v>49.86</v>
      </c>
      <c r="O547" s="25">
        <f t="shared" si="75"/>
        <v>41050.22</v>
      </c>
      <c r="P547" s="8">
        <f t="shared" si="73"/>
        <v>0</v>
      </c>
      <c r="Q547" s="4">
        <f>IF(AND(S547&gt;=[1]eRRSP_Rpt!$C$6,S547&lt;=[1]eRRSP_Rpt!$C$7),1,0)</f>
        <v>1</v>
      </c>
      <c r="R547" s="4"/>
      <c r="S547" s="4">
        <f t="shared" si="71"/>
        <v>2008</v>
      </c>
      <c r="T547" s="4"/>
      <c r="U547" s="4" t="str">
        <f t="shared" si="74"/>
        <v>DivAberdeen Asia Pacific Income Fund</v>
      </c>
      <c r="V547" s="23">
        <f>IFERROR(IF(AND(AB547&gt;0,B547&lt;&gt;"Sell"),(AA547-SUMIF(C$4:C546,C547,AC$4:AC547))/AB547,0),"")</f>
        <v>-7.4694020797227028</v>
      </c>
      <c r="W547" s="24" t="str">
        <f t="shared" si="69"/>
        <v/>
      </c>
      <c r="X547" s="25" t="str">
        <f t="shared" si="68"/>
        <v>Aberdeen Asia Pacific Income Fund_ACB</v>
      </c>
      <c r="Y547" s="10" t="str">
        <f>IF(S548&lt;&gt;eRRSP_Tx_Table[[#This Row],[Year]],SUMIFS($W$4:$W547,$S$4:$S547,eRRSP_Tx_Table[[#This Row],[Year]],$W$4:$W547,"&gt;0"),"")</f>
        <v/>
      </c>
      <c r="Z547" s="10" t="str">
        <f>IF(S548&lt;&gt;eRRSP_Tx_Table[[#This Row],[Year]],SUMIFS($W$4:$W547,$S$4:$S547,eRRSP_Tx_Table[[#This Row],[Year]],$W$4:$W547,"&lt;0"),"")</f>
        <v/>
      </c>
      <c r="AA547" s="3">
        <f>(SUMIF($U$4:$U547,CONCATENATE("Buy",$C547),$N$4:$N547)+SUMIF($U$4:$U547,CONCATENATE("ReinvDiv",$C547),$N$4:$N547))</f>
        <v>-8619.6899999999987</v>
      </c>
      <c r="AB547" s="3">
        <f>(SUMIF($U$4:$U547,CONCATENATE("Buy",$C547),$F$4:$F547)+SUMIF($U$4:$U547,CONCATENATE("ReinvDiv",$C547),$F$4:$F547)+SUMIF($U$4:$U547,CONCATENATE("StkSplit",$C547),$F$4:$F547)-SUMIF($U$4:$U547,CONCATENATE("Sell",$C547),$F$4:$F547))</f>
        <v>1154</v>
      </c>
      <c r="AC547" s="3">
        <f>IF(B547="Sell",F547*INDEX(V:V,LOOKUP(2,1/(X$4:X546=CONCATENATE(C547,"_ACB")),ROW(V$4:V546))),0)</f>
        <v>0</v>
      </c>
    </row>
    <row r="548" spans="1:29" x14ac:dyDescent="0.25">
      <c r="A548" s="20">
        <v>39800</v>
      </c>
      <c r="B548" t="s">
        <v>41</v>
      </c>
      <c r="C548" t="s">
        <v>62</v>
      </c>
      <c r="D548" s="3">
        <v>59.06</v>
      </c>
      <c r="E548">
        <v>13.799099999999999</v>
      </c>
      <c r="F548" s="3">
        <v>4.28</v>
      </c>
      <c r="J548">
        <v>38.54</v>
      </c>
      <c r="M548" s="21">
        <f t="shared" si="72"/>
        <v>59.06</v>
      </c>
      <c r="N548" s="8">
        <f t="shared" si="70"/>
        <v>-59.06</v>
      </c>
      <c r="O548" s="25">
        <f t="shared" si="75"/>
        <v>41050.22</v>
      </c>
      <c r="P548" s="8">
        <f t="shared" si="73"/>
        <v>0</v>
      </c>
      <c r="Q548" s="4">
        <f>IF(AND(S548&gt;=[1]eRRSP_Rpt!$C$6,S548&lt;=[1]eRRSP_Rpt!$C$7),1,0)</f>
        <v>1</v>
      </c>
      <c r="R548" s="4"/>
      <c r="S548" s="4">
        <f t="shared" si="71"/>
        <v>2008</v>
      </c>
      <c r="T548" s="4"/>
      <c r="U548" s="4" t="str">
        <f t="shared" si="74"/>
        <v>ReinvDivTD RR Bond</v>
      </c>
      <c r="V548" s="23">
        <f>IFERROR(IF(AND(AB548&gt;0,B548&lt;&gt;"Sell"),(AA548-SUMIF(C$4:C547,C548,AC$4:AC548))/AB548,0),"")</f>
        <v>-14.23077932301233</v>
      </c>
      <c r="W548" s="24" t="str">
        <f t="shared" si="69"/>
        <v/>
      </c>
      <c r="X548" s="25" t="str">
        <f t="shared" si="68"/>
        <v>TD RR Bond_ACB</v>
      </c>
      <c r="Y548" s="10" t="str">
        <f>IF(S549&lt;&gt;eRRSP_Tx_Table[[#This Row],[Year]],SUMIFS($W$4:$W548,$S$4:$S548,eRRSP_Tx_Table[[#This Row],[Year]],$W$4:$W548,"&gt;0"),"")</f>
        <v/>
      </c>
      <c r="Z548" s="10" t="str">
        <f>IF(S549&lt;&gt;eRRSP_Tx_Table[[#This Row],[Year]],SUMIFS($W$4:$W548,$S$4:$S548,eRRSP_Tx_Table[[#This Row],[Year]],$W$4:$W548,"&lt;0"),"")</f>
        <v/>
      </c>
      <c r="AA548" s="3">
        <f>(SUMIF($U$4:$U548,CONCATENATE("Buy",$C548),$N$4:$N548)+SUMIF($U$4:$U548,CONCATENATE("ReinvDiv",$C548),$N$4:$N548))</f>
        <v>-9762.0299999999988</v>
      </c>
      <c r="AB548" s="3">
        <f>(SUMIF($U$4:$U548,CONCATENATE("Buy",$C548),$F$4:$F548)+SUMIF($U$4:$U548,CONCATENATE("ReinvDiv",$C548),$F$4:$F548)+SUMIF($U$4:$U548,CONCATENATE("StkSplit",$C548),$F$4:$F548)-SUMIF($U$4:$U548,CONCATENATE("Sell",$C548),$F$4:$F548))</f>
        <v>685.98</v>
      </c>
      <c r="AC548" s="3">
        <f>IF(B548="Sell",F548*INDEX(V:V,LOOKUP(2,1/(X$4:X547=CONCATENATE(C548,"_ACB")),ROW(V$4:V547))),0)</f>
        <v>0</v>
      </c>
    </row>
    <row r="549" spans="1:29" x14ac:dyDescent="0.25">
      <c r="A549" s="20">
        <v>39811</v>
      </c>
      <c r="B549" t="s">
        <v>42</v>
      </c>
      <c r="C549" t="s">
        <v>90</v>
      </c>
      <c r="D549" s="3">
        <v>22.31</v>
      </c>
      <c r="J549">
        <v>23.2</v>
      </c>
      <c r="M549" s="21">
        <f t="shared" si="72"/>
        <v>22.31</v>
      </c>
      <c r="N549" s="8">
        <f t="shared" si="70"/>
        <v>22.31</v>
      </c>
      <c r="O549" s="25">
        <f t="shared" si="75"/>
        <v>41072.53</v>
      </c>
      <c r="P549" s="8">
        <f t="shared" si="73"/>
        <v>0</v>
      </c>
      <c r="Q549" s="4">
        <f>IF(AND(S549&gt;=[1]eRRSP_Rpt!$C$6,S549&lt;=[1]eRRSP_Rpt!$C$7),1,0)</f>
        <v>1</v>
      </c>
      <c r="R549" s="4"/>
      <c r="S549" s="4">
        <f t="shared" si="71"/>
        <v>2008</v>
      </c>
      <c r="T549" s="4"/>
      <c r="U549" s="4" t="str">
        <f t="shared" si="74"/>
        <v>DivVanguard Large Cap ETF</v>
      </c>
      <c r="V549" s="23">
        <f>IFERROR(IF(AND(AB549&gt;0,B549&lt;&gt;"Sell"),(AA549-SUMIF(C$4:C548,C549,AC$4:AC549))/AB549,0),"")</f>
        <v>-74.401142857142858</v>
      </c>
      <c r="W549" s="24" t="str">
        <f t="shared" si="69"/>
        <v/>
      </c>
      <c r="X549" s="25" t="str">
        <f t="shared" si="68"/>
        <v>Vanguard Large Cap ETF_ACB</v>
      </c>
      <c r="Y549" s="10" t="str">
        <f>IF(S550&lt;&gt;eRRSP_Tx_Table[[#This Row],[Year]],SUMIFS($W$4:$W549,$S$4:$S549,eRRSP_Tx_Table[[#This Row],[Year]],$W$4:$W549,"&gt;0"),"")</f>
        <v/>
      </c>
      <c r="Z549" s="10" t="str">
        <f>IF(S550&lt;&gt;eRRSP_Tx_Table[[#This Row],[Year]],SUMIFS($W$4:$W549,$S$4:$S549,eRRSP_Tx_Table[[#This Row],[Year]],$W$4:$W549,"&lt;0"),"")</f>
        <v/>
      </c>
      <c r="AA549" s="3">
        <f>(SUMIF($U$4:$U549,CONCATENATE("Buy",$C549),$N$4:$N549)+SUMIF($U$4:$U549,CONCATENATE("ReinvDiv",$C549),$N$4:$N549))</f>
        <v>-5208.08</v>
      </c>
      <c r="AB549" s="3">
        <f>(SUMIF($U$4:$U549,CONCATENATE("Buy",$C549),$F$4:$F549)+SUMIF($U$4:$U549,CONCATENATE("ReinvDiv",$C549),$F$4:$F549)+SUMIF($U$4:$U549,CONCATENATE("StkSplit",$C549),$F$4:$F549)-SUMIF($U$4:$U549,CONCATENATE("Sell",$C549),$F$4:$F549))</f>
        <v>70</v>
      </c>
      <c r="AC549" s="3">
        <f>IF(B549="Sell",F549*INDEX(V:V,LOOKUP(2,1/(X$4:X548=CONCATENATE(C549,"_ACB")),ROW(V$4:V548))),0)</f>
        <v>0</v>
      </c>
    </row>
    <row r="550" spans="1:29" x14ac:dyDescent="0.25">
      <c r="A550" s="20">
        <v>39813</v>
      </c>
      <c r="B550" t="s">
        <v>42</v>
      </c>
      <c r="C550" t="s">
        <v>81</v>
      </c>
      <c r="D550" s="3">
        <v>38.54</v>
      </c>
      <c r="J550">
        <v>25.74</v>
      </c>
      <c r="M550" s="21">
        <f t="shared" si="72"/>
        <v>38.54</v>
      </c>
      <c r="N550" s="8">
        <f t="shared" si="70"/>
        <v>38.54</v>
      </c>
      <c r="O550" s="25">
        <f t="shared" si="75"/>
        <v>41111.07</v>
      </c>
      <c r="P550" s="8">
        <f t="shared" si="73"/>
        <v>0</v>
      </c>
      <c r="Q550" s="4">
        <f>IF(AND(S550&gt;=[1]eRRSP_Rpt!$C$6,S550&lt;=[1]eRRSP_Rpt!$C$7),1,0)</f>
        <v>1</v>
      </c>
      <c r="R550" s="4"/>
      <c r="S550" s="4">
        <f t="shared" si="71"/>
        <v>2008</v>
      </c>
      <c r="T550" s="4"/>
      <c r="U550" s="4" t="str">
        <f t="shared" si="74"/>
        <v>DiviShares MSCI Japan (US$)</v>
      </c>
      <c r="V550" s="23">
        <f>IFERROR(IF(AND(AB550&gt;0,B550&lt;&gt;"Sell"),(AA550-SUMIF(C$4:C549,C550,AC$4:AC550))/AB550,0),"")</f>
        <v>-16.497404761904761</v>
      </c>
      <c r="W550" s="24" t="str">
        <f t="shared" si="69"/>
        <v/>
      </c>
      <c r="X550" s="25" t="str">
        <f t="shared" si="68"/>
        <v>iShares MSCI Japan (US$)_ACB</v>
      </c>
      <c r="Y550" s="10" t="str">
        <f>IF(S551&lt;&gt;eRRSP_Tx_Table[[#This Row],[Year]],SUMIFS($W$4:$W550,$S$4:$S550,eRRSP_Tx_Table[[#This Row],[Year]],$W$4:$W550,"&gt;0"),"")</f>
        <v/>
      </c>
      <c r="Z550" s="10" t="str">
        <f>IF(S551&lt;&gt;eRRSP_Tx_Table[[#This Row],[Year]],SUMIFS($W$4:$W550,$S$4:$S550,eRRSP_Tx_Table[[#This Row],[Year]],$W$4:$W550,"&lt;0"),"")</f>
        <v/>
      </c>
      <c r="AA550" s="3">
        <f>(SUMIF($U$4:$U550,CONCATENATE("Buy",$C550),$N$4:$N550)+SUMIF($U$4:$U550,CONCATENATE("ReinvDiv",$C550),$N$4:$N550))</f>
        <v>-6928.91</v>
      </c>
      <c r="AB550" s="3">
        <f>(SUMIF($U$4:$U550,CONCATENATE("Buy",$C550),$F$4:$F550)+SUMIF($U$4:$U550,CONCATENATE("ReinvDiv",$C550),$F$4:$F550)+SUMIF($U$4:$U550,CONCATENATE("StkSplit",$C550),$F$4:$F550)-SUMIF($U$4:$U550,CONCATENATE("Sell",$C550),$F$4:$F550))</f>
        <v>420</v>
      </c>
      <c r="AC550" s="3">
        <f>IF(B550="Sell",F550*INDEX(V:V,LOOKUP(2,1/(X$4:X549=CONCATENATE(C550,"_ACB")),ROW(V$4:V549))),0)</f>
        <v>0</v>
      </c>
    </row>
    <row r="551" spans="1:29" x14ac:dyDescent="0.25">
      <c r="A551" s="20">
        <v>39813</v>
      </c>
      <c r="B551" t="s">
        <v>42</v>
      </c>
      <c r="C551" t="s">
        <v>89</v>
      </c>
      <c r="D551" s="3">
        <v>23.2</v>
      </c>
      <c r="J551">
        <v>35.6</v>
      </c>
      <c r="M551" s="21">
        <f t="shared" si="72"/>
        <v>23.2</v>
      </c>
      <c r="N551" s="8">
        <f t="shared" si="70"/>
        <v>23.2</v>
      </c>
      <c r="O551" s="25">
        <f t="shared" si="75"/>
        <v>41134.269999999997</v>
      </c>
      <c r="P551" s="8">
        <f t="shared" si="73"/>
        <v>0</v>
      </c>
      <c r="Q551" s="4">
        <f>IF(AND(S551&gt;=[1]eRRSP_Rpt!$C$6,S551&lt;=[1]eRRSP_Rpt!$C$7),1,0)</f>
        <v>1</v>
      </c>
      <c r="R551" s="4"/>
      <c r="S551" s="4">
        <f t="shared" si="71"/>
        <v>2008</v>
      </c>
      <c r="T551" s="4"/>
      <c r="U551" s="4" t="str">
        <f t="shared" si="74"/>
        <v>DiviShares MSCI EAFE (US$)</v>
      </c>
      <c r="V551" s="23">
        <f>IFERROR(IF(AND(AB551&gt;0,B551&lt;&gt;"Sell"),(AA551-SUMIF(C$4:C550,C551,AC$4:AC551))/AB551,0),"")</f>
        <v>-88.693428571428583</v>
      </c>
      <c r="W551" s="24" t="str">
        <f t="shared" si="69"/>
        <v/>
      </c>
      <c r="X551" s="25" t="str">
        <f t="shared" si="68"/>
        <v>iShares MSCI EAFE (US$)_ACB</v>
      </c>
      <c r="Y551" s="10" t="str">
        <f>IF(S552&lt;&gt;eRRSP_Tx_Table[[#This Row],[Year]],SUMIFS($W$4:$W551,$S$4:$S551,eRRSP_Tx_Table[[#This Row],[Year]],$W$4:$W551,"&gt;0"),"")</f>
        <v/>
      </c>
      <c r="Z551" s="10" t="str">
        <f>IF(S552&lt;&gt;eRRSP_Tx_Table[[#This Row],[Year]],SUMIFS($W$4:$W551,$S$4:$S551,eRRSP_Tx_Table[[#This Row],[Year]],$W$4:$W551,"&lt;0"),"")</f>
        <v/>
      </c>
      <c r="AA551" s="3">
        <f>(SUMIF($U$4:$U551,CONCATENATE("Buy",$C551),$N$4:$N551)+SUMIF($U$4:$U551,CONCATENATE("ReinvDiv",$C551),$N$4:$N551))</f>
        <v>-3104.2700000000004</v>
      </c>
      <c r="AB551" s="3">
        <f>(SUMIF($U$4:$U551,CONCATENATE("Buy",$C551),$F$4:$F551)+SUMIF($U$4:$U551,CONCATENATE("ReinvDiv",$C551),$F$4:$F551)+SUMIF($U$4:$U551,CONCATENATE("StkSplit",$C551),$F$4:$F551)-SUMIF($U$4:$U551,CONCATENATE("Sell",$C551),$F$4:$F551))</f>
        <v>35</v>
      </c>
      <c r="AC551" s="3">
        <f>IF(B551="Sell",F551*INDEX(V:V,LOOKUP(2,1/(X$4:X550=CONCATENATE(C551,"_ACB")),ROW(V$4:V550))),0)</f>
        <v>0</v>
      </c>
    </row>
    <row r="552" spans="1:29" x14ac:dyDescent="0.25">
      <c r="A552" s="20">
        <v>39813</v>
      </c>
      <c r="B552" t="s">
        <v>42</v>
      </c>
      <c r="C552" t="s">
        <v>86</v>
      </c>
      <c r="D552" s="3">
        <v>25.74</v>
      </c>
      <c r="J552">
        <v>124.09</v>
      </c>
      <c r="M552" s="21">
        <f t="shared" si="72"/>
        <v>25.74</v>
      </c>
      <c r="N552" s="8">
        <f t="shared" si="70"/>
        <v>25.74</v>
      </c>
      <c r="O552" s="25">
        <f t="shared" si="75"/>
        <v>41160.009999999995</v>
      </c>
      <c r="P552" s="8">
        <f t="shared" si="73"/>
        <v>0</v>
      </c>
      <c r="Q552" s="4">
        <f>IF(AND(S552&gt;=[1]eRRSP_Rpt!$C$6,S552&lt;=[1]eRRSP_Rpt!$C$7),1,0)</f>
        <v>1</v>
      </c>
      <c r="R552" s="4"/>
      <c r="S552" s="4">
        <f t="shared" si="71"/>
        <v>2008</v>
      </c>
      <c r="T552" s="4"/>
      <c r="U552" s="4" t="str">
        <f t="shared" si="74"/>
        <v>DiviShares S&amp;P SmallCap</v>
      </c>
      <c r="V552" s="23">
        <f>IFERROR(IF(AND(AB552&gt;0,B552&lt;&gt;"Sell"),(AA552-SUMIF(C$4:C551,C552,AC$4:AC552))/AB552,0),"")</f>
        <v>-70.414404761904763</v>
      </c>
      <c r="W552" s="24" t="str">
        <f t="shared" si="69"/>
        <v/>
      </c>
      <c r="X552" s="25" t="str">
        <f t="shared" si="68"/>
        <v>iShares S&amp;P SmallCap_ACB</v>
      </c>
      <c r="Y552" s="10" t="str">
        <f>IF(S553&lt;&gt;eRRSP_Tx_Table[[#This Row],[Year]],SUMIFS($W$4:$W552,$S$4:$S552,eRRSP_Tx_Table[[#This Row],[Year]],$W$4:$W552,"&gt;0"),"")</f>
        <v/>
      </c>
      <c r="Z552" s="10" t="str">
        <f>IF(S553&lt;&gt;eRRSP_Tx_Table[[#This Row],[Year]],SUMIFS($W$4:$W552,$S$4:$S552,eRRSP_Tx_Table[[#This Row],[Year]],$W$4:$W552,"&lt;0"),"")</f>
        <v/>
      </c>
      <c r="AA552" s="3">
        <f>(SUMIF($U$4:$U552,CONCATENATE("Buy",$C552),$N$4:$N552)+SUMIF($U$4:$U552,CONCATENATE("ReinvDiv",$C552),$N$4:$N552))</f>
        <v>-5914.81</v>
      </c>
      <c r="AB552" s="3">
        <f>(SUMIF($U$4:$U552,CONCATENATE("Buy",$C552),$F$4:$F552)+SUMIF($U$4:$U552,CONCATENATE("ReinvDiv",$C552),$F$4:$F552)+SUMIF($U$4:$U552,CONCATENATE("StkSplit",$C552),$F$4:$F552)-SUMIF($U$4:$U552,CONCATENATE("Sell",$C552),$F$4:$F552))</f>
        <v>84</v>
      </c>
      <c r="AC552" s="3">
        <f>IF(B552="Sell",F552*INDEX(V:V,LOOKUP(2,1/(X$4:X551=CONCATENATE(C552,"_ACB")),ROW(V$4:V551))),0)</f>
        <v>0</v>
      </c>
    </row>
    <row r="553" spans="1:29" x14ac:dyDescent="0.25">
      <c r="A553" s="20">
        <v>39813</v>
      </c>
      <c r="B553" t="s">
        <v>42</v>
      </c>
      <c r="C553" t="s">
        <v>84</v>
      </c>
      <c r="D553" s="3">
        <v>35.6</v>
      </c>
      <c r="J553">
        <v>117.3</v>
      </c>
      <c r="M553" s="21">
        <f t="shared" si="72"/>
        <v>35.6</v>
      </c>
      <c r="N553" s="8">
        <f t="shared" si="70"/>
        <v>35.6</v>
      </c>
      <c r="O553" s="25">
        <f t="shared" si="75"/>
        <v>41195.609999999993</v>
      </c>
      <c r="P553" s="8">
        <f t="shared" si="73"/>
        <v>0</v>
      </c>
      <c r="Q553" s="4">
        <f>IF(AND(S553&gt;=[1]eRRSP_Rpt!$C$6,S553&lt;=[1]eRRSP_Rpt!$C$7),1,0)</f>
        <v>1</v>
      </c>
      <c r="R553" s="4"/>
      <c r="S553" s="4">
        <f t="shared" si="71"/>
        <v>2008</v>
      </c>
      <c r="T553" s="4"/>
      <c r="U553" s="4" t="str">
        <f t="shared" si="74"/>
        <v>DiviShares S&amp;P Europe 350 (US$)</v>
      </c>
      <c r="V553" s="23">
        <f>IFERROR(IF(AND(AB553&gt;0,B553&lt;&gt;"Sell"),(AA553-SUMIF(C$4:C552,C553,AC$4:AC553))/AB553,0),"")</f>
        <v>-54.267692307692307</v>
      </c>
      <c r="W553" s="24" t="str">
        <f t="shared" si="69"/>
        <v/>
      </c>
      <c r="X553" s="25" t="str">
        <f t="shared" si="68"/>
        <v>iShares S&amp;P Europe 350 (US$)_ACB</v>
      </c>
      <c r="Y553" s="10" t="str">
        <f>IF(S554&lt;&gt;eRRSP_Tx_Table[[#This Row],[Year]],SUMIFS($W$4:$W553,$S$4:$S553,eRRSP_Tx_Table[[#This Row],[Year]],$W$4:$W553,"&gt;0"),"")</f>
        <v/>
      </c>
      <c r="Z553" s="10" t="str">
        <f>IF(S554&lt;&gt;eRRSP_Tx_Table[[#This Row],[Year]],SUMIFS($W$4:$W553,$S$4:$S553,eRRSP_Tx_Table[[#This Row],[Year]],$W$4:$W553,"&lt;0"),"")</f>
        <v/>
      </c>
      <c r="AA553" s="3">
        <f>(SUMIF($U$4:$U553,CONCATENATE("Buy",$C553),$N$4:$N553)+SUMIF($U$4:$U553,CONCATENATE("ReinvDiv",$C553),$N$4:$N553))</f>
        <v>-4232.88</v>
      </c>
      <c r="AB553" s="3">
        <f>(SUMIF($U$4:$U553,CONCATENATE("Buy",$C553),$F$4:$F553)+SUMIF($U$4:$U553,CONCATENATE("ReinvDiv",$C553),$F$4:$F553)+SUMIF($U$4:$U553,CONCATENATE("StkSplit",$C553),$F$4:$F553)-SUMIF($U$4:$U553,CONCATENATE("Sell",$C553),$F$4:$F553))</f>
        <v>78</v>
      </c>
      <c r="AC553" s="3">
        <f>IF(B553="Sell",F553*INDEX(V:V,LOOKUP(2,1/(X$4:X552=CONCATENATE(C553,"_ACB")),ROW(V$4:V552))),0)</f>
        <v>0</v>
      </c>
    </row>
    <row r="554" spans="1:29" x14ac:dyDescent="0.25">
      <c r="A554" s="20">
        <v>39813</v>
      </c>
      <c r="B554" t="s">
        <v>42</v>
      </c>
      <c r="C554" t="s">
        <v>82</v>
      </c>
      <c r="D554" s="3">
        <v>124.09</v>
      </c>
      <c r="J554">
        <v>4.99</v>
      </c>
      <c r="M554" s="21">
        <f t="shared" si="72"/>
        <v>124.09</v>
      </c>
      <c r="N554" s="8">
        <f t="shared" si="70"/>
        <v>124.09</v>
      </c>
      <c r="O554" s="25">
        <f t="shared" si="75"/>
        <v>41319.69999999999</v>
      </c>
      <c r="P554" s="8">
        <f t="shared" si="73"/>
        <v>0</v>
      </c>
      <c r="Q554" s="4">
        <f>IF(AND(S554&gt;=[1]eRRSP_Rpt!$C$6,S554&lt;=[1]eRRSP_Rpt!$C$7),1,0)</f>
        <v>1</v>
      </c>
      <c r="R554" s="4"/>
      <c r="S554" s="4">
        <f t="shared" si="71"/>
        <v>2008</v>
      </c>
      <c r="T554" s="4"/>
      <c r="U554" s="4" t="str">
        <f t="shared" si="74"/>
        <v>DiviShares S&amp;P Latin America (US$)</v>
      </c>
      <c r="V554" s="23">
        <f>IFERROR(IF(AND(AB554&gt;0,B554&lt;&gt;"Sell"),(AA554-SUMIF(C$4:C553,C554,AC$4:AC554))/AB554,0),"")</f>
        <v>-32.47767441860465</v>
      </c>
      <c r="W554" s="24" t="str">
        <f t="shared" si="69"/>
        <v/>
      </c>
      <c r="X554" s="25" t="str">
        <f t="shared" si="68"/>
        <v>iShares S&amp;P Latin America (US$)_ACB</v>
      </c>
      <c r="Y554" s="10" t="str">
        <f>IF(S555&lt;&gt;eRRSP_Tx_Table[[#This Row],[Year]],SUMIFS($W$4:$W554,$S$4:$S554,eRRSP_Tx_Table[[#This Row],[Year]],$W$4:$W554,"&gt;0"),"")</f>
        <v/>
      </c>
      <c r="Z554" s="10" t="str">
        <f>IF(S555&lt;&gt;eRRSP_Tx_Table[[#This Row],[Year]],SUMIFS($W$4:$W554,$S$4:$S554,eRRSP_Tx_Table[[#This Row],[Year]],$W$4:$W554,"&lt;0"),"")</f>
        <v/>
      </c>
      <c r="AA554" s="3">
        <f>(SUMIF($U$4:$U554,CONCATENATE("Buy",$C554),$N$4:$N554)+SUMIF($U$4:$U554,CONCATENATE("ReinvDiv",$C554),$N$4:$N554))</f>
        <v>-6982.7</v>
      </c>
      <c r="AB554" s="3">
        <f>(SUMIF($U$4:$U554,CONCATENATE("Buy",$C554),$F$4:$F554)+SUMIF($U$4:$U554,CONCATENATE("ReinvDiv",$C554),$F$4:$F554)+SUMIF($U$4:$U554,CONCATENATE("StkSplit",$C554),$F$4:$F554)-SUMIF($U$4:$U554,CONCATENATE("Sell",$C554),$F$4:$F554))</f>
        <v>215</v>
      </c>
      <c r="AC554" s="3">
        <f>IF(B554="Sell",F554*INDEX(V:V,LOOKUP(2,1/(X$4:X553=CONCATENATE(C554,"_ACB")),ROW(V$4:V553))),0)</f>
        <v>0</v>
      </c>
    </row>
    <row r="555" spans="1:29" x14ac:dyDescent="0.25">
      <c r="A555" s="20">
        <v>39813</v>
      </c>
      <c r="B555" t="s">
        <v>42</v>
      </c>
      <c r="C555" t="s">
        <v>83</v>
      </c>
      <c r="D555" s="3">
        <v>117.3</v>
      </c>
      <c r="J555">
        <v>26.64</v>
      </c>
      <c r="M555" s="21">
        <f t="shared" si="72"/>
        <v>117.3</v>
      </c>
      <c r="N555" s="8">
        <f t="shared" si="70"/>
        <v>117.3</v>
      </c>
      <c r="O555" s="25">
        <f t="shared" si="75"/>
        <v>41436.999999999993</v>
      </c>
      <c r="P555" s="8">
        <f t="shared" si="73"/>
        <v>0</v>
      </c>
      <c r="Q555" s="4">
        <f>IF(AND(S555&gt;=[1]eRRSP_Rpt!$C$6,S555&lt;=[1]eRRSP_Rpt!$C$7),1,0)</f>
        <v>1</v>
      </c>
      <c r="R555" s="4"/>
      <c r="S555" s="4">
        <f t="shared" si="71"/>
        <v>2008</v>
      </c>
      <c r="T555" s="4"/>
      <c r="U555" s="4" t="str">
        <f t="shared" si="74"/>
        <v>DiviShares MSCI South Africa (US$)</v>
      </c>
      <c r="V555" s="23">
        <f>IFERROR(IF(AND(AB555&gt;0,B555&lt;&gt;"Sell"),(AA555-SUMIF(C$4:C554,C555,AC$4:AC555))/AB555,0),"")</f>
        <v>-66.699423076923068</v>
      </c>
      <c r="W555" s="24" t="str">
        <f t="shared" si="69"/>
        <v/>
      </c>
      <c r="X555" s="25" t="str">
        <f t="shared" si="68"/>
        <v>iShares MSCI South Africa (US$)_ACB</v>
      </c>
      <c r="Y555" s="10" t="str">
        <f>IF(S556&lt;&gt;eRRSP_Tx_Table[[#This Row],[Year]],SUMIFS($W$4:$W555,$S$4:$S555,eRRSP_Tx_Table[[#This Row],[Year]],$W$4:$W555,"&gt;0"),"")</f>
        <v/>
      </c>
      <c r="Z555" s="10" t="str">
        <f>IF(S556&lt;&gt;eRRSP_Tx_Table[[#This Row],[Year]],SUMIFS($W$4:$W555,$S$4:$S555,eRRSP_Tx_Table[[#This Row],[Year]],$W$4:$W555,"&lt;0"),"")</f>
        <v/>
      </c>
      <c r="AA555" s="3">
        <f>(SUMIF($U$4:$U555,CONCATENATE("Buy",$C555),$N$4:$N555)+SUMIF($U$4:$U555,CONCATENATE("ReinvDiv",$C555),$N$4:$N555))</f>
        <v>-6936.74</v>
      </c>
      <c r="AB555" s="3">
        <f>(SUMIF($U$4:$U555,CONCATENATE("Buy",$C555),$F$4:$F555)+SUMIF($U$4:$U555,CONCATENATE("ReinvDiv",$C555),$F$4:$F555)+SUMIF($U$4:$U555,CONCATENATE("StkSplit",$C555),$F$4:$F555)-SUMIF($U$4:$U555,CONCATENATE("Sell",$C555),$F$4:$F555))</f>
        <v>104</v>
      </c>
      <c r="AC555" s="3">
        <f>IF(B555="Sell",F555*INDEX(V:V,LOOKUP(2,1/(X$4:X554=CONCATENATE(C555,"_ACB")),ROW(V$4:V554))),0)</f>
        <v>0</v>
      </c>
    </row>
    <row r="556" spans="1:29" x14ac:dyDescent="0.25">
      <c r="A556" s="20">
        <v>39813</v>
      </c>
      <c r="B556" t="s">
        <v>42</v>
      </c>
      <c r="C556" t="s">
        <v>92</v>
      </c>
      <c r="D556" s="3">
        <v>4.99</v>
      </c>
      <c r="J556">
        <v>19.920000000000002</v>
      </c>
      <c r="M556" s="21">
        <f t="shared" si="72"/>
        <v>4.99</v>
      </c>
      <c r="N556" s="8">
        <f t="shared" si="70"/>
        <v>4.99</v>
      </c>
      <c r="O556" s="25">
        <f t="shared" si="75"/>
        <v>41441.989999999991</v>
      </c>
      <c r="P556" s="8">
        <f t="shared" si="73"/>
        <v>0</v>
      </c>
      <c r="Q556" s="4">
        <f>IF(AND(S556&gt;=[1]eRRSP_Rpt!$C$6,S556&lt;=[1]eRRSP_Rpt!$C$7),1,0)</f>
        <v>1</v>
      </c>
      <c r="R556" s="4"/>
      <c r="S556" s="4">
        <f t="shared" si="71"/>
        <v>2008</v>
      </c>
      <c r="T556" s="4"/>
      <c r="U556" s="4" t="str">
        <f t="shared" si="74"/>
        <v>DiviUnits S&amp;P 500</v>
      </c>
      <c r="V556" s="23">
        <f>IFERROR(IF(AND(AB556&gt;0,B556&lt;&gt;"Sell"),(AA556-SUMIF(C$4:C555,C556,AC$4:AC556))/AB556,0),"")</f>
        <v>-13.4498</v>
      </c>
      <c r="W556" s="24" t="str">
        <f t="shared" si="69"/>
        <v/>
      </c>
      <c r="X556" s="25" t="str">
        <f t="shared" si="68"/>
        <v>iUnits S&amp;P 500_ACB</v>
      </c>
      <c r="Y556" s="10" t="str">
        <f>IF(S557&lt;&gt;eRRSP_Tx_Table[[#This Row],[Year]],SUMIFS($W$4:$W556,$S$4:$S556,eRRSP_Tx_Table[[#This Row],[Year]],$W$4:$W556,"&gt;0"),"")</f>
        <v/>
      </c>
      <c r="Z556" s="10" t="str">
        <f>IF(S557&lt;&gt;eRRSP_Tx_Table[[#This Row],[Year]],SUMIFS($W$4:$W556,$S$4:$S556,eRRSP_Tx_Table[[#This Row],[Year]],$W$4:$W556,"&lt;0"),"")</f>
        <v/>
      </c>
      <c r="AA556" s="3">
        <f>(SUMIF($U$4:$U556,CONCATENATE("Buy",$C556),$N$4:$N556)+SUMIF($U$4:$U556,CONCATENATE("ReinvDiv",$C556),$N$4:$N556))</f>
        <v>-672.49</v>
      </c>
      <c r="AB556" s="3">
        <f>(SUMIF($U$4:$U556,CONCATENATE("Buy",$C556),$F$4:$F556)+SUMIF($U$4:$U556,CONCATENATE("ReinvDiv",$C556),$F$4:$F556)+SUMIF($U$4:$U556,CONCATENATE("StkSplit",$C556),$F$4:$F556)-SUMIF($U$4:$U556,CONCATENATE("Sell",$C556),$F$4:$F556))</f>
        <v>50</v>
      </c>
      <c r="AC556" s="3">
        <f>IF(B556="Sell",F556*INDEX(V:V,LOOKUP(2,1/(X$4:X555=CONCATENATE(C556,"_ACB")),ROW(V$4:V555))),0)</f>
        <v>0</v>
      </c>
    </row>
    <row r="557" spans="1:29" ht="13.5" customHeight="1" x14ac:dyDescent="0.25">
      <c r="A557" s="32">
        <f>A480+365</f>
        <v>39813</v>
      </c>
      <c r="B557" s="33"/>
      <c r="C557" s="33"/>
      <c r="D557" s="34"/>
      <c r="E557" s="33"/>
      <c r="F557" s="34"/>
      <c r="G557" s="33"/>
      <c r="H557" s="33"/>
      <c r="I557" s="33"/>
      <c r="J557" s="33"/>
      <c r="K557" s="33"/>
      <c r="L557" s="33"/>
      <c r="M557" s="35"/>
      <c r="N557" s="8">
        <f t="shared" si="70"/>
        <v>0</v>
      </c>
      <c r="O557" s="36"/>
      <c r="P557" s="37">
        <v>-100002.29</v>
      </c>
      <c r="Q557" s="4">
        <f>IF(AND(S557&gt;=[1]eRRSP_Rpt!$C$6,S557&lt;=[1]eRRSP_Rpt!$C$7),1,0)</f>
        <v>1</v>
      </c>
      <c r="R557" s="4" t="s">
        <v>34</v>
      </c>
      <c r="S557" s="4">
        <f>YEAR(A557)</f>
        <v>2008</v>
      </c>
      <c r="T557" s="22"/>
      <c r="U557" s="4"/>
      <c r="V557" s="23">
        <f>IFERROR(IF(AND(AB557&gt;0,B557&lt;&gt;"Sell"),(AA557-SUMIF(C$4:C556,C557,AC$4:AC557))/AB557,0),"")</f>
        <v>0</v>
      </c>
      <c r="W557" s="24" t="str">
        <f t="shared" si="69"/>
        <v/>
      </c>
      <c r="X557" s="25" t="str">
        <f t="shared" si="68"/>
        <v/>
      </c>
      <c r="Y557" s="10">
        <f>IF(S558&lt;&gt;eRRSP_Tx_Table[[#This Row],[Year]],SUMIFS($W$4:$W557,$S$4:$S557,eRRSP_Tx_Table[[#This Row],[Year]],$W$4:$W557,"&gt;0"),"")</f>
        <v>0</v>
      </c>
      <c r="Z557" s="10">
        <f>IF(S558&lt;&gt;eRRSP_Tx_Table[[#This Row],[Year]],SUMIFS($W$4:$W557,$S$4:$S557,eRRSP_Tx_Table[[#This Row],[Year]],$W$4:$W557,"&lt;0"),"")</f>
        <v>0</v>
      </c>
      <c r="AA557" s="3">
        <f>(SUMIF($U$4:$U557,CONCATENATE("Buy",$C557),$N$4:$N557)+SUMIF($U$4:$U557,CONCATENATE("ReinvDiv",$C557),$N$4:$N557))</f>
        <v>0</v>
      </c>
      <c r="AB557" s="3">
        <f>(SUMIF($U$4:$U557,CONCATENATE("Buy",$C557),$F$4:$F557)+SUMIF($U$4:$U557,CONCATENATE("ReinvDiv",$C557),$F$4:$F557)+SUMIF($U$4:$U557,CONCATENATE("StkSplit",$C557),$F$4:$F557)-SUMIF($U$4:$U557,CONCATENATE("Sell",$C557),$F$4:$F557))</f>
        <v>0</v>
      </c>
      <c r="AC557" s="3">
        <f>IF(B557="Sell",F557*INDEX(V:V,LOOKUP(2,1/(X$4:X556=CONCATENATE(C557,"_ACB")),ROW(V$4:V556))),0)</f>
        <v>0</v>
      </c>
    </row>
    <row r="558" spans="1:29" ht="13.5" customHeight="1" x14ac:dyDescent="0.25">
      <c r="A558" s="32">
        <f>A557+1</f>
        <v>39814</v>
      </c>
      <c r="B558" s="33"/>
      <c r="C558" s="33"/>
      <c r="D558" s="34"/>
      <c r="E558" s="33"/>
      <c r="F558" s="34"/>
      <c r="G558" s="33"/>
      <c r="H558" s="33"/>
      <c r="I558" s="33"/>
      <c r="J558" s="33"/>
      <c r="K558" s="33"/>
      <c r="L558" s="33"/>
      <c r="M558" s="35"/>
      <c r="N558" s="8">
        <f t="shared" si="70"/>
        <v>0</v>
      </c>
      <c r="O558" s="36"/>
      <c r="P558" s="37">
        <f>-P557</f>
        <v>100002.29</v>
      </c>
      <c r="Q558" s="4">
        <f>IF(AND(S558&gt;=[1]eRRSP_Rpt!$C$6,S558&lt;=[1]eRRSP_Rpt!$C$7),1,0)</f>
        <v>1</v>
      </c>
      <c r="R558" s="4" t="s">
        <v>34</v>
      </c>
      <c r="S558" s="4">
        <f>YEAR(A558)</f>
        <v>2009</v>
      </c>
      <c r="T558" s="22"/>
      <c r="U558" s="4"/>
      <c r="V558" s="23">
        <f>IFERROR(IF(AND(AB558&gt;0,B558&lt;&gt;"Sell"),(AA558-SUMIF(C$4:C557,C558,AC$4:AC558))/AB558,0),"")</f>
        <v>0</v>
      </c>
      <c r="W558" s="24" t="str">
        <f t="shared" si="69"/>
        <v/>
      </c>
      <c r="X558" s="25" t="str">
        <f t="shared" si="68"/>
        <v/>
      </c>
      <c r="Y558" s="10" t="str">
        <f>IF(S559&lt;&gt;eRRSP_Tx_Table[[#This Row],[Year]],SUMIFS($W$4:$W558,$S$4:$S558,eRRSP_Tx_Table[[#This Row],[Year]],$W$4:$W558,"&gt;0"),"")</f>
        <v/>
      </c>
      <c r="Z558" s="10" t="str">
        <f>IF(S559&lt;&gt;eRRSP_Tx_Table[[#This Row],[Year]],SUMIFS($W$4:$W558,$S$4:$S558,eRRSP_Tx_Table[[#This Row],[Year]],$W$4:$W558,"&lt;0"),"")</f>
        <v/>
      </c>
      <c r="AA558" s="3">
        <f>(SUMIF($U$4:$U558,CONCATENATE("Buy",$C558),$N$4:$N558)+SUMIF($U$4:$U558,CONCATENATE("ReinvDiv",$C558),$N$4:$N558))</f>
        <v>0</v>
      </c>
      <c r="AB558" s="3">
        <f>(SUMIF($U$4:$U558,CONCATENATE("Buy",$C558),$F$4:$F558)+SUMIF($U$4:$U558,CONCATENATE("ReinvDiv",$C558),$F$4:$F558)+SUMIF($U$4:$U558,CONCATENATE("StkSplit",$C558),$F$4:$F558)-SUMIF($U$4:$U558,CONCATENATE("Sell",$C558),$F$4:$F558))</f>
        <v>0</v>
      </c>
      <c r="AC558" s="3">
        <f>IF(B558="Sell",F558*INDEX(V:V,LOOKUP(2,1/(X$4:X557=CONCATENATE(C558,"_ACB")),ROW(V$4:V557))),0)</f>
        <v>0</v>
      </c>
    </row>
    <row r="559" spans="1:29" x14ac:dyDescent="0.25">
      <c r="A559" s="20">
        <v>39815</v>
      </c>
      <c r="B559" t="s">
        <v>42</v>
      </c>
      <c r="C559" t="s">
        <v>88</v>
      </c>
      <c r="D559" s="3">
        <v>26.64</v>
      </c>
      <c r="J559">
        <v>120.65</v>
      </c>
      <c r="M559" s="21">
        <f t="shared" si="72"/>
        <v>26.64</v>
      </c>
      <c r="N559" s="8">
        <f t="shared" si="70"/>
        <v>26.64</v>
      </c>
      <c r="O559" s="25">
        <f>O556+IF(OR(B559="Cash",B559="Buy",B559="Sell",B559="Div",B559="Rebate",B559="Fees",B559="IntInc",B559="Tax",B559="Distr"),N559,0)</f>
        <v>41468.62999999999</v>
      </c>
      <c r="P559" s="8">
        <f t="shared" si="73"/>
        <v>0</v>
      </c>
      <c r="Q559" s="4">
        <f>IF(AND(S559&gt;=[1]eRRSP_Rpt!$C$6,S559&lt;=[1]eRRSP_Rpt!$C$7),1,0)</f>
        <v>1</v>
      </c>
      <c r="R559" s="4"/>
      <c r="S559" s="4">
        <f t="shared" si="71"/>
        <v>2009</v>
      </c>
      <c r="T559" s="4"/>
      <c r="U559" s="4" t="str">
        <f t="shared" si="74"/>
        <v>DiviShares IBOXX (US$)</v>
      </c>
      <c r="V559" s="23">
        <f>IFERROR(IF(AND(AB559&gt;0,B559&lt;&gt;"Sell"),(AA559-SUMIF(C$4:C558,C559,AC$4:AC559))/AB559,0),"")</f>
        <v>-127.70865384615385</v>
      </c>
      <c r="W559" s="24" t="str">
        <f t="shared" si="69"/>
        <v/>
      </c>
      <c r="X559" s="25" t="str">
        <f t="shared" si="68"/>
        <v>iShares IBOXX (US$)_ACB</v>
      </c>
      <c r="Y559" s="10" t="str">
        <f>IF(S560&lt;&gt;eRRSP_Tx_Table[[#This Row],[Year]],SUMIFS($W$4:$W559,$S$4:$S559,eRRSP_Tx_Table[[#This Row],[Year]],$W$4:$W559,"&gt;0"),"")</f>
        <v/>
      </c>
      <c r="Z559" s="10" t="str">
        <f>IF(S560&lt;&gt;eRRSP_Tx_Table[[#This Row],[Year]],SUMIFS($W$4:$W559,$S$4:$S559,eRRSP_Tx_Table[[#This Row],[Year]],$W$4:$W559,"&lt;0"),"")</f>
        <v/>
      </c>
      <c r="AA559" s="3">
        <f>(SUMIF($U$4:$U559,CONCATENATE("Buy",$C559),$N$4:$N559)+SUMIF($U$4:$U559,CONCATENATE("ReinvDiv",$C559),$N$4:$N559))</f>
        <v>-6640.85</v>
      </c>
      <c r="AB559" s="3">
        <f>(SUMIF($U$4:$U559,CONCATENATE("Buy",$C559),$F$4:$F559)+SUMIF($U$4:$U559,CONCATENATE("ReinvDiv",$C559),$F$4:$F559)+SUMIF($U$4:$U559,CONCATENATE("StkSplit",$C559),$F$4:$F559)-SUMIF($U$4:$U559,CONCATENATE("Sell",$C559),$F$4:$F559))</f>
        <v>52</v>
      </c>
      <c r="AC559" s="3">
        <f>IF(B559="Sell",F559*INDEX(V:V,LOOKUP(2,1/(X$4:X558=CONCATENATE(C559,"_ACB")),ROW(V$4:V558))),0)</f>
        <v>0</v>
      </c>
    </row>
    <row r="560" spans="1:29" x14ac:dyDescent="0.25">
      <c r="A560" s="20">
        <v>39818</v>
      </c>
      <c r="B560" t="s">
        <v>42</v>
      </c>
      <c r="C560" t="s">
        <v>82</v>
      </c>
      <c r="D560" s="3">
        <v>19.920000000000002</v>
      </c>
      <c r="J560">
        <v>0.76</v>
      </c>
      <c r="M560" s="21">
        <f t="shared" si="72"/>
        <v>19.920000000000002</v>
      </c>
      <c r="N560" s="8">
        <f t="shared" si="70"/>
        <v>19.920000000000002</v>
      </c>
      <c r="O560" s="25">
        <f t="shared" ref="O560:O623" si="76">O559+IF(OR(B560="Cash",B560="Buy",B560="Sell",B560="Div",B560="Rebate",B560="Fees",B560="IntInc",B560="Tax",B560="Distr"),N560,0)</f>
        <v>41488.549999999988</v>
      </c>
      <c r="P560" s="8">
        <f t="shared" si="73"/>
        <v>0</v>
      </c>
      <c r="Q560" s="4">
        <f>IF(AND(S560&gt;=[1]eRRSP_Rpt!$C$6,S560&lt;=[1]eRRSP_Rpt!$C$7),1,0)</f>
        <v>1</v>
      </c>
      <c r="R560" s="4"/>
      <c r="S560" s="4">
        <f t="shared" si="71"/>
        <v>2009</v>
      </c>
      <c r="T560" s="4"/>
      <c r="U560" s="4" t="str">
        <f t="shared" si="74"/>
        <v>DiviShares S&amp;P Latin America (US$)</v>
      </c>
      <c r="V560" s="23">
        <f>IFERROR(IF(AND(AB560&gt;0,B560&lt;&gt;"Sell"),(AA560-SUMIF(C$4:C559,C560,AC$4:AC560))/AB560,0),"")</f>
        <v>-32.47767441860465</v>
      </c>
      <c r="W560" s="24" t="str">
        <f t="shared" si="69"/>
        <v/>
      </c>
      <c r="X560" s="25" t="str">
        <f t="shared" si="68"/>
        <v>iShares S&amp;P Latin America (US$)_ACB</v>
      </c>
      <c r="Y560" s="10" t="str">
        <f>IF(S561&lt;&gt;eRRSP_Tx_Table[[#This Row],[Year]],SUMIFS($W$4:$W560,$S$4:$S560,eRRSP_Tx_Table[[#This Row],[Year]],$W$4:$W560,"&gt;0"),"")</f>
        <v/>
      </c>
      <c r="Z560" s="10" t="str">
        <f>IF(S561&lt;&gt;eRRSP_Tx_Table[[#This Row],[Year]],SUMIFS($W$4:$W560,$S$4:$S560,eRRSP_Tx_Table[[#This Row],[Year]],$W$4:$W560,"&lt;0"),"")</f>
        <v/>
      </c>
      <c r="AA560" s="3">
        <f>(SUMIF($U$4:$U560,CONCATENATE("Buy",$C560),$N$4:$N560)+SUMIF($U$4:$U560,CONCATENATE("ReinvDiv",$C560),$N$4:$N560))</f>
        <v>-6982.7</v>
      </c>
      <c r="AB560" s="3">
        <f>(SUMIF($U$4:$U560,CONCATENATE("Buy",$C560),$F$4:$F560)+SUMIF($U$4:$U560,CONCATENATE("ReinvDiv",$C560),$F$4:$F560)+SUMIF($U$4:$U560,CONCATENATE("StkSplit",$C560),$F$4:$F560)-SUMIF($U$4:$U560,CONCATENATE("Sell",$C560),$F$4:$F560))</f>
        <v>215</v>
      </c>
      <c r="AC560" s="3">
        <f>IF(B560="Sell",F560*INDEX(V:V,LOOKUP(2,1/(X$4:X559=CONCATENATE(C560,"_ACB")),ROW(V$4:V559))),0)</f>
        <v>0</v>
      </c>
    </row>
    <row r="561" spans="1:29" x14ac:dyDescent="0.25">
      <c r="A561" s="20">
        <v>39829</v>
      </c>
      <c r="B561" t="s">
        <v>42</v>
      </c>
      <c r="C561" t="s">
        <v>87</v>
      </c>
      <c r="D561" s="3">
        <v>120.65</v>
      </c>
      <c r="J561">
        <v>12.2</v>
      </c>
      <c r="M561" s="21">
        <f t="shared" si="72"/>
        <v>120.65</v>
      </c>
      <c r="N561" s="8">
        <f t="shared" si="70"/>
        <v>120.65</v>
      </c>
      <c r="O561" s="25">
        <f t="shared" si="76"/>
        <v>41609.19999999999</v>
      </c>
      <c r="P561" s="8">
        <f t="shared" si="73"/>
        <v>0</v>
      </c>
      <c r="Q561" s="4">
        <f>IF(AND(S561&gt;=[1]eRRSP_Rpt!$C$6,S561&lt;=[1]eRRSP_Rpt!$C$7),1,0)</f>
        <v>1</v>
      </c>
      <c r="R561" s="4"/>
      <c r="S561" s="4">
        <f t="shared" si="71"/>
        <v>2009</v>
      </c>
      <c r="T561" s="4"/>
      <c r="U561" s="4" t="str">
        <f t="shared" si="74"/>
        <v>DivAberdeen Asia Pacific Income Fund</v>
      </c>
      <c r="V561" s="23">
        <f>IFERROR(IF(AND(AB561&gt;0,B561&lt;&gt;"Sell"),(AA561-SUMIF(C$4:C560,C561,AC$4:AC561))/AB561,0),"")</f>
        <v>-7.4694020797227028</v>
      </c>
      <c r="W561" s="24" t="str">
        <f t="shared" si="69"/>
        <v/>
      </c>
      <c r="X561" s="25" t="str">
        <f t="shared" si="68"/>
        <v>Aberdeen Asia Pacific Income Fund_ACB</v>
      </c>
      <c r="Y561" s="10" t="str">
        <f>IF(S562&lt;&gt;eRRSP_Tx_Table[[#This Row],[Year]],SUMIFS($W$4:$W561,$S$4:$S561,eRRSP_Tx_Table[[#This Row],[Year]],$W$4:$W561,"&gt;0"),"")</f>
        <v/>
      </c>
      <c r="Z561" s="10" t="str">
        <f>IF(S562&lt;&gt;eRRSP_Tx_Table[[#This Row],[Year]],SUMIFS($W$4:$W561,$S$4:$S561,eRRSP_Tx_Table[[#This Row],[Year]],$W$4:$W561,"&lt;0"),"")</f>
        <v/>
      </c>
      <c r="AA561" s="3">
        <f>(SUMIF($U$4:$U561,CONCATENATE("Buy",$C561),$N$4:$N561)+SUMIF($U$4:$U561,CONCATENATE("ReinvDiv",$C561),$N$4:$N561))</f>
        <v>-8619.6899999999987</v>
      </c>
      <c r="AB561" s="3">
        <f>(SUMIF($U$4:$U561,CONCATENATE("Buy",$C561),$F$4:$F561)+SUMIF($U$4:$U561,CONCATENATE("ReinvDiv",$C561),$F$4:$F561)+SUMIF($U$4:$U561,CONCATENATE("StkSplit",$C561),$F$4:$F561)-SUMIF($U$4:$U561,CONCATENATE("Sell",$C561),$F$4:$F561))</f>
        <v>1154</v>
      </c>
      <c r="AC561" s="3">
        <f>IF(B561="Sell",F561*INDEX(V:V,LOOKUP(2,1/(X$4:X560=CONCATENATE(C561,"_ACB")),ROW(V$4:V560))),0)</f>
        <v>0</v>
      </c>
    </row>
    <row r="562" spans="1:29" x14ac:dyDescent="0.25">
      <c r="A562" s="20">
        <v>39844</v>
      </c>
      <c r="B562" t="s">
        <v>42</v>
      </c>
      <c r="C562" t="s">
        <v>47</v>
      </c>
      <c r="D562" s="3">
        <v>0.76</v>
      </c>
      <c r="J562">
        <v>31.34</v>
      </c>
      <c r="M562" s="21">
        <f t="shared" si="72"/>
        <v>0.76</v>
      </c>
      <c r="N562" s="8">
        <f t="shared" si="70"/>
        <v>0.76</v>
      </c>
      <c r="O562" s="25">
        <f t="shared" si="76"/>
        <v>41609.959999999992</v>
      </c>
      <c r="P562" s="8">
        <f t="shared" si="73"/>
        <v>0</v>
      </c>
      <c r="Q562" s="4">
        <f>IF(AND(S562&gt;=[1]eRRSP_Rpt!$C$6,S562&lt;=[1]eRRSP_Rpt!$C$7),1,0)</f>
        <v>1</v>
      </c>
      <c r="R562" s="4"/>
      <c r="S562" s="4">
        <f t="shared" si="71"/>
        <v>2009</v>
      </c>
      <c r="T562" s="4"/>
      <c r="U562" s="4" t="str">
        <f t="shared" si="74"/>
        <v>DivBombardier</v>
      </c>
      <c r="V562" s="23">
        <f>IFERROR(IF(AND(AB562&gt;0,B562&lt;&gt;"Sell"),(AA562-SUMIF(C$4:C561,C562,AC$4:AC562))/AB562,0),"")</f>
        <v>-23.216666666666665</v>
      </c>
      <c r="W562" s="24" t="str">
        <f t="shared" si="69"/>
        <v/>
      </c>
      <c r="X562" s="25" t="str">
        <f t="shared" si="68"/>
        <v>Bombardier_ACB</v>
      </c>
      <c r="Y562" s="10" t="str">
        <f>IF(S563&lt;&gt;eRRSP_Tx_Table[[#This Row],[Year]],SUMIFS($W$4:$W562,$S$4:$S562,eRRSP_Tx_Table[[#This Row],[Year]],$W$4:$W562,"&gt;0"),"")</f>
        <v/>
      </c>
      <c r="Z562" s="10" t="str">
        <f>IF(S563&lt;&gt;eRRSP_Tx_Table[[#This Row],[Year]],SUMIFS($W$4:$W562,$S$4:$S562,eRRSP_Tx_Table[[#This Row],[Year]],$W$4:$W562,"&lt;0"),"")</f>
        <v/>
      </c>
      <c r="AA562" s="3">
        <f>(SUMIF($U$4:$U562,CONCATENATE("Buy",$C562),$N$4:$N562)+SUMIF($U$4:$U562,CONCATENATE("ReinvDiv",$C562),$N$4:$N562))</f>
        <v>-696.5</v>
      </c>
      <c r="AB562" s="3">
        <f>(SUMIF($U$4:$U562,CONCATENATE("Buy",$C562),$F$4:$F562)+SUMIF($U$4:$U562,CONCATENATE("ReinvDiv",$C562),$F$4:$F562)+SUMIF($U$4:$U562,CONCATENATE("StkSplit",$C562),$F$4:$F562)-SUMIF($U$4:$U562,CONCATENATE("Sell",$C562),$F$4:$F562))</f>
        <v>30</v>
      </c>
      <c r="AC562" s="3">
        <f>IF(B562="Sell",F562*INDEX(V:V,LOOKUP(2,1/(X$4:X561=CONCATENATE(C562,"_ACB")),ROW(V$4:V561))),0)</f>
        <v>0</v>
      </c>
    </row>
    <row r="563" spans="1:29" x14ac:dyDescent="0.25">
      <c r="A563" s="20">
        <v>39844</v>
      </c>
      <c r="B563" t="s">
        <v>42</v>
      </c>
      <c r="C563" t="s">
        <v>45</v>
      </c>
      <c r="D563" s="3">
        <v>12.2</v>
      </c>
      <c r="J563">
        <v>50.38</v>
      </c>
      <c r="M563" s="21">
        <f t="shared" si="72"/>
        <v>12.2</v>
      </c>
      <c r="N563" s="8">
        <f t="shared" si="70"/>
        <v>12.2</v>
      </c>
      <c r="O563" s="25">
        <f t="shared" si="76"/>
        <v>41622.159999999989</v>
      </c>
      <c r="P563" s="8">
        <f t="shared" si="73"/>
        <v>0</v>
      </c>
      <c r="Q563" s="4">
        <f>IF(AND(S563&gt;=[1]eRRSP_Rpt!$C$6,S563&lt;=[1]eRRSP_Rpt!$C$7),1,0)</f>
        <v>1</v>
      </c>
      <c r="R563" s="4"/>
      <c r="S563" s="4">
        <f t="shared" si="71"/>
        <v>2009</v>
      </c>
      <c r="T563" s="4"/>
      <c r="U563" s="4" t="str">
        <f t="shared" si="74"/>
        <v>DivTD Bank</v>
      </c>
      <c r="V563" s="23">
        <f>IFERROR(IF(AND(AB563&gt;0,B563&lt;&gt;"Sell"),(AA563-SUMIF(C$4:C562,C563,AC$4:AC563))/AB563,0),"")</f>
        <v>-44.29</v>
      </c>
      <c r="W563" s="24" t="str">
        <f t="shared" si="69"/>
        <v/>
      </c>
      <c r="X563" s="25" t="str">
        <f t="shared" si="68"/>
        <v>TD Bank_ACB</v>
      </c>
      <c r="Y563" s="10" t="str">
        <f>IF(S564&lt;&gt;eRRSP_Tx_Table[[#This Row],[Year]],SUMIFS($W$4:$W563,$S$4:$S563,eRRSP_Tx_Table[[#This Row],[Year]],$W$4:$W563,"&gt;0"),"")</f>
        <v/>
      </c>
      <c r="Z563" s="10" t="str">
        <f>IF(S564&lt;&gt;eRRSP_Tx_Table[[#This Row],[Year]],SUMIFS($W$4:$W563,$S$4:$S563,eRRSP_Tx_Table[[#This Row],[Year]],$W$4:$W563,"&lt;0"),"")</f>
        <v/>
      </c>
      <c r="AA563" s="3">
        <f>(SUMIF($U$4:$U563,CONCATENATE("Buy",$C563),$N$4:$N563)+SUMIF($U$4:$U563,CONCATENATE("ReinvDiv",$C563),$N$4:$N563))</f>
        <v>-885.8</v>
      </c>
      <c r="AB563" s="3">
        <f>(SUMIF($U$4:$U563,CONCATENATE("Buy",$C563),$F$4:$F563)+SUMIF($U$4:$U563,CONCATENATE("ReinvDiv",$C563),$F$4:$F563)+SUMIF($U$4:$U563,CONCATENATE("StkSplit",$C563),$F$4:$F563)-SUMIF($U$4:$U563,CONCATENATE("Sell",$C563),$F$4:$F563))</f>
        <v>20</v>
      </c>
      <c r="AC563" s="3">
        <f>IF(B563="Sell",F563*INDEX(V:V,LOOKUP(2,1/(X$4:X562=CONCATENATE(C563,"_ACB")),ROW(V$4:V562))),0)</f>
        <v>0</v>
      </c>
    </row>
    <row r="564" spans="1:29" x14ac:dyDescent="0.25">
      <c r="A564" s="20">
        <v>39850</v>
      </c>
      <c r="B564" t="s">
        <v>42</v>
      </c>
      <c r="C564" t="s">
        <v>88</v>
      </c>
      <c r="D564" s="3">
        <v>31.34</v>
      </c>
      <c r="J564">
        <v>27.01</v>
      </c>
      <c r="M564" s="21">
        <f t="shared" si="72"/>
        <v>31.34</v>
      </c>
      <c r="N564" s="8">
        <f t="shared" si="70"/>
        <v>31.34</v>
      </c>
      <c r="O564" s="25">
        <f t="shared" si="76"/>
        <v>41653.499999999985</v>
      </c>
      <c r="P564" s="8">
        <f t="shared" si="73"/>
        <v>0</v>
      </c>
      <c r="Q564" s="4">
        <f>IF(AND(S564&gt;=[1]eRRSP_Rpt!$C$6,S564&lt;=[1]eRRSP_Rpt!$C$7),1,0)</f>
        <v>1</v>
      </c>
      <c r="R564" s="4"/>
      <c r="S564" s="4">
        <f t="shared" si="71"/>
        <v>2009</v>
      </c>
      <c r="T564" s="4"/>
      <c r="U564" s="4" t="str">
        <f t="shared" si="74"/>
        <v>DiviShares IBOXX (US$)</v>
      </c>
      <c r="V564" s="23">
        <f>IFERROR(IF(AND(AB564&gt;0,B564&lt;&gt;"Sell"),(AA564-SUMIF(C$4:C563,C564,AC$4:AC564))/AB564,0),"")</f>
        <v>-127.70865384615385</v>
      </c>
      <c r="W564" s="24" t="str">
        <f t="shared" si="69"/>
        <v/>
      </c>
      <c r="X564" s="25" t="str">
        <f t="shared" si="68"/>
        <v>iShares IBOXX (US$)_ACB</v>
      </c>
      <c r="Y564" s="10" t="str">
        <f>IF(S565&lt;&gt;eRRSP_Tx_Table[[#This Row],[Year]],SUMIFS($W$4:$W564,$S$4:$S564,eRRSP_Tx_Table[[#This Row],[Year]],$W$4:$W564,"&gt;0"),"")</f>
        <v/>
      </c>
      <c r="Z564" s="10" t="str">
        <f>IF(S565&lt;&gt;eRRSP_Tx_Table[[#This Row],[Year]],SUMIFS($W$4:$W564,$S$4:$S564,eRRSP_Tx_Table[[#This Row],[Year]],$W$4:$W564,"&lt;0"),"")</f>
        <v/>
      </c>
      <c r="AA564" s="3">
        <f>(SUMIF($U$4:$U564,CONCATENATE("Buy",$C564),$N$4:$N564)+SUMIF($U$4:$U564,CONCATENATE("ReinvDiv",$C564),$N$4:$N564))</f>
        <v>-6640.85</v>
      </c>
      <c r="AB564" s="3">
        <f>(SUMIF($U$4:$U564,CONCATENATE("Buy",$C564),$F$4:$F564)+SUMIF($U$4:$U564,CONCATENATE("ReinvDiv",$C564),$F$4:$F564)+SUMIF($U$4:$U564,CONCATENATE("StkSplit",$C564),$F$4:$F564)-SUMIF($U$4:$U564,CONCATENATE("Sell",$C564),$F$4:$F564))</f>
        <v>52</v>
      </c>
      <c r="AC564" s="3">
        <f>IF(B564="Sell",F564*INDEX(V:V,LOOKUP(2,1/(X$4:X563=CONCATENATE(C564,"_ACB")),ROW(V$4:V563))),0)</f>
        <v>0</v>
      </c>
    </row>
    <row r="565" spans="1:29" x14ac:dyDescent="0.25">
      <c r="A565" s="20">
        <v>39857</v>
      </c>
      <c r="B565" t="s">
        <v>42</v>
      </c>
      <c r="C565" t="s">
        <v>87</v>
      </c>
      <c r="D565" s="3">
        <v>50.38</v>
      </c>
      <c r="J565">
        <v>32.31</v>
      </c>
      <c r="M565" s="21">
        <f t="shared" si="72"/>
        <v>50.38</v>
      </c>
      <c r="N565" s="8">
        <f t="shared" si="70"/>
        <v>50.38</v>
      </c>
      <c r="O565" s="25">
        <f t="shared" si="76"/>
        <v>41703.879999999983</v>
      </c>
      <c r="P565" s="8">
        <f t="shared" si="73"/>
        <v>0</v>
      </c>
      <c r="Q565" s="4">
        <f>IF(AND(S565&gt;=[1]eRRSP_Rpt!$C$6,S565&lt;=[1]eRRSP_Rpt!$C$7),1,0)</f>
        <v>1</v>
      </c>
      <c r="R565" s="4"/>
      <c r="S565" s="4">
        <f t="shared" si="71"/>
        <v>2009</v>
      </c>
      <c r="T565" s="4"/>
      <c r="U565" s="4" t="str">
        <f t="shared" si="74"/>
        <v>DivAberdeen Asia Pacific Income Fund</v>
      </c>
      <c r="V565" s="23">
        <f>IFERROR(IF(AND(AB565&gt;0,B565&lt;&gt;"Sell"),(AA565-SUMIF(C$4:C564,C565,AC$4:AC565))/AB565,0),"")</f>
        <v>-7.4694020797227028</v>
      </c>
      <c r="W565" s="24" t="str">
        <f t="shared" si="69"/>
        <v/>
      </c>
      <c r="X565" s="25" t="str">
        <f t="shared" si="68"/>
        <v>Aberdeen Asia Pacific Income Fund_ACB</v>
      </c>
      <c r="Y565" s="10" t="str">
        <f>IF(S566&lt;&gt;eRRSP_Tx_Table[[#This Row],[Year]],SUMIFS($W$4:$W565,$S$4:$S565,eRRSP_Tx_Table[[#This Row],[Year]],$W$4:$W565,"&gt;0"),"")</f>
        <v/>
      </c>
      <c r="Z565" s="10" t="str">
        <f>IF(S566&lt;&gt;eRRSP_Tx_Table[[#This Row],[Year]],SUMIFS($W$4:$W565,$S$4:$S565,eRRSP_Tx_Table[[#This Row],[Year]],$W$4:$W565,"&lt;0"),"")</f>
        <v/>
      </c>
      <c r="AA565" s="3">
        <f>(SUMIF($U$4:$U565,CONCATENATE("Buy",$C565),$N$4:$N565)+SUMIF($U$4:$U565,CONCATENATE("ReinvDiv",$C565),$N$4:$N565))</f>
        <v>-8619.6899999999987</v>
      </c>
      <c r="AB565" s="3">
        <f>(SUMIF($U$4:$U565,CONCATENATE("Buy",$C565),$F$4:$F565)+SUMIF($U$4:$U565,CONCATENATE("ReinvDiv",$C565),$F$4:$F565)+SUMIF($U$4:$U565,CONCATENATE("StkSplit",$C565),$F$4:$F565)-SUMIF($U$4:$U565,CONCATENATE("Sell",$C565),$F$4:$F565))</f>
        <v>1154</v>
      </c>
      <c r="AC565" s="3">
        <f>IF(B565="Sell",F565*INDEX(V:V,LOOKUP(2,1/(X$4:X564=CONCATENATE(C565,"_ACB")),ROW(V$4:V564))),0)</f>
        <v>0</v>
      </c>
    </row>
    <row r="566" spans="1:29" x14ac:dyDescent="0.25">
      <c r="A566" s="20">
        <v>39873</v>
      </c>
      <c r="B566" t="s">
        <v>42</v>
      </c>
      <c r="C566" t="s">
        <v>33</v>
      </c>
      <c r="D566" s="3">
        <v>27.01</v>
      </c>
      <c r="J566">
        <v>51.63</v>
      </c>
      <c r="M566" s="21">
        <f t="shared" si="72"/>
        <v>27.01</v>
      </c>
      <c r="N566" s="8">
        <f t="shared" si="70"/>
        <v>27.01</v>
      </c>
      <c r="O566" s="25">
        <f t="shared" si="76"/>
        <v>41730.889999999985</v>
      </c>
      <c r="P566" s="8">
        <f t="shared" si="73"/>
        <v>0</v>
      </c>
      <c r="Q566" s="4">
        <f>IF(AND(S566&gt;=[1]eRRSP_Rpt!$C$6,S566&lt;=[1]eRRSP_Rpt!$C$7),1,0)</f>
        <v>1</v>
      </c>
      <c r="R566" s="4"/>
      <c r="S566" s="4">
        <f t="shared" si="71"/>
        <v>2009</v>
      </c>
      <c r="T566" s="4"/>
      <c r="U566" s="4" t="str">
        <f t="shared" si="74"/>
        <v>DivEnbridge</v>
      </c>
      <c r="V566" s="23">
        <f>IFERROR(IF(AND(AB566&gt;0,B566&lt;&gt;"Sell"),(AA566-SUMIF(C$4:C565,C566,AC$4:AC566))/AB566,0),"")</f>
        <v>-12.859027777777776</v>
      </c>
      <c r="W566" s="24" t="str">
        <f t="shared" si="69"/>
        <v/>
      </c>
      <c r="X566" s="25" t="str">
        <f t="shared" si="68"/>
        <v>Enbridge_ACB</v>
      </c>
      <c r="Y566" s="10" t="str">
        <f>IF(S567&lt;&gt;eRRSP_Tx_Table[[#This Row],[Year]],SUMIFS($W$4:$W566,$S$4:$S566,eRRSP_Tx_Table[[#This Row],[Year]],$W$4:$W566,"&gt;0"),"")</f>
        <v/>
      </c>
      <c r="Z566" s="10" t="str">
        <f>IF(S567&lt;&gt;eRRSP_Tx_Table[[#This Row],[Year]],SUMIFS($W$4:$W566,$S$4:$S566,eRRSP_Tx_Table[[#This Row],[Year]],$W$4:$W566,"&lt;0"),"")</f>
        <v/>
      </c>
      <c r="AA566" s="3">
        <f>(SUMIF($U$4:$U566,CONCATENATE("Buy",$C566),$N$4:$N566)+SUMIF($U$4:$U566,CONCATENATE("ReinvDiv",$C566),$N$4:$N566))</f>
        <v>-1851.7</v>
      </c>
      <c r="AB566" s="3">
        <f>(SUMIF($U$4:$U566,CONCATENATE("Buy",$C566),$F$4:$F566)+SUMIF($U$4:$U566,CONCATENATE("ReinvDiv",$C566),$F$4:$F566)+SUMIF($U$4:$U566,CONCATENATE("StkSplit",$C566),$F$4:$F566)-SUMIF($U$4:$U566,CONCATENATE("Sell",$C566),$F$4:$F566))</f>
        <v>73</v>
      </c>
      <c r="AC566" s="3">
        <f>IF(B566="Sell",F566*INDEX(V:V,LOOKUP(2,1/(X$4:X565=CONCATENATE(C566,"_ACB")),ROW(V$4:V565))),0)</f>
        <v>0</v>
      </c>
    </row>
    <row r="567" spans="1:29" x14ac:dyDescent="0.25">
      <c r="A567" s="20">
        <v>39878</v>
      </c>
      <c r="B567" t="s">
        <v>42</v>
      </c>
      <c r="C567" t="s">
        <v>88</v>
      </c>
      <c r="D567" s="3">
        <v>32.31</v>
      </c>
      <c r="J567">
        <v>20.22</v>
      </c>
      <c r="M567" s="21">
        <f t="shared" si="72"/>
        <v>32.31</v>
      </c>
      <c r="N567" s="8">
        <f t="shared" si="70"/>
        <v>32.31</v>
      </c>
      <c r="O567" s="25">
        <f t="shared" si="76"/>
        <v>41763.199999999983</v>
      </c>
      <c r="P567" s="8">
        <f t="shared" si="73"/>
        <v>0</v>
      </c>
      <c r="Q567" s="4">
        <f>IF(AND(S567&gt;=[1]eRRSP_Rpt!$C$6,S567&lt;=[1]eRRSP_Rpt!$C$7),1,0)</f>
        <v>1</v>
      </c>
      <c r="R567" s="4"/>
      <c r="S567" s="4">
        <f t="shared" si="71"/>
        <v>2009</v>
      </c>
      <c r="T567" s="4"/>
      <c r="U567" s="4" t="str">
        <f t="shared" si="74"/>
        <v>DiviShares IBOXX (US$)</v>
      </c>
      <c r="V567" s="23">
        <f>IFERROR(IF(AND(AB567&gt;0,B567&lt;&gt;"Sell"),(AA567-SUMIF(C$4:C566,C567,AC$4:AC567))/AB567,0),"")</f>
        <v>-127.70865384615385</v>
      </c>
      <c r="W567" s="24" t="str">
        <f t="shared" si="69"/>
        <v/>
      </c>
      <c r="X567" s="25" t="str">
        <f t="shared" si="68"/>
        <v>iShares IBOXX (US$)_ACB</v>
      </c>
      <c r="Y567" s="10" t="str">
        <f>IF(S568&lt;&gt;eRRSP_Tx_Table[[#This Row],[Year]],SUMIFS($W$4:$W567,$S$4:$S567,eRRSP_Tx_Table[[#This Row],[Year]],$W$4:$W567,"&gt;0"),"")</f>
        <v/>
      </c>
      <c r="Z567" s="10" t="str">
        <f>IF(S568&lt;&gt;eRRSP_Tx_Table[[#This Row],[Year]],SUMIFS($W$4:$W567,$S$4:$S567,eRRSP_Tx_Table[[#This Row],[Year]],$W$4:$W567,"&lt;0"),"")</f>
        <v/>
      </c>
      <c r="AA567" s="3">
        <f>(SUMIF($U$4:$U567,CONCATENATE("Buy",$C567),$N$4:$N567)+SUMIF($U$4:$U567,CONCATENATE("ReinvDiv",$C567),$N$4:$N567))</f>
        <v>-6640.85</v>
      </c>
      <c r="AB567" s="3">
        <f>(SUMIF($U$4:$U567,CONCATENATE("Buy",$C567),$F$4:$F567)+SUMIF($U$4:$U567,CONCATENATE("ReinvDiv",$C567),$F$4:$F567)+SUMIF($U$4:$U567,CONCATENATE("StkSplit",$C567),$F$4:$F567)-SUMIF($U$4:$U567,CONCATENATE("Sell",$C567),$F$4:$F567))</f>
        <v>52</v>
      </c>
      <c r="AC567" s="3">
        <f>IF(B567="Sell",F567*INDEX(V:V,LOOKUP(2,1/(X$4:X566=CONCATENATE(C567,"_ACB")),ROW(V$4:V566))),0)</f>
        <v>0</v>
      </c>
    </row>
    <row r="568" spans="1:29" x14ac:dyDescent="0.25">
      <c r="A568" s="20">
        <v>39885</v>
      </c>
      <c r="B568" t="s">
        <v>42</v>
      </c>
      <c r="C568" t="s">
        <v>87</v>
      </c>
      <c r="D568" s="3">
        <v>51.63</v>
      </c>
      <c r="J568">
        <v>13.2</v>
      </c>
      <c r="M568" s="21">
        <f t="shared" si="72"/>
        <v>51.63</v>
      </c>
      <c r="N568" s="8">
        <f t="shared" si="70"/>
        <v>51.63</v>
      </c>
      <c r="O568" s="25">
        <f t="shared" si="76"/>
        <v>41814.82999999998</v>
      </c>
      <c r="P568" s="8">
        <f t="shared" si="73"/>
        <v>0</v>
      </c>
      <c r="Q568" s="4">
        <f>IF(AND(S568&gt;=[1]eRRSP_Rpt!$C$6,S568&lt;=[1]eRRSP_Rpt!$C$7),1,0)</f>
        <v>1</v>
      </c>
      <c r="R568" s="4"/>
      <c r="S568" s="4">
        <f t="shared" si="71"/>
        <v>2009</v>
      </c>
      <c r="T568" s="4"/>
      <c r="U568" s="4" t="str">
        <f t="shared" si="74"/>
        <v>DivAberdeen Asia Pacific Income Fund</v>
      </c>
      <c r="V568" s="23">
        <f>IFERROR(IF(AND(AB568&gt;0,B568&lt;&gt;"Sell"),(AA568-SUMIF(C$4:C567,C568,AC$4:AC568))/AB568,0),"")</f>
        <v>-7.4694020797227028</v>
      </c>
      <c r="W568" s="24" t="str">
        <f t="shared" si="69"/>
        <v/>
      </c>
      <c r="X568" s="25" t="str">
        <f t="shared" si="68"/>
        <v>Aberdeen Asia Pacific Income Fund_ACB</v>
      </c>
      <c r="Y568" s="10" t="str">
        <f>IF(S569&lt;&gt;eRRSP_Tx_Table[[#This Row],[Year]],SUMIFS($W$4:$W568,$S$4:$S568,eRRSP_Tx_Table[[#This Row],[Year]],$W$4:$W568,"&gt;0"),"")</f>
        <v/>
      </c>
      <c r="Z568" s="10" t="str">
        <f>IF(S569&lt;&gt;eRRSP_Tx_Table[[#This Row],[Year]],SUMIFS($W$4:$W568,$S$4:$S568,eRRSP_Tx_Table[[#This Row],[Year]],$W$4:$W568,"&lt;0"),"")</f>
        <v/>
      </c>
      <c r="AA568" s="3">
        <f>(SUMIF($U$4:$U568,CONCATENATE("Buy",$C568),$N$4:$N568)+SUMIF($U$4:$U568,CONCATENATE("ReinvDiv",$C568),$N$4:$N568))</f>
        <v>-8619.6899999999987</v>
      </c>
      <c r="AB568" s="3">
        <f>(SUMIF($U$4:$U568,CONCATENATE("Buy",$C568),$F$4:$F568)+SUMIF($U$4:$U568,CONCATENATE("ReinvDiv",$C568),$F$4:$F568)+SUMIF($U$4:$U568,CONCATENATE("StkSplit",$C568),$F$4:$F568)-SUMIF($U$4:$U568,CONCATENATE("Sell",$C568),$F$4:$F568))</f>
        <v>1154</v>
      </c>
      <c r="AC568" s="3">
        <f>IF(B568="Sell",F568*INDEX(V:V,LOOKUP(2,1/(X$4:X567=CONCATENATE(C568,"_ACB")),ROW(V$4:V567))),0)</f>
        <v>0</v>
      </c>
    </row>
    <row r="569" spans="1:29" x14ac:dyDescent="0.25">
      <c r="A569" s="20">
        <v>39902</v>
      </c>
      <c r="B569" t="s">
        <v>41</v>
      </c>
      <c r="C569" t="s">
        <v>62</v>
      </c>
      <c r="D569" s="3">
        <v>20.22</v>
      </c>
      <c r="E569">
        <v>14.371</v>
      </c>
      <c r="F569" s="3">
        <v>1.407</v>
      </c>
      <c r="J569">
        <v>23.01</v>
      </c>
      <c r="M569" s="21">
        <f t="shared" si="72"/>
        <v>20.22</v>
      </c>
      <c r="N569" s="8">
        <f t="shared" si="70"/>
        <v>-20.22</v>
      </c>
      <c r="O569" s="25">
        <f t="shared" si="76"/>
        <v>41814.82999999998</v>
      </c>
      <c r="P569" s="8">
        <f t="shared" si="73"/>
        <v>0</v>
      </c>
      <c r="Q569" s="4">
        <f>IF(AND(S569&gt;=[1]eRRSP_Rpt!$C$6,S569&lt;=[1]eRRSP_Rpt!$C$7),1,0)</f>
        <v>1</v>
      </c>
      <c r="R569" s="4"/>
      <c r="S569" s="4">
        <f t="shared" si="71"/>
        <v>2009</v>
      </c>
      <c r="T569" s="4"/>
      <c r="U569" s="4" t="str">
        <f t="shared" si="74"/>
        <v>ReinvDivTD RR Bond</v>
      </c>
      <c r="V569" s="23">
        <f>IFERROR(IF(AND(AB569&gt;0,B569&lt;&gt;"Sell"),(AA569-SUMIF(C$4:C568,C569,AC$4:AC569))/AB569,0),"")</f>
        <v>-14.231066342540666</v>
      </c>
      <c r="W569" s="24" t="str">
        <f t="shared" si="69"/>
        <v/>
      </c>
      <c r="X569" s="25" t="str">
        <f t="shared" si="68"/>
        <v>TD RR Bond_ACB</v>
      </c>
      <c r="Y569" s="10" t="str">
        <f>IF(S570&lt;&gt;eRRSP_Tx_Table[[#This Row],[Year]],SUMIFS($W$4:$W569,$S$4:$S569,eRRSP_Tx_Table[[#This Row],[Year]],$W$4:$W569,"&gt;0"),"")</f>
        <v/>
      </c>
      <c r="Z569" s="10" t="str">
        <f>IF(S570&lt;&gt;eRRSP_Tx_Table[[#This Row],[Year]],SUMIFS($W$4:$W569,$S$4:$S569,eRRSP_Tx_Table[[#This Row],[Year]],$W$4:$W569,"&lt;0"),"")</f>
        <v/>
      </c>
      <c r="AA569" s="3">
        <f>(SUMIF($U$4:$U569,CONCATENATE("Buy",$C569),$N$4:$N569)+SUMIF($U$4:$U569,CONCATENATE("ReinvDiv",$C569),$N$4:$N569))</f>
        <v>-9782.25</v>
      </c>
      <c r="AB569" s="3">
        <f>(SUMIF($U$4:$U569,CONCATENATE("Buy",$C569),$F$4:$F569)+SUMIF($U$4:$U569,CONCATENATE("ReinvDiv",$C569),$F$4:$F569)+SUMIF($U$4:$U569,CONCATENATE("StkSplit",$C569),$F$4:$F569)-SUMIF($U$4:$U569,CONCATENATE("Sell",$C569),$F$4:$F569))</f>
        <v>687.38699999999994</v>
      </c>
      <c r="AC569" s="3">
        <f>IF(B569="Sell",F569*INDEX(V:V,LOOKUP(2,1/(X$4:X568=CONCATENATE(C569,"_ACB")),ROW(V$4:V568))),0)</f>
        <v>0</v>
      </c>
    </row>
    <row r="570" spans="1:29" x14ac:dyDescent="0.25">
      <c r="A570" s="20">
        <v>39903</v>
      </c>
      <c r="B570" t="s">
        <v>42</v>
      </c>
      <c r="C570" t="s">
        <v>86</v>
      </c>
      <c r="D570" s="3">
        <v>13.2</v>
      </c>
      <c r="J570">
        <v>33.43</v>
      </c>
      <c r="M570" s="21">
        <f t="shared" si="72"/>
        <v>13.2</v>
      </c>
      <c r="N570" s="8">
        <f t="shared" si="70"/>
        <v>13.2</v>
      </c>
      <c r="O570" s="25">
        <f t="shared" si="76"/>
        <v>41828.029999999977</v>
      </c>
      <c r="P570" s="8">
        <f t="shared" si="73"/>
        <v>0</v>
      </c>
      <c r="Q570" s="4">
        <f>IF(AND(S570&gt;=[1]eRRSP_Rpt!$C$6,S570&lt;=[1]eRRSP_Rpt!$C$7),1,0)</f>
        <v>1</v>
      </c>
      <c r="R570" s="4"/>
      <c r="S570" s="4">
        <f t="shared" si="71"/>
        <v>2009</v>
      </c>
      <c r="T570" s="4"/>
      <c r="U570" s="4" t="str">
        <f t="shared" si="74"/>
        <v>DiviShares S&amp;P SmallCap</v>
      </c>
      <c r="V570" s="23">
        <f>IFERROR(IF(AND(AB570&gt;0,B570&lt;&gt;"Sell"),(AA570-SUMIF(C$4:C569,C570,AC$4:AC570))/AB570,0),"")</f>
        <v>-70.414404761904763</v>
      </c>
      <c r="W570" s="24" t="str">
        <f t="shared" si="69"/>
        <v/>
      </c>
      <c r="X570" s="25" t="str">
        <f t="shared" si="68"/>
        <v>iShares S&amp;P SmallCap_ACB</v>
      </c>
      <c r="Y570" s="10" t="str">
        <f>IF(S571&lt;&gt;eRRSP_Tx_Table[[#This Row],[Year]],SUMIFS($W$4:$W570,$S$4:$S570,eRRSP_Tx_Table[[#This Row],[Year]],$W$4:$W570,"&gt;0"),"")</f>
        <v/>
      </c>
      <c r="Z570" s="10" t="str">
        <f>IF(S571&lt;&gt;eRRSP_Tx_Table[[#This Row],[Year]],SUMIFS($W$4:$W570,$S$4:$S570,eRRSP_Tx_Table[[#This Row],[Year]],$W$4:$W570,"&lt;0"),"")</f>
        <v/>
      </c>
      <c r="AA570" s="3">
        <f>(SUMIF($U$4:$U570,CONCATENATE("Buy",$C570),$N$4:$N570)+SUMIF($U$4:$U570,CONCATENATE("ReinvDiv",$C570),$N$4:$N570))</f>
        <v>-5914.81</v>
      </c>
      <c r="AB570" s="3">
        <f>(SUMIF($U$4:$U570,CONCATENATE("Buy",$C570),$F$4:$F570)+SUMIF($U$4:$U570,CONCATENATE("ReinvDiv",$C570),$F$4:$F570)+SUMIF($U$4:$U570,CONCATENATE("StkSplit",$C570),$F$4:$F570)-SUMIF($U$4:$U570,CONCATENATE("Sell",$C570),$F$4:$F570))</f>
        <v>84</v>
      </c>
      <c r="AC570" s="3">
        <f>IF(B570="Sell",F570*INDEX(V:V,LOOKUP(2,1/(X$4:X569=CONCATENATE(C570,"_ACB")),ROW(V$4:V569))),0)</f>
        <v>0</v>
      </c>
    </row>
    <row r="571" spans="1:29" x14ac:dyDescent="0.25">
      <c r="A571" s="20">
        <v>39903</v>
      </c>
      <c r="B571" t="s">
        <v>42</v>
      </c>
      <c r="C571" t="s">
        <v>90</v>
      </c>
      <c r="D571" s="3">
        <v>23.01</v>
      </c>
      <c r="J571">
        <v>49.96</v>
      </c>
      <c r="M571" s="21">
        <f t="shared" si="72"/>
        <v>23.01</v>
      </c>
      <c r="N571" s="8">
        <f t="shared" si="70"/>
        <v>23.01</v>
      </c>
      <c r="O571" s="25">
        <f t="shared" si="76"/>
        <v>41851.039999999979</v>
      </c>
      <c r="P571" s="8">
        <f t="shared" si="73"/>
        <v>0</v>
      </c>
      <c r="Q571" s="4">
        <f>IF(AND(S571&gt;=[1]eRRSP_Rpt!$C$6,S571&lt;=[1]eRRSP_Rpt!$C$7),1,0)</f>
        <v>1</v>
      </c>
      <c r="R571" s="4"/>
      <c r="S571" s="4">
        <f t="shared" si="71"/>
        <v>2009</v>
      </c>
      <c r="T571" s="4"/>
      <c r="U571" s="4" t="str">
        <f t="shared" si="74"/>
        <v>DivVanguard Large Cap ETF</v>
      </c>
      <c r="V571" s="23">
        <f>IFERROR(IF(AND(AB571&gt;0,B571&lt;&gt;"Sell"),(AA571-SUMIF(C$4:C570,C571,AC$4:AC571))/AB571,0),"")</f>
        <v>-74.401142857142858</v>
      </c>
      <c r="W571" s="24" t="str">
        <f t="shared" si="69"/>
        <v/>
      </c>
      <c r="X571" s="25" t="str">
        <f t="shared" si="68"/>
        <v>Vanguard Large Cap ETF_ACB</v>
      </c>
      <c r="Y571" s="10" t="str">
        <f>IF(S572&lt;&gt;eRRSP_Tx_Table[[#This Row],[Year]],SUMIFS($W$4:$W571,$S$4:$S571,eRRSP_Tx_Table[[#This Row],[Year]],$W$4:$W571,"&gt;0"),"")</f>
        <v/>
      </c>
      <c r="Z571" s="10" t="str">
        <f>IF(S572&lt;&gt;eRRSP_Tx_Table[[#This Row],[Year]],SUMIFS($W$4:$W571,$S$4:$S571,eRRSP_Tx_Table[[#This Row],[Year]],$W$4:$W571,"&lt;0"),"")</f>
        <v/>
      </c>
      <c r="AA571" s="3">
        <f>(SUMIF($U$4:$U571,CONCATENATE("Buy",$C571),$N$4:$N571)+SUMIF($U$4:$U571,CONCATENATE("ReinvDiv",$C571),$N$4:$N571))</f>
        <v>-5208.08</v>
      </c>
      <c r="AB571" s="3">
        <f>(SUMIF($U$4:$U571,CONCATENATE("Buy",$C571),$F$4:$F571)+SUMIF($U$4:$U571,CONCATENATE("ReinvDiv",$C571),$F$4:$F571)+SUMIF($U$4:$U571,CONCATENATE("StkSplit",$C571),$F$4:$F571)-SUMIF($U$4:$U571,CONCATENATE("Sell",$C571),$F$4:$F571))</f>
        <v>70</v>
      </c>
      <c r="AC571" s="3">
        <f>IF(B571="Sell",F571*INDEX(V:V,LOOKUP(2,1/(X$4:X570=CONCATENATE(C571,"_ACB")),ROW(V$4:V570))),0)</f>
        <v>0</v>
      </c>
    </row>
    <row r="572" spans="1:29" x14ac:dyDescent="0.25">
      <c r="A572" s="20">
        <v>39910</v>
      </c>
      <c r="B572" t="s">
        <v>42</v>
      </c>
      <c r="C572" t="s">
        <v>88</v>
      </c>
      <c r="D572" s="3">
        <v>33.43</v>
      </c>
      <c r="J572">
        <v>0.88</v>
      </c>
      <c r="M572" s="21">
        <f t="shared" si="72"/>
        <v>33.43</v>
      </c>
      <c r="N572" s="8">
        <f t="shared" si="70"/>
        <v>33.43</v>
      </c>
      <c r="O572" s="25">
        <f t="shared" si="76"/>
        <v>41884.469999999979</v>
      </c>
      <c r="P572" s="8">
        <f t="shared" si="73"/>
        <v>0</v>
      </c>
      <c r="Q572" s="4">
        <f>IF(AND(S572&gt;=[1]eRRSP_Rpt!$C$6,S572&lt;=[1]eRRSP_Rpt!$C$7),1,0)</f>
        <v>1</v>
      </c>
      <c r="R572" s="4"/>
      <c r="S572" s="4">
        <f t="shared" si="71"/>
        <v>2009</v>
      </c>
      <c r="T572" s="4"/>
      <c r="U572" s="4" t="str">
        <f t="shared" si="74"/>
        <v>DiviShares IBOXX (US$)</v>
      </c>
      <c r="V572" s="23">
        <f>IFERROR(IF(AND(AB572&gt;0,B572&lt;&gt;"Sell"),(AA572-SUMIF(C$4:C571,C572,AC$4:AC572))/AB572,0),"")</f>
        <v>-127.70865384615385</v>
      </c>
      <c r="W572" s="24" t="str">
        <f t="shared" si="69"/>
        <v/>
      </c>
      <c r="X572" s="25" t="str">
        <f t="shared" si="68"/>
        <v>iShares IBOXX (US$)_ACB</v>
      </c>
      <c r="Y572" s="10" t="str">
        <f>IF(S573&lt;&gt;eRRSP_Tx_Table[[#This Row],[Year]],SUMIFS($W$4:$W572,$S$4:$S572,eRRSP_Tx_Table[[#This Row],[Year]],$W$4:$W572,"&gt;0"),"")</f>
        <v/>
      </c>
      <c r="Z572" s="10" t="str">
        <f>IF(S573&lt;&gt;eRRSP_Tx_Table[[#This Row],[Year]],SUMIFS($W$4:$W572,$S$4:$S572,eRRSP_Tx_Table[[#This Row],[Year]],$W$4:$W572,"&lt;0"),"")</f>
        <v/>
      </c>
      <c r="AA572" s="3">
        <f>(SUMIF($U$4:$U572,CONCATENATE("Buy",$C572),$N$4:$N572)+SUMIF($U$4:$U572,CONCATENATE("ReinvDiv",$C572),$N$4:$N572))</f>
        <v>-6640.85</v>
      </c>
      <c r="AB572" s="3">
        <f>(SUMIF($U$4:$U572,CONCATENATE("Buy",$C572),$F$4:$F572)+SUMIF($U$4:$U572,CONCATENATE("ReinvDiv",$C572),$F$4:$F572)+SUMIF($U$4:$U572,CONCATENATE("StkSplit",$C572),$F$4:$F572)-SUMIF($U$4:$U572,CONCATENATE("Sell",$C572),$F$4:$F572))</f>
        <v>52</v>
      </c>
      <c r="AC572" s="3">
        <f>IF(B572="Sell",F572*INDEX(V:V,LOOKUP(2,1/(X$4:X571=CONCATENATE(C572,"_ACB")),ROW(V$4:V571))),0)</f>
        <v>0</v>
      </c>
    </row>
    <row r="573" spans="1:29" x14ac:dyDescent="0.25">
      <c r="A573" s="20">
        <v>39912</v>
      </c>
      <c r="B573" t="s">
        <v>42</v>
      </c>
      <c r="C573" t="s">
        <v>87</v>
      </c>
      <c r="D573" s="3">
        <v>49.96</v>
      </c>
      <c r="J573">
        <v>12.2</v>
      </c>
      <c r="M573" s="21">
        <f t="shared" si="72"/>
        <v>49.96</v>
      </c>
      <c r="N573" s="8">
        <f t="shared" si="70"/>
        <v>49.96</v>
      </c>
      <c r="O573" s="25">
        <f t="shared" si="76"/>
        <v>41934.429999999978</v>
      </c>
      <c r="P573" s="8">
        <f t="shared" si="73"/>
        <v>0</v>
      </c>
      <c r="Q573" s="4">
        <f>IF(AND(S573&gt;=[1]eRRSP_Rpt!$C$6,S573&lt;=[1]eRRSP_Rpt!$C$7),1,0)</f>
        <v>1</v>
      </c>
      <c r="R573" s="4"/>
      <c r="S573" s="4">
        <f t="shared" si="71"/>
        <v>2009</v>
      </c>
      <c r="T573" s="4"/>
      <c r="U573" s="4" t="str">
        <f t="shared" si="74"/>
        <v>DivAberdeen Asia Pacific Income Fund</v>
      </c>
      <c r="V573" s="23">
        <f>IFERROR(IF(AND(AB573&gt;0,B573&lt;&gt;"Sell"),(AA573-SUMIF(C$4:C572,C573,AC$4:AC573))/AB573,0),"")</f>
        <v>-7.4694020797227028</v>
      </c>
      <c r="W573" s="24" t="str">
        <f t="shared" si="69"/>
        <v/>
      </c>
      <c r="X573" s="25" t="str">
        <f t="shared" si="68"/>
        <v>Aberdeen Asia Pacific Income Fund_ACB</v>
      </c>
      <c r="Y573" s="10" t="str">
        <f>IF(S574&lt;&gt;eRRSP_Tx_Table[[#This Row],[Year]],SUMIFS($W$4:$W573,$S$4:$S573,eRRSP_Tx_Table[[#This Row],[Year]],$W$4:$W573,"&gt;0"),"")</f>
        <v/>
      </c>
      <c r="Z573" s="10" t="str">
        <f>IF(S574&lt;&gt;eRRSP_Tx_Table[[#This Row],[Year]],SUMIFS($W$4:$W573,$S$4:$S573,eRRSP_Tx_Table[[#This Row],[Year]],$W$4:$W573,"&lt;0"),"")</f>
        <v/>
      </c>
      <c r="AA573" s="3">
        <f>(SUMIF($U$4:$U573,CONCATENATE("Buy",$C573),$N$4:$N573)+SUMIF($U$4:$U573,CONCATENATE("ReinvDiv",$C573),$N$4:$N573))</f>
        <v>-8619.6899999999987</v>
      </c>
      <c r="AB573" s="3">
        <f>(SUMIF($U$4:$U573,CONCATENATE("Buy",$C573),$F$4:$F573)+SUMIF($U$4:$U573,CONCATENATE("ReinvDiv",$C573),$F$4:$F573)+SUMIF($U$4:$U573,CONCATENATE("StkSplit",$C573),$F$4:$F573)-SUMIF($U$4:$U573,CONCATENATE("Sell",$C573),$F$4:$F573))</f>
        <v>1154</v>
      </c>
      <c r="AC573" s="3">
        <f>IF(B573="Sell",F573*INDEX(V:V,LOOKUP(2,1/(X$4:X572=CONCATENATE(C573,"_ACB")),ROW(V$4:V572))),0)</f>
        <v>0</v>
      </c>
    </row>
    <row r="574" spans="1:29" x14ac:dyDescent="0.25">
      <c r="A574" s="20">
        <v>39919</v>
      </c>
      <c r="B574" t="s">
        <v>43</v>
      </c>
      <c r="C574" t="s">
        <v>36</v>
      </c>
      <c r="D574" s="3">
        <v>0.88</v>
      </c>
      <c r="J574">
        <v>28.39</v>
      </c>
      <c r="M574" s="21">
        <f t="shared" si="72"/>
        <v>0.88</v>
      </c>
      <c r="N574" s="8">
        <f t="shared" si="70"/>
        <v>0.88</v>
      </c>
      <c r="O574" s="25">
        <f t="shared" si="76"/>
        <v>41935.309999999976</v>
      </c>
      <c r="P574" s="8">
        <f t="shared" si="73"/>
        <v>0</v>
      </c>
      <c r="Q574" s="4">
        <f>IF(AND(S574&gt;=[1]eRRSP_Rpt!$C$6,S574&lt;=[1]eRRSP_Rpt!$C$7),1,0)</f>
        <v>1</v>
      </c>
      <c r="R574" s="4"/>
      <c r="S574" s="4">
        <f t="shared" si="71"/>
        <v>2009</v>
      </c>
      <c r="T574" s="4"/>
      <c r="U574" s="4" t="str">
        <f t="shared" si="74"/>
        <v>IntIncTDW</v>
      </c>
      <c r="V574" s="23">
        <f>IFERROR(IF(AND(AB574&gt;0,B574&lt;&gt;"Sell"),(AA574-SUMIF(C$4:C573,C574,AC$4:AC574))/AB574,0),"")</f>
        <v>0</v>
      </c>
      <c r="W574" s="24" t="str">
        <f t="shared" si="69"/>
        <v/>
      </c>
      <c r="X574" s="25" t="str">
        <f t="shared" si="68"/>
        <v/>
      </c>
      <c r="Y574" s="10" t="str">
        <f>IF(S575&lt;&gt;eRRSP_Tx_Table[[#This Row],[Year]],SUMIFS($W$4:$W574,$S$4:$S574,eRRSP_Tx_Table[[#This Row],[Year]],$W$4:$W574,"&gt;0"),"")</f>
        <v/>
      </c>
      <c r="Z574" s="10" t="str">
        <f>IF(S575&lt;&gt;eRRSP_Tx_Table[[#This Row],[Year]],SUMIFS($W$4:$W574,$S$4:$S574,eRRSP_Tx_Table[[#This Row],[Year]],$W$4:$W574,"&lt;0"),"")</f>
        <v/>
      </c>
      <c r="AA574" s="3">
        <f>(SUMIF($U$4:$U574,CONCATENATE("Buy",$C574),$N$4:$N574)+SUMIF($U$4:$U574,CONCATENATE("ReinvDiv",$C574),$N$4:$N574))</f>
        <v>0</v>
      </c>
      <c r="AB574" s="3">
        <f>(SUMIF($U$4:$U574,CONCATENATE("Buy",$C574),$F$4:$F574)+SUMIF($U$4:$U574,CONCATENATE("ReinvDiv",$C574),$F$4:$F574)+SUMIF($U$4:$U574,CONCATENATE("StkSplit",$C574),$F$4:$F574)-SUMIF($U$4:$U574,CONCATENATE("Sell",$C574),$F$4:$F574))</f>
        <v>0</v>
      </c>
      <c r="AC574" s="3">
        <f>IF(B574="Sell",F574*INDEX(V:V,LOOKUP(2,1/(X$4:X573=CONCATENATE(C574,"_ACB")),ROW(V$4:V573))),0)</f>
        <v>0</v>
      </c>
    </row>
    <row r="575" spans="1:29" x14ac:dyDescent="0.25">
      <c r="A575" s="20">
        <v>39933</v>
      </c>
      <c r="B575" t="s">
        <v>42</v>
      </c>
      <c r="C575" t="s">
        <v>45</v>
      </c>
      <c r="D575" s="3">
        <v>12.2</v>
      </c>
      <c r="J575">
        <v>47.23</v>
      </c>
      <c r="M575" s="21">
        <f t="shared" si="72"/>
        <v>12.2</v>
      </c>
      <c r="N575" s="8">
        <f t="shared" si="70"/>
        <v>12.2</v>
      </c>
      <c r="O575" s="25">
        <f t="shared" si="76"/>
        <v>41947.509999999973</v>
      </c>
      <c r="P575" s="8">
        <f t="shared" si="73"/>
        <v>0</v>
      </c>
      <c r="Q575" s="4">
        <f>IF(AND(S575&gt;=[1]eRRSP_Rpt!$C$6,S575&lt;=[1]eRRSP_Rpt!$C$7),1,0)</f>
        <v>1</v>
      </c>
      <c r="R575" s="4"/>
      <c r="S575" s="4">
        <f t="shared" si="71"/>
        <v>2009</v>
      </c>
      <c r="T575" s="4"/>
      <c r="U575" s="4" t="str">
        <f t="shared" si="74"/>
        <v>DivTD Bank</v>
      </c>
      <c r="V575" s="23">
        <f>IFERROR(IF(AND(AB575&gt;0,B575&lt;&gt;"Sell"),(AA575-SUMIF(C$4:C574,C575,AC$4:AC575))/AB575,0),"")</f>
        <v>-44.29</v>
      </c>
      <c r="W575" s="24" t="str">
        <f t="shared" si="69"/>
        <v/>
      </c>
      <c r="X575" s="25" t="str">
        <f t="shared" si="68"/>
        <v>TD Bank_ACB</v>
      </c>
      <c r="Y575" s="10" t="str">
        <f>IF(S576&lt;&gt;eRRSP_Tx_Table[[#This Row],[Year]],SUMIFS($W$4:$W575,$S$4:$S575,eRRSP_Tx_Table[[#This Row],[Year]],$W$4:$W575,"&gt;0"),"")</f>
        <v/>
      </c>
      <c r="Z575" s="10" t="str">
        <f>IF(S576&lt;&gt;eRRSP_Tx_Table[[#This Row],[Year]],SUMIFS($W$4:$W575,$S$4:$S575,eRRSP_Tx_Table[[#This Row],[Year]],$W$4:$W575,"&lt;0"),"")</f>
        <v/>
      </c>
      <c r="AA575" s="3">
        <f>(SUMIF($U$4:$U575,CONCATENATE("Buy",$C575),$N$4:$N575)+SUMIF($U$4:$U575,CONCATENATE("ReinvDiv",$C575),$N$4:$N575))</f>
        <v>-885.8</v>
      </c>
      <c r="AB575" s="3">
        <f>(SUMIF($U$4:$U575,CONCATENATE("Buy",$C575),$F$4:$F575)+SUMIF($U$4:$U575,CONCATENATE("ReinvDiv",$C575),$F$4:$F575)+SUMIF($U$4:$U575,CONCATENATE("StkSplit",$C575),$F$4:$F575)-SUMIF($U$4:$U575,CONCATENATE("Sell",$C575),$F$4:$F575))</f>
        <v>20</v>
      </c>
      <c r="AC575" s="3">
        <f>IF(B575="Sell",F575*INDEX(V:V,LOOKUP(2,1/(X$4:X574=CONCATENATE(C575,"_ACB")),ROW(V$4:V574))),0)</f>
        <v>0</v>
      </c>
    </row>
    <row r="576" spans="1:29" x14ac:dyDescent="0.25">
      <c r="A576" s="20">
        <v>39940</v>
      </c>
      <c r="B576" t="s">
        <v>42</v>
      </c>
      <c r="C576" t="s">
        <v>88</v>
      </c>
      <c r="D576" s="3">
        <v>28.39</v>
      </c>
      <c r="J576">
        <v>0.86</v>
      </c>
      <c r="M576" s="21">
        <f t="shared" si="72"/>
        <v>28.39</v>
      </c>
      <c r="N576" s="8">
        <f t="shared" si="70"/>
        <v>28.39</v>
      </c>
      <c r="O576" s="25">
        <f t="shared" si="76"/>
        <v>41975.899999999972</v>
      </c>
      <c r="P576" s="8">
        <f t="shared" si="73"/>
        <v>0</v>
      </c>
      <c r="Q576" s="4">
        <f>IF(AND(S576&gt;=[1]eRRSP_Rpt!$C$6,S576&lt;=[1]eRRSP_Rpt!$C$7),1,0)</f>
        <v>1</v>
      </c>
      <c r="R576" s="4"/>
      <c r="S576" s="4">
        <f t="shared" si="71"/>
        <v>2009</v>
      </c>
      <c r="T576" s="4"/>
      <c r="U576" s="4" t="str">
        <f t="shared" si="74"/>
        <v>DiviShares IBOXX (US$)</v>
      </c>
      <c r="V576" s="23">
        <f>IFERROR(IF(AND(AB576&gt;0,B576&lt;&gt;"Sell"),(AA576-SUMIF(C$4:C575,C576,AC$4:AC576))/AB576,0),"")</f>
        <v>-127.70865384615385</v>
      </c>
      <c r="W576" s="24" t="str">
        <f t="shared" si="69"/>
        <v/>
      </c>
      <c r="X576" s="25" t="str">
        <f t="shared" si="68"/>
        <v>iShares IBOXX (US$)_ACB</v>
      </c>
      <c r="Y576" s="10" t="str">
        <f>IF(S577&lt;&gt;eRRSP_Tx_Table[[#This Row],[Year]],SUMIFS($W$4:$W576,$S$4:$S576,eRRSP_Tx_Table[[#This Row],[Year]],$W$4:$W576,"&gt;0"),"")</f>
        <v/>
      </c>
      <c r="Z576" s="10" t="str">
        <f>IF(S577&lt;&gt;eRRSP_Tx_Table[[#This Row],[Year]],SUMIFS($W$4:$W576,$S$4:$S576,eRRSP_Tx_Table[[#This Row],[Year]],$W$4:$W576,"&lt;0"),"")</f>
        <v/>
      </c>
      <c r="AA576" s="3">
        <f>(SUMIF($U$4:$U576,CONCATENATE("Buy",$C576),$N$4:$N576)+SUMIF($U$4:$U576,CONCATENATE("ReinvDiv",$C576),$N$4:$N576))</f>
        <v>-6640.85</v>
      </c>
      <c r="AB576" s="3">
        <f>(SUMIF($U$4:$U576,CONCATENATE("Buy",$C576),$F$4:$F576)+SUMIF($U$4:$U576,CONCATENATE("ReinvDiv",$C576),$F$4:$F576)+SUMIF($U$4:$U576,CONCATENATE("StkSplit",$C576),$F$4:$F576)-SUMIF($U$4:$U576,CONCATENATE("Sell",$C576),$F$4:$F576))</f>
        <v>52</v>
      </c>
      <c r="AC576" s="3">
        <f>IF(B576="Sell",F576*INDEX(V:V,LOOKUP(2,1/(X$4:X575=CONCATENATE(C576,"_ACB")),ROW(V$4:V575))),0)</f>
        <v>0</v>
      </c>
    </row>
    <row r="577" spans="1:29" x14ac:dyDescent="0.25">
      <c r="A577" s="20">
        <v>39948</v>
      </c>
      <c r="B577" t="s">
        <v>42</v>
      </c>
      <c r="C577" t="s">
        <v>87</v>
      </c>
      <c r="D577" s="3">
        <v>47.23</v>
      </c>
      <c r="J577">
        <v>0.76</v>
      </c>
      <c r="M577" s="21">
        <f t="shared" si="72"/>
        <v>47.23</v>
      </c>
      <c r="N577" s="8">
        <f t="shared" si="70"/>
        <v>47.23</v>
      </c>
      <c r="O577" s="25">
        <f t="shared" si="76"/>
        <v>42023.129999999976</v>
      </c>
      <c r="P577" s="8">
        <f t="shared" si="73"/>
        <v>0</v>
      </c>
      <c r="Q577" s="4">
        <f>IF(AND(S577&gt;=[1]eRRSP_Rpt!$C$6,S577&lt;=[1]eRRSP_Rpt!$C$7),1,0)</f>
        <v>1</v>
      </c>
      <c r="R577" s="4"/>
      <c r="S577" s="4">
        <f t="shared" si="71"/>
        <v>2009</v>
      </c>
      <c r="T577" s="4"/>
      <c r="U577" s="4" t="str">
        <f t="shared" si="74"/>
        <v>DivAberdeen Asia Pacific Income Fund</v>
      </c>
      <c r="V577" s="23">
        <f>IFERROR(IF(AND(AB577&gt;0,B577&lt;&gt;"Sell"),(AA577-SUMIF(C$4:C576,C577,AC$4:AC577))/AB577,0),"")</f>
        <v>-7.4694020797227028</v>
      </c>
      <c r="W577" s="24" t="str">
        <f t="shared" si="69"/>
        <v/>
      </c>
      <c r="X577" s="25" t="str">
        <f t="shared" si="68"/>
        <v>Aberdeen Asia Pacific Income Fund_ACB</v>
      </c>
      <c r="Y577" s="10" t="str">
        <f>IF(S578&lt;&gt;eRRSP_Tx_Table[[#This Row],[Year]],SUMIFS($W$4:$W577,$S$4:$S577,eRRSP_Tx_Table[[#This Row],[Year]],$W$4:$W577,"&gt;0"),"")</f>
        <v/>
      </c>
      <c r="Z577" s="10" t="str">
        <f>IF(S578&lt;&gt;eRRSP_Tx_Table[[#This Row],[Year]],SUMIFS($W$4:$W577,$S$4:$S577,eRRSP_Tx_Table[[#This Row],[Year]],$W$4:$W577,"&lt;0"),"")</f>
        <v/>
      </c>
      <c r="AA577" s="3">
        <f>(SUMIF($U$4:$U577,CONCATENATE("Buy",$C577),$N$4:$N577)+SUMIF($U$4:$U577,CONCATENATE("ReinvDiv",$C577),$N$4:$N577))</f>
        <v>-8619.6899999999987</v>
      </c>
      <c r="AB577" s="3">
        <f>(SUMIF($U$4:$U577,CONCATENATE("Buy",$C577),$F$4:$F577)+SUMIF($U$4:$U577,CONCATENATE("ReinvDiv",$C577),$F$4:$F577)+SUMIF($U$4:$U577,CONCATENATE("StkSplit",$C577),$F$4:$F577)-SUMIF($U$4:$U577,CONCATENATE("Sell",$C577),$F$4:$F577))</f>
        <v>1154</v>
      </c>
      <c r="AC577" s="3">
        <f>IF(B577="Sell",F577*INDEX(V:V,LOOKUP(2,1/(X$4:X576=CONCATENATE(C577,"_ACB")),ROW(V$4:V576))),0)</f>
        <v>0</v>
      </c>
    </row>
    <row r="578" spans="1:29" x14ac:dyDescent="0.25">
      <c r="A578" s="20">
        <v>39949</v>
      </c>
      <c r="B578" t="s">
        <v>43</v>
      </c>
      <c r="C578" t="s">
        <v>36</v>
      </c>
      <c r="D578" s="3">
        <v>0.86</v>
      </c>
      <c r="J578">
        <v>27.01</v>
      </c>
      <c r="M578" s="21">
        <f t="shared" si="72"/>
        <v>0.86</v>
      </c>
      <c r="N578" s="8">
        <f t="shared" si="70"/>
        <v>0.86</v>
      </c>
      <c r="O578" s="25">
        <f t="shared" si="76"/>
        <v>42023.989999999976</v>
      </c>
      <c r="P578" s="8">
        <f t="shared" si="73"/>
        <v>0</v>
      </c>
      <c r="Q578" s="4">
        <f>IF(AND(S578&gt;=[1]eRRSP_Rpt!$C$6,S578&lt;=[1]eRRSP_Rpt!$C$7),1,0)</f>
        <v>1</v>
      </c>
      <c r="R578" s="4"/>
      <c r="S578" s="4">
        <f t="shared" si="71"/>
        <v>2009</v>
      </c>
      <c r="T578" s="4"/>
      <c r="U578" s="4" t="str">
        <f t="shared" si="74"/>
        <v>IntIncTDW</v>
      </c>
      <c r="V578" s="23">
        <f>IFERROR(IF(AND(AB578&gt;0,B578&lt;&gt;"Sell"),(AA578-SUMIF(C$4:C577,C578,AC$4:AC578))/AB578,0),"")</f>
        <v>0</v>
      </c>
      <c r="W578" s="24" t="str">
        <f t="shared" si="69"/>
        <v/>
      </c>
      <c r="X578" s="25" t="str">
        <f t="shared" si="68"/>
        <v/>
      </c>
      <c r="Y578" s="10" t="str">
        <f>IF(S579&lt;&gt;eRRSP_Tx_Table[[#This Row],[Year]],SUMIFS($W$4:$W578,$S$4:$S578,eRRSP_Tx_Table[[#This Row],[Year]],$W$4:$W578,"&gt;0"),"")</f>
        <v/>
      </c>
      <c r="Z578" s="10" t="str">
        <f>IF(S579&lt;&gt;eRRSP_Tx_Table[[#This Row],[Year]],SUMIFS($W$4:$W578,$S$4:$S578,eRRSP_Tx_Table[[#This Row],[Year]],$W$4:$W578,"&lt;0"),"")</f>
        <v/>
      </c>
      <c r="AA578" s="3">
        <f>(SUMIF($U$4:$U578,CONCATENATE("Buy",$C578),$N$4:$N578)+SUMIF($U$4:$U578,CONCATENATE("ReinvDiv",$C578),$N$4:$N578))</f>
        <v>0</v>
      </c>
      <c r="AB578" s="3">
        <f>(SUMIF($U$4:$U578,CONCATENATE("Buy",$C578),$F$4:$F578)+SUMIF($U$4:$U578,CONCATENATE("ReinvDiv",$C578),$F$4:$F578)+SUMIF($U$4:$U578,CONCATENATE("StkSplit",$C578),$F$4:$F578)-SUMIF($U$4:$U578,CONCATENATE("Sell",$C578),$F$4:$F578))</f>
        <v>0</v>
      </c>
      <c r="AC578" s="3">
        <f>IF(B578="Sell",F578*INDEX(V:V,LOOKUP(2,1/(X$4:X577=CONCATENATE(C578,"_ACB")),ROW(V$4:V577))),0)</f>
        <v>0</v>
      </c>
    </row>
    <row r="579" spans="1:29" x14ac:dyDescent="0.25">
      <c r="A579" s="20">
        <v>39964</v>
      </c>
      <c r="B579" t="s">
        <v>42</v>
      </c>
      <c r="C579" t="s">
        <v>47</v>
      </c>
      <c r="D579" s="3">
        <v>0.76</v>
      </c>
      <c r="J579">
        <v>27.82</v>
      </c>
      <c r="M579" s="21">
        <f t="shared" si="72"/>
        <v>0.76</v>
      </c>
      <c r="N579" s="8">
        <f t="shared" si="70"/>
        <v>0.76</v>
      </c>
      <c r="O579" s="25">
        <f t="shared" si="76"/>
        <v>42024.749999999978</v>
      </c>
      <c r="P579" s="8">
        <f t="shared" si="73"/>
        <v>0</v>
      </c>
      <c r="Q579" s="4">
        <f>IF(AND(S579&gt;=[1]eRRSP_Rpt!$C$6,S579&lt;=[1]eRRSP_Rpt!$C$7),1,0)</f>
        <v>1</v>
      </c>
      <c r="R579" s="4"/>
      <c r="S579" s="4">
        <f t="shared" si="71"/>
        <v>2009</v>
      </c>
      <c r="T579" s="4"/>
      <c r="U579" s="4" t="str">
        <f t="shared" si="74"/>
        <v>DivBombardier</v>
      </c>
      <c r="V579" s="23">
        <f>IFERROR(IF(AND(AB579&gt;0,B579&lt;&gt;"Sell"),(AA579-SUMIF(C$4:C578,C579,AC$4:AC579))/AB579,0),"")</f>
        <v>-23.216666666666665</v>
      </c>
      <c r="W579" s="24" t="str">
        <f t="shared" si="69"/>
        <v/>
      </c>
      <c r="X579" s="25" t="str">
        <f t="shared" si="68"/>
        <v>Bombardier_ACB</v>
      </c>
      <c r="Y579" s="10" t="str">
        <f>IF(S580&lt;&gt;eRRSP_Tx_Table[[#This Row],[Year]],SUMIFS($W$4:$W579,$S$4:$S579,eRRSP_Tx_Table[[#This Row],[Year]],$W$4:$W579,"&gt;0"),"")</f>
        <v/>
      </c>
      <c r="Z579" s="10" t="str">
        <f>IF(S580&lt;&gt;eRRSP_Tx_Table[[#This Row],[Year]],SUMIFS($W$4:$W579,$S$4:$S579,eRRSP_Tx_Table[[#This Row],[Year]],$W$4:$W579,"&lt;0"),"")</f>
        <v/>
      </c>
      <c r="AA579" s="3">
        <f>(SUMIF($U$4:$U579,CONCATENATE("Buy",$C579),$N$4:$N579)+SUMIF($U$4:$U579,CONCATENATE("ReinvDiv",$C579),$N$4:$N579))</f>
        <v>-696.5</v>
      </c>
      <c r="AB579" s="3">
        <f>(SUMIF($U$4:$U579,CONCATENATE("Buy",$C579),$F$4:$F579)+SUMIF($U$4:$U579,CONCATENATE("ReinvDiv",$C579),$F$4:$F579)+SUMIF($U$4:$U579,CONCATENATE("StkSplit",$C579),$F$4:$F579)-SUMIF($U$4:$U579,CONCATENATE("Sell",$C579),$F$4:$F579))</f>
        <v>30</v>
      </c>
      <c r="AC579" s="3">
        <f>IF(B579="Sell",F579*INDEX(V:V,LOOKUP(2,1/(X$4:X578=CONCATENATE(C579,"_ACB")),ROW(V$4:V578))),0)</f>
        <v>0</v>
      </c>
    </row>
    <row r="580" spans="1:29" x14ac:dyDescent="0.25">
      <c r="A580" s="20">
        <v>39965</v>
      </c>
      <c r="B580" t="s">
        <v>42</v>
      </c>
      <c r="C580" t="s">
        <v>33</v>
      </c>
      <c r="D580" s="3">
        <v>27.01</v>
      </c>
      <c r="J580">
        <v>44.57</v>
      </c>
      <c r="M580" s="21">
        <f t="shared" si="72"/>
        <v>27.01</v>
      </c>
      <c r="N580" s="8">
        <f t="shared" si="70"/>
        <v>27.01</v>
      </c>
      <c r="O580" s="25">
        <f t="shared" si="76"/>
        <v>42051.75999999998</v>
      </c>
      <c r="P580" s="8">
        <f t="shared" si="73"/>
        <v>0</v>
      </c>
      <c r="Q580" s="4">
        <f>IF(AND(S580&gt;=[1]eRRSP_Rpt!$C$6,S580&lt;=[1]eRRSP_Rpt!$C$7),1,0)</f>
        <v>1</v>
      </c>
      <c r="R580" s="4"/>
      <c r="S580" s="4">
        <f t="shared" si="71"/>
        <v>2009</v>
      </c>
      <c r="T580" s="4"/>
      <c r="U580" s="4" t="str">
        <f t="shared" si="74"/>
        <v>DivEnbridge</v>
      </c>
      <c r="V580" s="23">
        <f>IFERROR(IF(AND(AB580&gt;0,B580&lt;&gt;"Sell"),(AA580-SUMIF(C$4:C579,C580,AC$4:AC580))/AB580,0),"")</f>
        <v>-12.859027777777776</v>
      </c>
      <c r="W580" s="24" t="str">
        <f t="shared" si="69"/>
        <v/>
      </c>
      <c r="X580" s="25" t="str">
        <f t="shared" ref="X580:X643" si="77">IF(V580,CONCATENATE(C580,"_ACB"),"")</f>
        <v>Enbridge_ACB</v>
      </c>
      <c r="Y580" s="10" t="str">
        <f>IF(S581&lt;&gt;eRRSP_Tx_Table[[#This Row],[Year]],SUMIFS($W$4:$W580,$S$4:$S580,eRRSP_Tx_Table[[#This Row],[Year]],$W$4:$W580,"&gt;0"),"")</f>
        <v/>
      </c>
      <c r="Z580" s="10" t="str">
        <f>IF(S581&lt;&gt;eRRSP_Tx_Table[[#This Row],[Year]],SUMIFS($W$4:$W580,$S$4:$S580,eRRSP_Tx_Table[[#This Row],[Year]],$W$4:$W580,"&lt;0"),"")</f>
        <v/>
      </c>
      <c r="AA580" s="3">
        <f>(SUMIF($U$4:$U580,CONCATENATE("Buy",$C580),$N$4:$N580)+SUMIF($U$4:$U580,CONCATENATE("ReinvDiv",$C580),$N$4:$N580))</f>
        <v>-1851.7</v>
      </c>
      <c r="AB580" s="3">
        <f>(SUMIF($U$4:$U580,CONCATENATE("Buy",$C580),$F$4:$F580)+SUMIF($U$4:$U580,CONCATENATE("ReinvDiv",$C580),$F$4:$F580)+SUMIF($U$4:$U580,CONCATENATE("StkSplit",$C580),$F$4:$F580)-SUMIF($U$4:$U580,CONCATENATE("Sell",$C580),$F$4:$F580))</f>
        <v>73</v>
      </c>
      <c r="AC580" s="3">
        <f>IF(B580="Sell",F580*INDEX(V:V,LOOKUP(2,1/(X$4:X579=CONCATENATE(C580,"_ACB")),ROW(V$4:V579))),0)</f>
        <v>0</v>
      </c>
    </row>
    <row r="581" spans="1:29" x14ac:dyDescent="0.25">
      <c r="A581" s="20">
        <v>39969</v>
      </c>
      <c r="B581" t="s">
        <v>42</v>
      </c>
      <c r="C581" t="s">
        <v>88</v>
      </c>
      <c r="D581" s="3">
        <v>27.82</v>
      </c>
      <c r="J581">
        <v>0.89</v>
      </c>
      <c r="M581" s="21">
        <f t="shared" si="72"/>
        <v>27.82</v>
      </c>
      <c r="N581" s="8">
        <f t="shared" si="70"/>
        <v>27.82</v>
      </c>
      <c r="O581" s="25">
        <f t="shared" si="76"/>
        <v>42079.57999999998</v>
      </c>
      <c r="P581" s="8">
        <f t="shared" si="73"/>
        <v>0</v>
      </c>
      <c r="Q581" s="4">
        <f>IF(AND(S581&gt;=[1]eRRSP_Rpt!$C$6,S581&lt;=[1]eRRSP_Rpt!$C$7),1,0)</f>
        <v>1</v>
      </c>
      <c r="R581" s="4"/>
      <c r="S581" s="4">
        <f t="shared" si="71"/>
        <v>2009</v>
      </c>
      <c r="T581" s="4"/>
      <c r="U581" s="4" t="str">
        <f t="shared" si="74"/>
        <v>DiviShares IBOXX (US$)</v>
      </c>
      <c r="V581" s="23">
        <f>IFERROR(IF(AND(AB581&gt;0,B581&lt;&gt;"Sell"),(AA581-SUMIF(C$4:C580,C581,AC$4:AC581))/AB581,0),"")</f>
        <v>-127.70865384615385</v>
      </c>
      <c r="W581" s="24" t="str">
        <f t="shared" ref="W581:W644" si="78">IF(B581="Sell",N581+AC581,"")</f>
        <v/>
      </c>
      <c r="X581" s="25" t="str">
        <f t="shared" si="77"/>
        <v>iShares IBOXX (US$)_ACB</v>
      </c>
      <c r="Y581" s="10" t="str">
        <f>IF(S582&lt;&gt;eRRSP_Tx_Table[[#This Row],[Year]],SUMIFS($W$4:$W581,$S$4:$S581,eRRSP_Tx_Table[[#This Row],[Year]],$W$4:$W581,"&gt;0"),"")</f>
        <v/>
      </c>
      <c r="Z581" s="10" t="str">
        <f>IF(S582&lt;&gt;eRRSP_Tx_Table[[#This Row],[Year]],SUMIFS($W$4:$W581,$S$4:$S581,eRRSP_Tx_Table[[#This Row],[Year]],$W$4:$W581,"&lt;0"),"")</f>
        <v/>
      </c>
      <c r="AA581" s="3">
        <f>(SUMIF($U$4:$U581,CONCATENATE("Buy",$C581),$N$4:$N581)+SUMIF($U$4:$U581,CONCATENATE("ReinvDiv",$C581),$N$4:$N581))</f>
        <v>-6640.85</v>
      </c>
      <c r="AB581" s="3">
        <f>(SUMIF($U$4:$U581,CONCATENATE("Buy",$C581),$F$4:$F581)+SUMIF($U$4:$U581,CONCATENATE("ReinvDiv",$C581),$F$4:$F581)+SUMIF($U$4:$U581,CONCATENATE("StkSplit",$C581),$F$4:$F581)-SUMIF($U$4:$U581,CONCATENATE("Sell",$C581),$F$4:$F581))</f>
        <v>52</v>
      </c>
      <c r="AC581" s="3">
        <f>IF(B581="Sell",F581*INDEX(V:V,LOOKUP(2,1/(X$4:X580=CONCATENATE(C581,"_ACB")),ROW(V$4:V580))),0)</f>
        <v>0</v>
      </c>
    </row>
    <row r="582" spans="1:29" x14ac:dyDescent="0.25">
      <c r="A582" s="20">
        <v>39976</v>
      </c>
      <c r="B582" t="s">
        <v>42</v>
      </c>
      <c r="C582" t="s">
        <v>87</v>
      </c>
      <c r="D582" s="3">
        <v>44.57</v>
      </c>
      <c r="J582">
        <v>63.6</v>
      </c>
      <c r="M582" s="21">
        <f t="shared" si="72"/>
        <v>44.57</v>
      </c>
      <c r="N582" s="8">
        <f t="shared" si="70"/>
        <v>44.57</v>
      </c>
      <c r="O582" s="25">
        <f t="shared" si="76"/>
        <v>42124.14999999998</v>
      </c>
      <c r="P582" s="8">
        <f t="shared" si="73"/>
        <v>0</v>
      </c>
      <c r="Q582" s="4">
        <f>IF(AND(S582&gt;=[1]eRRSP_Rpt!$C$6,S582&lt;=[1]eRRSP_Rpt!$C$7),1,0)</f>
        <v>1</v>
      </c>
      <c r="R582" s="4"/>
      <c r="S582" s="4">
        <f t="shared" si="71"/>
        <v>2009</v>
      </c>
      <c r="T582" s="4"/>
      <c r="U582" s="4" t="str">
        <f t="shared" si="74"/>
        <v>DivAberdeen Asia Pacific Income Fund</v>
      </c>
      <c r="V582" s="23">
        <f>IFERROR(IF(AND(AB582&gt;0,B582&lt;&gt;"Sell"),(AA582-SUMIF(C$4:C581,C582,AC$4:AC582))/AB582,0),"")</f>
        <v>-7.4694020797227028</v>
      </c>
      <c r="W582" s="24" t="str">
        <f t="shared" si="78"/>
        <v/>
      </c>
      <c r="X582" s="25" t="str">
        <f t="shared" si="77"/>
        <v>Aberdeen Asia Pacific Income Fund_ACB</v>
      </c>
      <c r="Y582" s="10" t="str">
        <f>IF(S583&lt;&gt;eRRSP_Tx_Table[[#This Row],[Year]],SUMIFS($W$4:$W582,$S$4:$S582,eRRSP_Tx_Table[[#This Row],[Year]],$W$4:$W582,"&gt;0"),"")</f>
        <v/>
      </c>
      <c r="Z582" s="10" t="str">
        <f>IF(S583&lt;&gt;eRRSP_Tx_Table[[#This Row],[Year]],SUMIFS($W$4:$W582,$S$4:$S582,eRRSP_Tx_Table[[#This Row],[Year]],$W$4:$W582,"&lt;0"),"")</f>
        <v/>
      </c>
      <c r="AA582" s="3">
        <f>(SUMIF($U$4:$U582,CONCATENATE("Buy",$C582),$N$4:$N582)+SUMIF($U$4:$U582,CONCATENATE("ReinvDiv",$C582),$N$4:$N582))</f>
        <v>-8619.6899999999987</v>
      </c>
      <c r="AB582" s="3">
        <f>(SUMIF($U$4:$U582,CONCATENATE("Buy",$C582),$F$4:$F582)+SUMIF($U$4:$U582,CONCATENATE("ReinvDiv",$C582),$F$4:$F582)+SUMIF($U$4:$U582,CONCATENATE("StkSplit",$C582),$F$4:$F582)-SUMIF($U$4:$U582,CONCATENATE("Sell",$C582),$F$4:$F582))</f>
        <v>1154</v>
      </c>
      <c r="AC582" s="3">
        <f>IF(B582="Sell",F582*INDEX(V:V,LOOKUP(2,1/(X$4:X581=CONCATENATE(C582,"_ACB")),ROW(V$4:V581))),0)</f>
        <v>0</v>
      </c>
    </row>
    <row r="583" spans="1:29" x14ac:dyDescent="0.25">
      <c r="A583" s="20">
        <v>39980</v>
      </c>
      <c r="B583" t="s">
        <v>43</v>
      </c>
      <c r="C583" t="s">
        <v>36</v>
      </c>
      <c r="D583" s="3">
        <v>0.89</v>
      </c>
      <c r="J583">
        <v>76.44</v>
      </c>
      <c r="M583" s="21">
        <f t="shared" si="72"/>
        <v>0.89</v>
      </c>
      <c r="N583" s="8">
        <f t="shared" si="70"/>
        <v>0.89</v>
      </c>
      <c r="O583" s="25">
        <f t="shared" si="76"/>
        <v>42125.039999999979</v>
      </c>
      <c r="P583" s="8">
        <f t="shared" si="73"/>
        <v>0</v>
      </c>
      <c r="Q583" s="4">
        <f>IF(AND(S583&gt;=[1]eRRSP_Rpt!$C$6,S583&lt;=[1]eRRSP_Rpt!$C$7),1,0)</f>
        <v>1</v>
      </c>
      <c r="R583" s="4"/>
      <c r="S583" s="4">
        <f t="shared" si="71"/>
        <v>2009</v>
      </c>
      <c r="T583" s="4"/>
      <c r="U583" s="4" t="str">
        <f t="shared" si="74"/>
        <v>IntIncTDW</v>
      </c>
      <c r="V583" s="23">
        <f>IFERROR(IF(AND(AB583&gt;0,B583&lt;&gt;"Sell"),(AA583-SUMIF(C$4:C582,C583,AC$4:AC583))/AB583,0),"")</f>
        <v>0</v>
      </c>
      <c r="W583" s="24" t="str">
        <f t="shared" si="78"/>
        <v/>
      </c>
      <c r="X583" s="25" t="str">
        <f t="shared" si="77"/>
        <v/>
      </c>
      <c r="Y583" s="10" t="str">
        <f>IF(S584&lt;&gt;eRRSP_Tx_Table[[#This Row],[Year]],SUMIFS($W$4:$W583,$S$4:$S583,eRRSP_Tx_Table[[#This Row],[Year]],$W$4:$W583,"&gt;0"),"")</f>
        <v/>
      </c>
      <c r="Z583" s="10" t="str">
        <f>IF(S584&lt;&gt;eRRSP_Tx_Table[[#This Row],[Year]],SUMIFS($W$4:$W583,$S$4:$S583,eRRSP_Tx_Table[[#This Row],[Year]],$W$4:$W583,"&lt;0"),"")</f>
        <v/>
      </c>
      <c r="AA583" s="3">
        <f>(SUMIF($U$4:$U583,CONCATENATE("Buy",$C583),$N$4:$N583)+SUMIF($U$4:$U583,CONCATENATE("ReinvDiv",$C583),$N$4:$N583))</f>
        <v>0</v>
      </c>
      <c r="AB583" s="3">
        <f>(SUMIF($U$4:$U583,CONCATENATE("Buy",$C583),$F$4:$F583)+SUMIF($U$4:$U583,CONCATENATE("ReinvDiv",$C583),$F$4:$F583)+SUMIF($U$4:$U583,CONCATENATE("StkSplit",$C583),$F$4:$F583)-SUMIF($U$4:$U583,CONCATENATE("Sell",$C583),$F$4:$F583))</f>
        <v>0</v>
      </c>
      <c r="AC583" s="3">
        <f>IF(B583="Sell",F583*INDEX(V:V,LOOKUP(2,1/(X$4:X582=CONCATENATE(C583,"_ACB")),ROW(V$4:V582))),0)</f>
        <v>0</v>
      </c>
    </row>
    <row r="584" spans="1:29" x14ac:dyDescent="0.25">
      <c r="A584" s="20">
        <v>39990</v>
      </c>
      <c r="B584" t="s">
        <v>42</v>
      </c>
      <c r="C584" t="s">
        <v>84</v>
      </c>
      <c r="D584" s="3">
        <v>63.6</v>
      </c>
      <c r="J584">
        <v>24.17</v>
      </c>
      <c r="M584" s="21">
        <f t="shared" si="72"/>
        <v>63.6</v>
      </c>
      <c r="N584" s="8">
        <f t="shared" si="70"/>
        <v>63.6</v>
      </c>
      <c r="O584" s="25">
        <f t="shared" si="76"/>
        <v>42188.639999999978</v>
      </c>
      <c r="P584" s="8">
        <f t="shared" si="73"/>
        <v>0</v>
      </c>
      <c r="Q584" s="4">
        <f>IF(AND(S584&gt;=[1]eRRSP_Rpt!$C$6,S584&lt;=[1]eRRSP_Rpt!$C$7),1,0)</f>
        <v>1</v>
      </c>
      <c r="R584" s="4"/>
      <c r="S584" s="4">
        <f t="shared" si="71"/>
        <v>2009</v>
      </c>
      <c r="T584" s="4"/>
      <c r="U584" s="4" t="str">
        <f t="shared" si="74"/>
        <v>DiviShares S&amp;P Europe 350 (US$)</v>
      </c>
      <c r="V584" s="23">
        <f>IFERROR(IF(AND(AB584&gt;0,B584&lt;&gt;"Sell"),(AA584-SUMIF(C$4:C583,C584,AC$4:AC584))/AB584,0),"")</f>
        <v>-54.267692307692307</v>
      </c>
      <c r="W584" s="24" t="str">
        <f t="shared" si="78"/>
        <v/>
      </c>
      <c r="X584" s="25" t="str">
        <f t="shared" si="77"/>
        <v>iShares S&amp;P Europe 350 (US$)_ACB</v>
      </c>
      <c r="Y584" s="10" t="str">
        <f>IF(S585&lt;&gt;eRRSP_Tx_Table[[#This Row],[Year]],SUMIFS($W$4:$W584,$S$4:$S584,eRRSP_Tx_Table[[#This Row],[Year]],$W$4:$W584,"&gt;0"),"")</f>
        <v/>
      </c>
      <c r="Z584" s="10" t="str">
        <f>IF(S585&lt;&gt;eRRSP_Tx_Table[[#This Row],[Year]],SUMIFS($W$4:$W584,$S$4:$S584,eRRSP_Tx_Table[[#This Row],[Year]],$W$4:$W584,"&lt;0"),"")</f>
        <v/>
      </c>
      <c r="AA584" s="3">
        <f>(SUMIF($U$4:$U584,CONCATENATE("Buy",$C584),$N$4:$N584)+SUMIF($U$4:$U584,CONCATENATE("ReinvDiv",$C584),$N$4:$N584))</f>
        <v>-4232.88</v>
      </c>
      <c r="AB584" s="3">
        <f>(SUMIF($U$4:$U584,CONCATENATE("Buy",$C584),$F$4:$F584)+SUMIF($U$4:$U584,CONCATENATE("ReinvDiv",$C584),$F$4:$F584)+SUMIF($U$4:$U584,CONCATENATE("StkSplit",$C584),$F$4:$F584)-SUMIF($U$4:$U584,CONCATENATE("Sell",$C584),$F$4:$F584))</f>
        <v>78</v>
      </c>
      <c r="AC584" s="3">
        <f>IF(B584="Sell",F584*INDEX(V:V,LOOKUP(2,1/(X$4:X583=CONCATENATE(C584,"_ACB")),ROW(V$4:V583))),0)</f>
        <v>0</v>
      </c>
    </row>
    <row r="585" spans="1:29" x14ac:dyDescent="0.25">
      <c r="A585" s="20">
        <v>39990</v>
      </c>
      <c r="B585" t="s">
        <v>42</v>
      </c>
      <c r="C585" t="s">
        <v>82</v>
      </c>
      <c r="D585" s="3">
        <v>76.44</v>
      </c>
      <c r="J585">
        <v>38.14</v>
      </c>
      <c r="M585" s="21">
        <f t="shared" si="72"/>
        <v>76.44</v>
      </c>
      <c r="N585" s="8">
        <f t="shared" si="70"/>
        <v>76.44</v>
      </c>
      <c r="O585" s="25">
        <f t="shared" si="76"/>
        <v>42265.07999999998</v>
      </c>
      <c r="P585" s="8">
        <f t="shared" si="73"/>
        <v>0</v>
      </c>
      <c r="Q585" s="4">
        <f>IF(AND(S585&gt;=[1]eRRSP_Rpt!$C$6,S585&lt;=[1]eRRSP_Rpt!$C$7),1,0)</f>
        <v>1</v>
      </c>
      <c r="R585" s="4"/>
      <c r="S585" s="4">
        <f t="shared" si="71"/>
        <v>2009</v>
      </c>
      <c r="T585" s="4"/>
      <c r="U585" s="4" t="str">
        <f t="shared" si="74"/>
        <v>DiviShares S&amp;P Latin America (US$)</v>
      </c>
      <c r="V585" s="23">
        <f>IFERROR(IF(AND(AB585&gt;0,B585&lt;&gt;"Sell"),(AA585-SUMIF(C$4:C584,C585,AC$4:AC585))/AB585,0),"")</f>
        <v>-32.47767441860465</v>
      </c>
      <c r="W585" s="24" t="str">
        <f t="shared" si="78"/>
        <v/>
      </c>
      <c r="X585" s="25" t="str">
        <f t="shared" si="77"/>
        <v>iShares S&amp;P Latin America (US$)_ACB</v>
      </c>
      <c r="Y585" s="10" t="str">
        <f>IF(S586&lt;&gt;eRRSP_Tx_Table[[#This Row],[Year]],SUMIFS($W$4:$W585,$S$4:$S585,eRRSP_Tx_Table[[#This Row],[Year]],$W$4:$W585,"&gt;0"),"")</f>
        <v/>
      </c>
      <c r="Z585" s="10" t="str">
        <f>IF(S586&lt;&gt;eRRSP_Tx_Table[[#This Row],[Year]],SUMIFS($W$4:$W585,$S$4:$S585,eRRSP_Tx_Table[[#This Row],[Year]],$W$4:$W585,"&lt;0"),"")</f>
        <v/>
      </c>
      <c r="AA585" s="3">
        <f>(SUMIF($U$4:$U585,CONCATENATE("Buy",$C585),$N$4:$N585)+SUMIF($U$4:$U585,CONCATENATE("ReinvDiv",$C585),$N$4:$N585))</f>
        <v>-6982.7</v>
      </c>
      <c r="AB585" s="3">
        <f>(SUMIF($U$4:$U585,CONCATENATE("Buy",$C585),$F$4:$F585)+SUMIF($U$4:$U585,CONCATENATE("ReinvDiv",$C585),$F$4:$F585)+SUMIF($U$4:$U585,CONCATENATE("StkSplit",$C585),$F$4:$F585)-SUMIF($U$4:$U585,CONCATENATE("Sell",$C585),$F$4:$F585))</f>
        <v>215</v>
      </c>
      <c r="AC585" s="3">
        <f>IF(B585="Sell",F585*INDEX(V:V,LOOKUP(2,1/(X$4:X584=CONCATENATE(C585,"_ACB")),ROW(V$4:V584))),0)</f>
        <v>0</v>
      </c>
    </row>
    <row r="586" spans="1:29" x14ac:dyDescent="0.25">
      <c r="A586" s="20">
        <v>39993</v>
      </c>
      <c r="B586" t="s">
        <v>42</v>
      </c>
      <c r="C586" t="s">
        <v>81</v>
      </c>
      <c r="D586" s="3">
        <v>24.17</v>
      </c>
      <c r="J586">
        <v>11.04</v>
      </c>
      <c r="M586" s="21">
        <f t="shared" si="72"/>
        <v>24.17</v>
      </c>
      <c r="N586" s="8">
        <f t="shared" ref="N586:N649" si="79">IF(OR(B586="Buy",B586="ReinvDiv"),-M586-G586,M586-G586)</f>
        <v>24.17</v>
      </c>
      <c r="O586" s="25">
        <f t="shared" si="76"/>
        <v>42289.249999999978</v>
      </c>
      <c r="P586" s="8">
        <f t="shared" si="73"/>
        <v>0</v>
      </c>
      <c r="Q586" s="4">
        <f>IF(AND(S586&gt;=[1]eRRSP_Rpt!$C$6,S586&lt;=[1]eRRSP_Rpt!$C$7),1,0)</f>
        <v>1</v>
      </c>
      <c r="R586" s="4"/>
      <c r="S586" s="4">
        <f t="shared" si="71"/>
        <v>2009</v>
      </c>
      <c r="T586" s="4"/>
      <c r="U586" s="4" t="str">
        <f t="shared" si="74"/>
        <v>DiviShares MSCI Japan (US$)</v>
      </c>
      <c r="V586" s="23">
        <f>IFERROR(IF(AND(AB586&gt;0,B586&lt;&gt;"Sell"),(AA586-SUMIF(C$4:C585,C586,AC$4:AC586))/AB586,0),"")</f>
        <v>-16.497404761904761</v>
      </c>
      <c r="W586" s="24" t="str">
        <f t="shared" si="78"/>
        <v/>
      </c>
      <c r="X586" s="25" t="str">
        <f t="shared" si="77"/>
        <v>iShares MSCI Japan (US$)_ACB</v>
      </c>
      <c r="Y586" s="10" t="str">
        <f>IF(S587&lt;&gt;eRRSP_Tx_Table[[#This Row],[Year]],SUMIFS($W$4:$W586,$S$4:$S586,eRRSP_Tx_Table[[#This Row],[Year]],$W$4:$W586,"&gt;0"),"")</f>
        <v/>
      </c>
      <c r="Z586" s="10" t="str">
        <f>IF(S587&lt;&gt;eRRSP_Tx_Table[[#This Row],[Year]],SUMIFS($W$4:$W586,$S$4:$S586,eRRSP_Tx_Table[[#This Row],[Year]],$W$4:$W586,"&lt;0"),"")</f>
        <v/>
      </c>
      <c r="AA586" s="3">
        <f>(SUMIF($U$4:$U586,CONCATENATE("Buy",$C586),$N$4:$N586)+SUMIF($U$4:$U586,CONCATENATE("ReinvDiv",$C586),$N$4:$N586))</f>
        <v>-6928.91</v>
      </c>
      <c r="AB586" s="3">
        <f>(SUMIF($U$4:$U586,CONCATENATE("Buy",$C586),$F$4:$F586)+SUMIF($U$4:$U586,CONCATENATE("ReinvDiv",$C586),$F$4:$F586)+SUMIF($U$4:$U586,CONCATENATE("StkSplit",$C586),$F$4:$F586)-SUMIF($U$4:$U586,CONCATENATE("Sell",$C586),$F$4:$F586))</f>
        <v>420</v>
      </c>
      <c r="AC586" s="3">
        <f>IF(B586="Sell",F586*INDEX(V:V,LOOKUP(2,1/(X$4:X585=CONCATENATE(C586,"_ACB")),ROW(V$4:V585))),0)</f>
        <v>0</v>
      </c>
    </row>
    <row r="587" spans="1:29" x14ac:dyDescent="0.25">
      <c r="A587" s="20">
        <v>39993</v>
      </c>
      <c r="B587" t="s">
        <v>42</v>
      </c>
      <c r="C587" t="s">
        <v>89</v>
      </c>
      <c r="D587" s="3">
        <v>38.14</v>
      </c>
      <c r="J587">
        <v>118.32</v>
      </c>
      <c r="M587" s="21">
        <f t="shared" si="72"/>
        <v>38.14</v>
      </c>
      <c r="N587" s="8">
        <f t="shared" si="79"/>
        <v>38.14</v>
      </c>
      <c r="O587" s="25">
        <f t="shared" si="76"/>
        <v>42327.389999999978</v>
      </c>
      <c r="P587" s="8">
        <f t="shared" si="73"/>
        <v>0</v>
      </c>
      <c r="Q587" s="4">
        <f>IF(AND(S587&gt;=[1]eRRSP_Rpt!$C$6,S587&lt;=[1]eRRSP_Rpt!$C$7),1,0)</f>
        <v>1</v>
      </c>
      <c r="R587" s="4"/>
      <c r="S587" s="4">
        <f t="shared" si="71"/>
        <v>2009</v>
      </c>
      <c r="T587" s="4"/>
      <c r="U587" s="4" t="str">
        <f t="shared" si="74"/>
        <v>DiviShares MSCI EAFE (US$)</v>
      </c>
      <c r="V587" s="23">
        <f>IFERROR(IF(AND(AB587&gt;0,B587&lt;&gt;"Sell"),(AA587-SUMIF(C$4:C586,C587,AC$4:AC587))/AB587,0),"")</f>
        <v>-88.693428571428583</v>
      </c>
      <c r="W587" s="24" t="str">
        <f t="shared" si="78"/>
        <v/>
      </c>
      <c r="X587" s="25" t="str">
        <f t="shared" si="77"/>
        <v>iShares MSCI EAFE (US$)_ACB</v>
      </c>
      <c r="Y587" s="10" t="str">
        <f>IF(S588&lt;&gt;eRRSP_Tx_Table[[#This Row],[Year]],SUMIFS($W$4:$W587,$S$4:$S587,eRRSP_Tx_Table[[#This Row],[Year]],$W$4:$W587,"&gt;0"),"")</f>
        <v/>
      </c>
      <c r="Z587" s="10" t="str">
        <f>IF(S588&lt;&gt;eRRSP_Tx_Table[[#This Row],[Year]],SUMIFS($W$4:$W587,$S$4:$S587,eRRSP_Tx_Table[[#This Row],[Year]],$W$4:$W587,"&lt;0"),"")</f>
        <v/>
      </c>
      <c r="AA587" s="3">
        <f>(SUMIF($U$4:$U587,CONCATENATE("Buy",$C587),$N$4:$N587)+SUMIF($U$4:$U587,CONCATENATE("ReinvDiv",$C587),$N$4:$N587))</f>
        <v>-3104.2700000000004</v>
      </c>
      <c r="AB587" s="3">
        <f>(SUMIF($U$4:$U587,CONCATENATE("Buy",$C587),$F$4:$F587)+SUMIF($U$4:$U587,CONCATENATE("ReinvDiv",$C587),$F$4:$F587)+SUMIF($U$4:$U587,CONCATENATE("StkSplit",$C587),$F$4:$F587)-SUMIF($U$4:$U587,CONCATENATE("Sell",$C587),$F$4:$F587))</f>
        <v>35</v>
      </c>
      <c r="AC587" s="3">
        <f>IF(B587="Sell",F587*INDEX(V:V,LOOKUP(2,1/(X$4:X586=CONCATENATE(C587,"_ACB")),ROW(V$4:V586))),0)</f>
        <v>0</v>
      </c>
    </row>
    <row r="588" spans="1:29" x14ac:dyDescent="0.25">
      <c r="A588" s="20">
        <v>39993</v>
      </c>
      <c r="B588" t="s">
        <v>42</v>
      </c>
      <c r="C588" t="s">
        <v>86</v>
      </c>
      <c r="D588" s="3">
        <v>11.04</v>
      </c>
      <c r="J588">
        <v>3.38</v>
      </c>
      <c r="M588" s="21">
        <f t="shared" si="72"/>
        <v>11.04</v>
      </c>
      <c r="N588" s="8">
        <f t="shared" si="79"/>
        <v>11.04</v>
      </c>
      <c r="O588" s="25">
        <f t="shared" si="76"/>
        <v>42338.429999999978</v>
      </c>
      <c r="P588" s="8">
        <f t="shared" si="73"/>
        <v>0</v>
      </c>
      <c r="Q588" s="4">
        <f>IF(AND(S588&gt;=[1]eRRSP_Rpt!$C$6,S588&lt;=[1]eRRSP_Rpt!$C$7),1,0)</f>
        <v>1</v>
      </c>
      <c r="R588" s="4"/>
      <c r="S588" s="4">
        <f t="shared" si="71"/>
        <v>2009</v>
      </c>
      <c r="T588" s="4"/>
      <c r="U588" s="4" t="str">
        <f t="shared" si="74"/>
        <v>DiviShares S&amp;P SmallCap</v>
      </c>
      <c r="V588" s="23">
        <f>IFERROR(IF(AND(AB588&gt;0,B588&lt;&gt;"Sell"),(AA588-SUMIF(C$4:C587,C588,AC$4:AC588))/AB588,0),"")</f>
        <v>-70.414404761904763</v>
      </c>
      <c r="W588" s="24" t="str">
        <f t="shared" si="78"/>
        <v/>
      </c>
      <c r="X588" s="25" t="str">
        <f t="shared" si="77"/>
        <v>iShares S&amp;P SmallCap_ACB</v>
      </c>
      <c r="Y588" s="10" t="str">
        <f>IF(S589&lt;&gt;eRRSP_Tx_Table[[#This Row],[Year]],SUMIFS($W$4:$W588,$S$4:$S588,eRRSP_Tx_Table[[#This Row],[Year]],$W$4:$W588,"&gt;0"),"")</f>
        <v/>
      </c>
      <c r="Z588" s="10" t="str">
        <f>IF(S589&lt;&gt;eRRSP_Tx_Table[[#This Row],[Year]],SUMIFS($W$4:$W588,$S$4:$S588,eRRSP_Tx_Table[[#This Row],[Year]],$W$4:$W588,"&lt;0"),"")</f>
        <v/>
      </c>
      <c r="AA588" s="3">
        <f>(SUMIF($U$4:$U588,CONCATENATE("Buy",$C588),$N$4:$N588)+SUMIF($U$4:$U588,CONCATENATE("ReinvDiv",$C588),$N$4:$N588))</f>
        <v>-5914.81</v>
      </c>
      <c r="AB588" s="3">
        <f>(SUMIF($U$4:$U588,CONCATENATE("Buy",$C588),$F$4:$F588)+SUMIF($U$4:$U588,CONCATENATE("ReinvDiv",$C588),$F$4:$F588)+SUMIF($U$4:$U588,CONCATENATE("StkSplit",$C588),$F$4:$F588)-SUMIF($U$4:$U588,CONCATENATE("Sell",$C588),$F$4:$F588))</f>
        <v>84</v>
      </c>
      <c r="AC588" s="3">
        <f>IF(B588="Sell",F588*INDEX(V:V,LOOKUP(2,1/(X$4:X587=CONCATENATE(C588,"_ACB")),ROW(V$4:V587))),0)</f>
        <v>0</v>
      </c>
    </row>
    <row r="589" spans="1:29" x14ac:dyDescent="0.25">
      <c r="A589" s="20">
        <v>39993</v>
      </c>
      <c r="B589" t="s">
        <v>42</v>
      </c>
      <c r="C589" t="s">
        <v>83</v>
      </c>
      <c r="D589" s="3">
        <v>118.32</v>
      </c>
      <c r="J589">
        <v>17.16</v>
      </c>
      <c r="M589" s="21">
        <f t="shared" si="72"/>
        <v>118.32</v>
      </c>
      <c r="N589" s="8">
        <f t="shared" si="79"/>
        <v>118.32</v>
      </c>
      <c r="O589" s="25">
        <f t="shared" si="76"/>
        <v>42456.749999999978</v>
      </c>
      <c r="P589" s="8">
        <f t="shared" si="73"/>
        <v>0</v>
      </c>
      <c r="Q589" s="4">
        <f>IF(AND(S589&gt;=[1]eRRSP_Rpt!$C$6,S589&lt;=[1]eRRSP_Rpt!$C$7),1,0)</f>
        <v>1</v>
      </c>
      <c r="R589" s="4"/>
      <c r="S589" s="4">
        <f t="shared" si="71"/>
        <v>2009</v>
      </c>
      <c r="T589" s="4"/>
      <c r="U589" s="4" t="str">
        <f t="shared" si="74"/>
        <v>DiviShares MSCI South Africa (US$)</v>
      </c>
      <c r="V589" s="23">
        <f>IFERROR(IF(AND(AB589&gt;0,B589&lt;&gt;"Sell"),(AA589-SUMIF(C$4:C588,C589,AC$4:AC589))/AB589,0),"")</f>
        <v>-66.699423076923068</v>
      </c>
      <c r="W589" s="24" t="str">
        <f t="shared" si="78"/>
        <v/>
      </c>
      <c r="X589" s="25" t="str">
        <f t="shared" si="77"/>
        <v>iShares MSCI South Africa (US$)_ACB</v>
      </c>
      <c r="Y589" s="10" t="str">
        <f>IF(S590&lt;&gt;eRRSP_Tx_Table[[#This Row],[Year]],SUMIFS($W$4:$W589,$S$4:$S589,eRRSP_Tx_Table[[#This Row],[Year]],$W$4:$W589,"&gt;0"),"")</f>
        <v/>
      </c>
      <c r="Z589" s="10" t="str">
        <f>IF(S590&lt;&gt;eRRSP_Tx_Table[[#This Row],[Year]],SUMIFS($W$4:$W589,$S$4:$S589,eRRSP_Tx_Table[[#This Row],[Year]],$W$4:$W589,"&lt;0"),"")</f>
        <v/>
      </c>
      <c r="AA589" s="3">
        <f>(SUMIF($U$4:$U589,CONCATENATE("Buy",$C589),$N$4:$N589)+SUMIF($U$4:$U589,CONCATENATE("ReinvDiv",$C589),$N$4:$N589))</f>
        <v>-6936.74</v>
      </c>
      <c r="AB589" s="3">
        <f>(SUMIF($U$4:$U589,CONCATENATE("Buy",$C589),$F$4:$F589)+SUMIF($U$4:$U589,CONCATENATE("ReinvDiv",$C589),$F$4:$F589)+SUMIF($U$4:$U589,CONCATENATE("StkSplit",$C589),$F$4:$F589)-SUMIF($U$4:$U589,CONCATENATE("Sell",$C589),$F$4:$F589))</f>
        <v>104</v>
      </c>
      <c r="AC589" s="3">
        <f>IF(B589="Sell",F589*INDEX(V:V,LOOKUP(2,1/(X$4:X588=CONCATENATE(C589,"_ACB")),ROW(V$4:V588))),0)</f>
        <v>0</v>
      </c>
    </row>
    <row r="590" spans="1:29" x14ac:dyDescent="0.25">
      <c r="A590" s="20">
        <v>39993</v>
      </c>
      <c r="B590" t="s">
        <v>41</v>
      </c>
      <c r="C590" t="s">
        <v>62</v>
      </c>
      <c r="D590" s="3">
        <v>3.38</v>
      </c>
      <c r="E590">
        <v>14.506399999999999</v>
      </c>
      <c r="F590" s="3">
        <v>0.23300000000000001</v>
      </c>
      <c r="J590">
        <v>4.5599999999999996</v>
      </c>
      <c r="M590" s="21">
        <f t="shared" si="72"/>
        <v>3.38</v>
      </c>
      <c r="N590" s="8">
        <f t="shared" si="79"/>
        <v>-3.38</v>
      </c>
      <c r="O590" s="25">
        <f t="shared" si="76"/>
        <v>42456.749999999978</v>
      </c>
      <c r="P590" s="8">
        <f t="shared" si="73"/>
        <v>0</v>
      </c>
      <c r="Q590" s="4">
        <f>IF(AND(S590&gt;=[1]eRRSP_Rpt!$C$6,S590&lt;=[1]eRRSP_Rpt!$C$7),1,0)</f>
        <v>1</v>
      </c>
      <c r="R590" s="4"/>
      <c r="S590" s="4">
        <f t="shared" si="71"/>
        <v>2009</v>
      </c>
      <c r="T590" s="4"/>
      <c r="U590" s="4" t="str">
        <f t="shared" si="74"/>
        <v>ReinvDivTD RR Bond</v>
      </c>
      <c r="V590" s="23">
        <f>IFERROR(IF(AND(AB590&gt;0,B590&lt;&gt;"Sell"),(AA590-SUMIF(C$4:C589,C590,AC$4:AC590))/AB590,0),"")</f>
        <v>-14.231159652133444</v>
      </c>
      <c r="W590" s="24" t="str">
        <f t="shared" si="78"/>
        <v/>
      </c>
      <c r="X590" s="25" t="str">
        <f t="shared" si="77"/>
        <v>TD RR Bond_ACB</v>
      </c>
      <c r="Y590" s="10" t="str">
        <f>IF(S591&lt;&gt;eRRSP_Tx_Table[[#This Row],[Year]],SUMIFS($W$4:$W590,$S$4:$S590,eRRSP_Tx_Table[[#This Row],[Year]],$W$4:$W590,"&gt;0"),"")</f>
        <v/>
      </c>
      <c r="Z590" s="10" t="str">
        <f>IF(S591&lt;&gt;eRRSP_Tx_Table[[#This Row],[Year]],SUMIFS($W$4:$W590,$S$4:$S590,eRRSP_Tx_Table[[#This Row],[Year]],$W$4:$W590,"&lt;0"),"")</f>
        <v/>
      </c>
      <c r="AA590" s="3">
        <f>(SUMIF($U$4:$U590,CONCATENATE("Buy",$C590),$N$4:$N590)+SUMIF($U$4:$U590,CONCATENATE("ReinvDiv",$C590),$N$4:$N590))</f>
        <v>-9785.6299999999992</v>
      </c>
      <c r="AB590" s="3">
        <f>(SUMIF($U$4:$U590,CONCATENATE("Buy",$C590),$F$4:$F590)+SUMIF($U$4:$U590,CONCATENATE("ReinvDiv",$C590),$F$4:$F590)+SUMIF($U$4:$U590,CONCATENATE("StkSplit",$C590),$F$4:$F590)-SUMIF($U$4:$U590,CONCATENATE("Sell",$C590),$F$4:$F590))</f>
        <v>687.62</v>
      </c>
      <c r="AC590" s="3">
        <f>IF(B590="Sell",F590*INDEX(V:V,LOOKUP(2,1/(X$4:X589=CONCATENATE(C590,"_ACB")),ROW(V$4:V589))),0)</f>
        <v>0</v>
      </c>
    </row>
    <row r="591" spans="1:29" x14ac:dyDescent="0.25">
      <c r="A591" s="20">
        <v>39994</v>
      </c>
      <c r="B591" t="s">
        <v>42</v>
      </c>
      <c r="C591" t="s">
        <v>90</v>
      </c>
      <c r="D591" s="3">
        <v>17.16</v>
      </c>
      <c r="J591">
        <v>26.94</v>
      </c>
      <c r="M591" s="21">
        <f t="shared" si="72"/>
        <v>17.16</v>
      </c>
      <c r="N591" s="8">
        <f t="shared" si="79"/>
        <v>17.16</v>
      </c>
      <c r="O591" s="25">
        <f t="shared" si="76"/>
        <v>42473.909999999982</v>
      </c>
      <c r="P591" s="8">
        <f t="shared" si="73"/>
        <v>0</v>
      </c>
      <c r="Q591" s="4">
        <f>IF(AND(S591&gt;=[1]eRRSP_Rpt!$C$6,S591&lt;=[1]eRRSP_Rpt!$C$7),1,0)</f>
        <v>1</v>
      </c>
      <c r="R591" s="4"/>
      <c r="S591" s="4">
        <f t="shared" si="71"/>
        <v>2009</v>
      </c>
      <c r="T591" s="4"/>
      <c r="U591" s="4" t="str">
        <f t="shared" si="74"/>
        <v>DivVanguard Large Cap ETF</v>
      </c>
      <c r="V591" s="23">
        <f>IFERROR(IF(AND(AB591&gt;0,B591&lt;&gt;"Sell"),(AA591-SUMIF(C$4:C590,C591,AC$4:AC591))/AB591,0),"")</f>
        <v>-74.401142857142858</v>
      </c>
      <c r="W591" s="24" t="str">
        <f t="shared" si="78"/>
        <v/>
      </c>
      <c r="X591" s="25" t="str">
        <f t="shared" si="77"/>
        <v>Vanguard Large Cap ETF_ACB</v>
      </c>
      <c r="Y591" s="10" t="str">
        <f>IF(S592&lt;&gt;eRRSP_Tx_Table[[#This Row],[Year]],SUMIFS($W$4:$W591,$S$4:$S591,eRRSP_Tx_Table[[#This Row],[Year]],$W$4:$W591,"&gt;0"),"")</f>
        <v/>
      </c>
      <c r="Z591" s="10" t="str">
        <f>IF(S592&lt;&gt;eRRSP_Tx_Table[[#This Row],[Year]],SUMIFS($W$4:$W591,$S$4:$S591,eRRSP_Tx_Table[[#This Row],[Year]],$W$4:$W591,"&lt;0"),"")</f>
        <v/>
      </c>
      <c r="AA591" s="3">
        <f>(SUMIF($U$4:$U591,CONCATENATE("Buy",$C591),$N$4:$N591)+SUMIF($U$4:$U591,CONCATENATE("ReinvDiv",$C591),$N$4:$N591))</f>
        <v>-5208.08</v>
      </c>
      <c r="AB591" s="3">
        <f>(SUMIF($U$4:$U591,CONCATENATE("Buy",$C591),$F$4:$F591)+SUMIF($U$4:$U591,CONCATENATE("ReinvDiv",$C591),$F$4:$F591)+SUMIF($U$4:$U591,CONCATENATE("StkSplit",$C591),$F$4:$F591)-SUMIF($U$4:$U591,CONCATENATE("Sell",$C591),$F$4:$F591))</f>
        <v>70</v>
      </c>
      <c r="AC591" s="3">
        <f>IF(B591="Sell",F591*INDEX(V:V,LOOKUP(2,1/(X$4:X590=CONCATENATE(C591,"_ACB")),ROW(V$4:V590))),0)</f>
        <v>0</v>
      </c>
    </row>
    <row r="592" spans="1:29" x14ac:dyDescent="0.25">
      <c r="A592" s="20">
        <v>39994</v>
      </c>
      <c r="B592" t="s">
        <v>42</v>
      </c>
      <c r="C592" t="s">
        <v>92</v>
      </c>
      <c r="D592" s="3">
        <v>4.5599999999999996</v>
      </c>
      <c r="J592">
        <v>46.89</v>
      </c>
      <c r="M592" s="21">
        <f t="shared" si="72"/>
        <v>4.5599999999999996</v>
      </c>
      <c r="N592" s="8">
        <f t="shared" si="79"/>
        <v>4.5599999999999996</v>
      </c>
      <c r="O592" s="25">
        <f t="shared" si="76"/>
        <v>42478.469999999979</v>
      </c>
      <c r="P592" s="8">
        <f t="shared" si="73"/>
        <v>0</v>
      </c>
      <c r="Q592" s="4">
        <f>IF(AND(S592&gt;=[1]eRRSP_Rpt!$C$6,S592&lt;=[1]eRRSP_Rpt!$C$7),1,0)</f>
        <v>1</v>
      </c>
      <c r="R592" s="4"/>
      <c r="S592" s="4">
        <f t="shared" si="71"/>
        <v>2009</v>
      </c>
      <c r="T592" s="4"/>
      <c r="U592" s="4" t="str">
        <f t="shared" si="74"/>
        <v>DiviUnits S&amp;P 500</v>
      </c>
      <c r="V592" s="23">
        <f>IFERROR(IF(AND(AB592&gt;0,B592&lt;&gt;"Sell"),(AA592-SUMIF(C$4:C591,C592,AC$4:AC592))/AB592,0),"")</f>
        <v>-13.4498</v>
      </c>
      <c r="W592" s="24" t="str">
        <f t="shared" si="78"/>
        <v/>
      </c>
      <c r="X592" s="25" t="str">
        <f t="shared" si="77"/>
        <v>iUnits S&amp;P 500_ACB</v>
      </c>
      <c r="Y592" s="10" t="str">
        <f>IF(S593&lt;&gt;eRRSP_Tx_Table[[#This Row],[Year]],SUMIFS($W$4:$W592,$S$4:$S592,eRRSP_Tx_Table[[#This Row],[Year]],$W$4:$W592,"&gt;0"),"")</f>
        <v/>
      </c>
      <c r="Z592" s="10" t="str">
        <f>IF(S593&lt;&gt;eRRSP_Tx_Table[[#This Row],[Year]],SUMIFS($W$4:$W592,$S$4:$S592,eRRSP_Tx_Table[[#This Row],[Year]],$W$4:$W592,"&lt;0"),"")</f>
        <v/>
      </c>
      <c r="AA592" s="3">
        <f>(SUMIF($U$4:$U592,CONCATENATE("Buy",$C592),$N$4:$N592)+SUMIF($U$4:$U592,CONCATENATE("ReinvDiv",$C592),$N$4:$N592))</f>
        <v>-672.49</v>
      </c>
      <c r="AB592" s="3">
        <f>(SUMIF($U$4:$U592,CONCATENATE("Buy",$C592),$F$4:$F592)+SUMIF($U$4:$U592,CONCATENATE("ReinvDiv",$C592),$F$4:$F592)+SUMIF($U$4:$U592,CONCATENATE("StkSplit",$C592),$F$4:$F592)-SUMIF($U$4:$U592,CONCATENATE("Sell",$C592),$F$4:$F592))</f>
        <v>50</v>
      </c>
      <c r="AC592" s="3">
        <f>IF(B592="Sell",F592*INDEX(V:V,LOOKUP(2,1/(X$4:X591=CONCATENATE(C592,"_ACB")),ROW(V$4:V591))),0)</f>
        <v>0</v>
      </c>
    </row>
    <row r="593" spans="1:29" x14ac:dyDescent="0.25">
      <c r="A593" s="20">
        <v>40002</v>
      </c>
      <c r="B593" t="s">
        <v>42</v>
      </c>
      <c r="C593" t="s">
        <v>88</v>
      </c>
      <c r="D593" s="3">
        <v>26.94</v>
      </c>
      <c r="J593">
        <v>0.87</v>
      </c>
      <c r="M593" s="21">
        <f t="shared" si="72"/>
        <v>26.94</v>
      </c>
      <c r="N593" s="8">
        <f t="shared" si="79"/>
        <v>26.94</v>
      </c>
      <c r="O593" s="25">
        <f t="shared" si="76"/>
        <v>42505.409999999982</v>
      </c>
      <c r="P593" s="8">
        <f t="shared" si="73"/>
        <v>0</v>
      </c>
      <c r="Q593" s="4">
        <f>IF(AND(S593&gt;=[1]eRRSP_Rpt!$C$6,S593&lt;=[1]eRRSP_Rpt!$C$7),1,0)</f>
        <v>1</v>
      </c>
      <c r="R593" s="4"/>
      <c r="S593" s="4">
        <f t="shared" si="71"/>
        <v>2009</v>
      </c>
      <c r="T593" s="4"/>
      <c r="U593" s="4" t="str">
        <f t="shared" si="74"/>
        <v>DiviShares IBOXX (US$)</v>
      </c>
      <c r="V593" s="23">
        <f>IFERROR(IF(AND(AB593&gt;0,B593&lt;&gt;"Sell"),(AA593-SUMIF(C$4:C592,C593,AC$4:AC593))/AB593,0),"")</f>
        <v>-127.70865384615385</v>
      </c>
      <c r="W593" s="24" t="str">
        <f t="shared" si="78"/>
        <v/>
      </c>
      <c r="X593" s="25" t="str">
        <f t="shared" si="77"/>
        <v>iShares IBOXX (US$)_ACB</v>
      </c>
      <c r="Y593" s="10" t="str">
        <f>IF(S594&lt;&gt;eRRSP_Tx_Table[[#This Row],[Year]],SUMIFS($W$4:$W593,$S$4:$S593,eRRSP_Tx_Table[[#This Row],[Year]],$W$4:$W593,"&gt;0"),"")</f>
        <v/>
      </c>
      <c r="Z593" s="10" t="str">
        <f>IF(S594&lt;&gt;eRRSP_Tx_Table[[#This Row],[Year]],SUMIFS($W$4:$W593,$S$4:$S593,eRRSP_Tx_Table[[#This Row],[Year]],$W$4:$W593,"&lt;0"),"")</f>
        <v/>
      </c>
      <c r="AA593" s="3">
        <f>(SUMIF($U$4:$U593,CONCATENATE("Buy",$C593),$N$4:$N593)+SUMIF($U$4:$U593,CONCATENATE("ReinvDiv",$C593),$N$4:$N593))</f>
        <v>-6640.85</v>
      </c>
      <c r="AB593" s="3">
        <f>(SUMIF($U$4:$U593,CONCATENATE("Buy",$C593),$F$4:$F593)+SUMIF($U$4:$U593,CONCATENATE("ReinvDiv",$C593),$F$4:$F593)+SUMIF($U$4:$U593,CONCATENATE("StkSplit",$C593),$F$4:$F593)-SUMIF($U$4:$U593,CONCATENATE("Sell",$C593),$F$4:$F593))</f>
        <v>52</v>
      </c>
      <c r="AC593" s="3">
        <f>IF(B593="Sell",F593*INDEX(V:V,LOOKUP(2,1/(X$4:X592=CONCATENATE(C593,"_ACB")),ROW(V$4:V592))),0)</f>
        <v>0</v>
      </c>
    </row>
    <row r="594" spans="1:29" x14ac:dyDescent="0.25">
      <c r="A594" s="20">
        <v>40004</v>
      </c>
      <c r="B594" t="s">
        <v>42</v>
      </c>
      <c r="C594" t="s">
        <v>87</v>
      </c>
      <c r="D594" s="3">
        <v>46.89</v>
      </c>
      <c r="J594">
        <v>0.76</v>
      </c>
      <c r="M594" s="21">
        <f t="shared" si="72"/>
        <v>46.89</v>
      </c>
      <c r="N594" s="8">
        <f t="shared" si="79"/>
        <v>46.89</v>
      </c>
      <c r="O594" s="25">
        <f t="shared" si="76"/>
        <v>42552.299999999981</v>
      </c>
      <c r="P594" s="8">
        <f t="shared" si="73"/>
        <v>0</v>
      </c>
      <c r="Q594" s="4">
        <f>IF(AND(S594&gt;=[1]eRRSP_Rpt!$C$6,S594&lt;=[1]eRRSP_Rpt!$C$7),1,0)</f>
        <v>1</v>
      </c>
      <c r="R594" s="4"/>
      <c r="S594" s="4">
        <f t="shared" si="71"/>
        <v>2009</v>
      </c>
      <c r="T594" s="4"/>
      <c r="U594" s="4" t="str">
        <f t="shared" si="74"/>
        <v>DivAberdeen Asia Pacific Income Fund</v>
      </c>
      <c r="V594" s="23">
        <f>IFERROR(IF(AND(AB594&gt;0,B594&lt;&gt;"Sell"),(AA594-SUMIF(C$4:C593,C594,AC$4:AC594))/AB594,0),"")</f>
        <v>-7.4694020797227028</v>
      </c>
      <c r="W594" s="24" t="str">
        <f t="shared" si="78"/>
        <v/>
      </c>
      <c r="X594" s="25" t="str">
        <f t="shared" si="77"/>
        <v>Aberdeen Asia Pacific Income Fund_ACB</v>
      </c>
      <c r="Y594" s="10" t="str">
        <f>IF(S595&lt;&gt;eRRSP_Tx_Table[[#This Row],[Year]],SUMIFS($W$4:$W594,$S$4:$S594,eRRSP_Tx_Table[[#This Row],[Year]],$W$4:$W594,"&gt;0"),"")</f>
        <v/>
      </c>
      <c r="Z594" s="10" t="str">
        <f>IF(S595&lt;&gt;eRRSP_Tx_Table[[#This Row],[Year]],SUMIFS($W$4:$W594,$S$4:$S594,eRRSP_Tx_Table[[#This Row],[Year]],$W$4:$W594,"&lt;0"),"")</f>
        <v/>
      </c>
      <c r="AA594" s="3">
        <f>(SUMIF($U$4:$U594,CONCATENATE("Buy",$C594),$N$4:$N594)+SUMIF($U$4:$U594,CONCATENATE("ReinvDiv",$C594),$N$4:$N594))</f>
        <v>-8619.6899999999987</v>
      </c>
      <c r="AB594" s="3">
        <f>(SUMIF($U$4:$U594,CONCATENATE("Buy",$C594),$F$4:$F594)+SUMIF($U$4:$U594,CONCATENATE("ReinvDiv",$C594),$F$4:$F594)+SUMIF($U$4:$U594,CONCATENATE("StkSplit",$C594),$F$4:$F594)-SUMIF($U$4:$U594,CONCATENATE("Sell",$C594),$F$4:$F594))</f>
        <v>1154</v>
      </c>
      <c r="AC594" s="3">
        <f>IF(B594="Sell",F594*INDEX(V:V,LOOKUP(2,1/(X$4:X593=CONCATENATE(C594,"_ACB")),ROW(V$4:V593))),0)</f>
        <v>0</v>
      </c>
    </row>
    <row r="595" spans="1:29" x14ac:dyDescent="0.25">
      <c r="A595" s="20">
        <v>40010</v>
      </c>
      <c r="B595" t="s">
        <v>43</v>
      </c>
      <c r="C595" t="s">
        <v>36</v>
      </c>
      <c r="D595" s="3">
        <v>0.87</v>
      </c>
      <c r="J595">
        <v>12.2</v>
      </c>
      <c r="M595" s="21">
        <f t="shared" si="72"/>
        <v>0.87</v>
      </c>
      <c r="N595" s="8">
        <f t="shared" si="79"/>
        <v>0.87</v>
      </c>
      <c r="O595" s="25">
        <f t="shared" si="76"/>
        <v>42553.169999999984</v>
      </c>
      <c r="P595" s="8">
        <f t="shared" si="73"/>
        <v>0</v>
      </c>
      <c r="Q595" s="4">
        <f>IF(AND(S595&gt;=[1]eRRSP_Rpt!$C$6,S595&lt;=[1]eRRSP_Rpt!$C$7),1,0)</f>
        <v>1</v>
      </c>
      <c r="R595" s="4"/>
      <c r="S595" s="4">
        <f t="shared" si="71"/>
        <v>2009</v>
      </c>
      <c r="T595" s="4"/>
      <c r="U595" s="4" t="str">
        <f t="shared" si="74"/>
        <v>IntIncTDW</v>
      </c>
      <c r="V595" s="23">
        <f>IFERROR(IF(AND(AB595&gt;0,B595&lt;&gt;"Sell"),(AA595-SUMIF(C$4:C594,C595,AC$4:AC595))/AB595,0),"")</f>
        <v>0</v>
      </c>
      <c r="W595" s="24" t="str">
        <f t="shared" si="78"/>
        <v/>
      </c>
      <c r="X595" s="25" t="str">
        <f t="shared" si="77"/>
        <v/>
      </c>
      <c r="Y595" s="10" t="str">
        <f>IF(S596&lt;&gt;eRRSP_Tx_Table[[#This Row],[Year]],SUMIFS($W$4:$W595,$S$4:$S595,eRRSP_Tx_Table[[#This Row],[Year]],$W$4:$W595,"&gt;0"),"")</f>
        <v/>
      </c>
      <c r="Z595" s="10" t="str">
        <f>IF(S596&lt;&gt;eRRSP_Tx_Table[[#This Row],[Year]],SUMIFS($W$4:$W595,$S$4:$S595,eRRSP_Tx_Table[[#This Row],[Year]],$W$4:$W595,"&lt;0"),"")</f>
        <v/>
      </c>
      <c r="AA595" s="3">
        <f>(SUMIF($U$4:$U595,CONCATENATE("Buy",$C595),$N$4:$N595)+SUMIF($U$4:$U595,CONCATENATE("ReinvDiv",$C595),$N$4:$N595))</f>
        <v>0</v>
      </c>
      <c r="AB595" s="3">
        <f>(SUMIF($U$4:$U595,CONCATENATE("Buy",$C595),$F$4:$F595)+SUMIF($U$4:$U595,CONCATENATE("ReinvDiv",$C595),$F$4:$F595)+SUMIF($U$4:$U595,CONCATENATE("StkSplit",$C595),$F$4:$F595)-SUMIF($U$4:$U595,CONCATENATE("Sell",$C595),$F$4:$F595))</f>
        <v>0</v>
      </c>
      <c r="AC595" s="3">
        <f>IF(B595="Sell",F595*INDEX(V:V,LOOKUP(2,1/(X$4:X594=CONCATENATE(C595,"_ACB")),ROW(V$4:V594))),0)</f>
        <v>0</v>
      </c>
    </row>
    <row r="596" spans="1:29" x14ac:dyDescent="0.25">
      <c r="A596" s="20">
        <v>40025</v>
      </c>
      <c r="B596" t="s">
        <v>42</v>
      </c>
      <c r="C596" t="s">
        <v>47</v>
      </c>
      <c r="D596" s="3">
        <v>0.76</v>
      </c>
      <c r="J596">
        <v>27.54</v>
      </c>
      <c r="M596" s="21">
        <f t="shared" si="72"/>
        <v>0.76</v>
      </c>
      <c r="N596" s="8">
        <f t="shared" si="79"/>
        <v>0.76</v>
      </c>
      <c r="O596" s="25">
        <f t="shared" si="76"/>
        <v>42553.929999999986</v>
      </c>
      <c r="P596" s="8">
        <f t="shared" si="73"/>
        <v>0</v>
      </c>
      <c r="Q596" s="4">
        <f>IF(AND(S596&gt;=[1]eRRSP_Rpt!$C$6,S596&lt;=[1]eRRSP_Rpt!$C$7),1,0)</f>
        <v>1</v>
      </c>
      <c r="R596" s="4"/>
      <c r="S596" s="4">
        <f t="shared" si="71"/>
        <v>2009</v>
      </c>
      <c r="T596" s="4"/>
      <c r="U596" s="4" t="str">
        <f t="shared" si="74"/>
        <v>DivBombardier</v>
      </c>
      <c r="V596" s="23">
        <f>IFERROR(IF(AND(AB596&gt;0,B596&lt;&gt;"Sell"),(AA596-SUMIF(C$4:C595,C596,AC$4:AC596))/AB596,0),"")</f>
        <v>-23.216666666666665</v>
      </c>
      <c r="W596" s="24" t="str">
        <f t="shared" si="78"/>
        <v/>
      </c>
      <c r="X596" s="25" t="str">
        <f t="shared" si="77"/>
        <v>Bombardier_ACB</v>
      </c>
      <c r="Y596" s="10" t="str">
        <f>IF(S597&lt;&gt;eRRSP_Tx_Table[[#This Row],[Year]],SUMIFS($W$4:$W596,$S$4:$S596,eRRSP_Tx_Table[[#This Row],[Year]],$W$4:$W596,"&gt;0"),"")</f>
        <v/>
      </c>
      <c r="Z596" s="10" t="str">
        <f>IF(S597&lt;&gt;eRRSP_Tx_Table[[#This Row],[Year]],SUMIFS($W$4:$W596,$S$4:$S596,eRRSP_Tx_Table[[#This Row],[Year]],$W$4:$W596,"&lt;0"),"")</f>
        <v/>
      </c>
      <c r="AA596" s="3">
        <f>(SUMIF($U$4:$U596,CONCATENATE("Buy",$C596),$N$4:$N596)+SUMIF($U$4:$U596,CONCATENATE("ReinvDiv",$C596),$N$4:$N596))</f>
        <v>-696.5</v>
      </c>
      <c r="AB596" s="3">
        <f>(SUMIF($U$4:$U596,CONCATENATE("Buy",$C596),$F$4:$F596)+SUMIF($U$4:$U596,CONCATENATE("ReinvDiv",$C596),$F$4:$F596)+SUMIF($U$4:$U596,CONCATENATE("StkSplit",$C596),$F$4:$F596)-SUMIF($U$4:$U596,CONCATENATE("Sell",$C596),$F$4:$F596))</f>
        <v>30</v>
      </c>
      <c r="AC596" s="3">
        <f>IF(B596="Sell",F596*INDEX(V:V,LOOKUP(2,1/(X$4:X595=CONCATENATE(C596,"_ACB")),ROW(V$4:V595))),0)</f>
        <v>0</v>
      </c>
    </row>
    <row r="597" spans="1:29" x14ac:dyDescent="0.25">
      <c r="A597" s="20">
        <v>40025</v>
      </c>
      <c r="B597" t="s">
        <v>42</v>
      </c>
      <c r="C597" t="s">
        <v>45</v>
      </c>
      <c r="D597" s="3">
        <v>12.2</v>
      </c>
      <c r="J597">
        <v>43.92</v>
      </c>
      <c r="M597" s="21">
        <f t="shared" si="72"/>
        <v>12.2</v>
      </c>
      <c r="N597" s="8">
        <f t="shared" si="79"/>
        <v>12.2</v>
      </c>
      <c r="O597" s="25">
        <f t="shared" si="76"/>
        <v>42566.129999999983</v>
      </c>
      <c r="P597" s="8">
        <f t="shared" si="73"/>
        <v>0</v>
      </c>
      <c r="Q597" s="4">
        <f>IF(AND(S597&gt;=[1]eRRSP_Rpt!$C$6,S597&lt;=[1]eRRSP_Rpt!$C$7),1,0)</f>
        <v>1</v>
      </c>
      <c r="R597" s="4"/>
      <c r="S597" s="4">
        <f t="shared" ref="S597:S660" si="80">YEAR(A597)</f>
        <v>2009</v>
      </c>
      <c r="T597" s="4"/>
      <c r="U597" s="4" t="str">
        <f t="shared" si="74"/>
        <v>DivTD Bank</v>
      </c>
      <c r="V597" s="23">
        <f>IFERROR(IF(AND(AB597&gt;0,B597&lt;&gt;"Sell"),(AA597-SUMIF(C$4:C596,C597,AC$4:AC597))/AB597,0),"")</f>
        <v>-44.29</v>
      </c>
      <c r="W597" s="24" t="str">
        <f t="shared" si="78"/>
        <v/>
      </c>
      <c r="X597" s="25" t="str">
        <f t="shared" si="77"/>
        <v>TD Bank_ACB</v>
      </c>
      <c r="Y597" s="10" t="str">
        <f>IF(S598&lt;&gt;eRRSP_Tx_Table[[#This Row],[Year]],SUMIFS($W$4:$W597,$S$4:$S597,eRRSP_Tx_Table[[#This Row],[Year]],$W$4:$W597,"&gt;0"),"")</f>
        <v/>
      </c>
      <c r="Z597" s="10" t="str">
        <f>IF(S598&lt;&gt;eRRSP_Tx_Table[[#This Row],[Year]],SUMIFS($W$4:$W597,$S$4:$S597,eRRSP_Tx_Table[[#This Row],[Year]],$W$4:$W597,"&lt;0"),"")</f>
        <v/>
      </c>
      <c r="AA597" s="3">
        <f>(SUMIF($U$4:$U597,CONCATENATE("Buy",$C597),$N$4:$N597)+SUMIF($U$4:$U597,CONCATENATE("ReinvDiv",$C597),$N$4:$N597))</f>
        <v>-885.8</v>
      </c>
      <c r="AB597" s="3">
        <f>(SUMIF($U$4:$U597,CONCATENATE("Buy",$C597),$F$4:$F597)+SUMIF($U$4:$U597,CONCATENATE("ReinvDiv",$C597),$F$4:$F597)+SUMIF($U$4:$U597,CONCATENATE("StkSplit",$C597),$F$4:$F597)-SUMIF($U$4:$U597,CONCATENATE("Sell",$C597),$F$4:$F597))</f>
        <v>20</v>
      </c>
      <c r="AC597" s="3">
        <f>IF(B597="Sell",F597*INDEX(V:V,LOOKUP(2,1/(X$4:X596=CONCATENATE(C597,"_ACB")),ROW(V$4:V596))),0)</f>
        <v>0</v>
      </c>
    </row>
    <row r="598" spans="1:29" x14ac:dyDescent="0.25">
      <c r="A598" s="20">
        <v>40032</v>
      </c>
      <c r="B598" t="s">
        <v>42</v>
      </c>
      <c r="C598" t="s">
        <v>88</v>
      </c>
      <c r="D598" s="3">
        <v>27.54</v>
      </c>
      <c r="J598">
        <v>0.9</v>
      </c>
      <c r="M598" s="21">
        <f t="shared" si="72"/>
        <v>27.54</v>
      </c>
      <c r="N598" s="8">
        <f t="shared" si="79"/>
        <v>27.54</v>
      </c>
      <c r="O598" s="25">
        <f t="shared" si="76"/>
        <v>42593.669999999984</v>
      </c>
      <c r="P598" s="8">
        <f t="shared" si="73"/>
        <v>0</v>
      </c>
      <c r="Q598" s="4">
        <f>IF(AND(S598&gt;=[1]eRRSP_Rpt!$C$6,S598&lt;=[1]eRRSP_Rpt!$C$7),1,0)</f>
        <v>1</v>
      </c>
      <c r="R598" s="4"/>
      <c r="S598" s="4">
        <f t="shared" si="80"/>
        <v>2009</v>
      </c>
      <c r="T598" s="4"/>
      <c r="U598" s="4" t="str">
        <f t="shared" si="74"/>
        <v>DiviShares IBOXX (US$)</v>
      </c>
      <c r="V598" s="23">
        <f>IFERROR(IF(AND(AB598&gt;0,B598&lt;&gt;"Sell"),(AA598-SUMIF(C$4:C597,C598,AC$4:AC598))/AB598,0),"")</f>
        <v>-127.70865384615385</v>
      </c>
      <c r="W598" s="24" t="str">
        <f t="shared" si="78"/>
        <v/>
      </c>
      <c r="X598" s="25" t="str">
        <f t="shared" si="77"/>
        <v>iShares IBOXX (US$)_ACB</v>
      </c>
      <c r="Y598" s="10" t="str">
        <f>IF(S599&lt;&gt;eRRSP_Tx_Table[[#This Row],[Year]],SUMIFS($W$4:$W598,$S$4:$S598,eRRSP_Tx_Table[[#This Row],[Year]],$W$4:$W598,"&gt;0"),"")</f>
        <v/>
      </c>
      <c r="Z598" s="10" t="str">
        <f>IF(S599&lt;&gt;eRRSP_Tx_Table[[#This Row],[Year]],SUMIFS($W$4:$W598,$S$4:$S598,eRRSP_Tx_Table[[#This Row],[Year]],$W$4:$W598,"&lt;0"),"")</f>
        <v/>
      </c>
      <c r="AA598" s="3">
        <f>(SUMIF($U$4:$U598,CONCATENATE("Buy",$C598),$N$4:$N598)+SUMIF($U$4:$U598,CONCATENATE("ReinvDiv",$C598),$N$4:$N598))</f>
        <v>-6640.85</v>
      </c>
      <c r="AB598" s="3">
        <f>(SUMIF($U$4:$U598,CONCATENATE("Buy",$C598),$F$4:$F598)+SUMIF($U$4:$U598,CONCATENATE("ReinvDiv",$C598),$F$4:$F598)+SUMIF($U$4:$U598,CONCATENATE("StkSplit",$C598),$F$4:$F598)-SUMIF($U$4:$U598,CONCATENATE("Sell",$C598),$F$4:$F598))</f>
        <v>52</v>
      </c>
      <c r="AC598" s="3">
        <f>IF(B598="Sell",F598*INDEX(V:V,LOOKUP(2,1/(X$4:X597=CONCATENATE(C598,"_ACB")),ROW(V$4:V597))),0)</f>
        <v>0</v>
      </c>
    </row>
    <row r="599" spans="1:29" x14ac:dyDescent="0.25">
      <c r="A599" s="20">
        <v>40039</v>
      </c>
      <c r="B599" t="s">
        <v>42</v>
      </c>
      <c r="C599" t="s">
        <v>87</v>
      </c>
      <c r="D599" s="3">
        <v>43.92</v>
      </c>
      <c r="J599">
        <v>6465</v>
      </c>
      <c r="M599" s="21">
        <f t="shared" si="72"/>
        <v>43.92</v>
      </c>
      <c r="N599" s="8">
        <f t="shared" si="79"/>
        <v>43.92</v>
      </c>
      <c r="O599" s="25">
        <f t="shared" si="76"/>
        <v>42637.589999999982</v>
      </c>
      <c r="P599" s="8">
        <f t="shared" si="73"/>
        <v>0</v>
      </c>
      <c r="Q599" s="4">
        <f>IF(AND(S599&gt;=[1]eRRSP_Rpt!$C$6,S599&lt;=[1]eRRSP_Rpt!$C$7),1,0)</f>
        <v>1</v>
      </c>
      <c r="R599" s="4"/>
      <c r="S599" s="4">
        <f t="shared" si="80"/>
        <v>2009</v>
      </c>
      <c r="T599" s="4"/>
      <c r="U599" s="4" t="str">
        <f t="shared" si="74"/>
        <v>DivAberdeen Asia Pacific Income Fund</v>
      </c>
      <c r="V599" s="23">
        <f>IFERROR(IF(AND(AB599&gt;0,B599&lt;&gt;"Sell"),(AA599-SUMIF(C$4:C598,C599,AC$4:AC599))/AB599,0),"")</f>
        <v>-7.4694020797227028</v>
      </c>
      <c r="W599" s="24" t="str">
        <f t="shared" si="78"/>
        <v/>
      </c>
      <c r="X599" s="25" t="str">
        <f t="shared" si="77"/>
        <v>Aberdeen Asia Pacific Income Fund_ACB</v>
      </c>
      <c r="Y599" s="10" t="str">
        <f>IF(S600&lt;&gt;eRRSP_Tx_Table[[#This Row],[Year]],SUMIFS($W$4:$W599,$S$4:$S599,eRRSP_Tx_Table[[#This Row],[Year]],$W$4:$W599,"&gt;0"),"")</f>
        <v/>
      </c>
      <c r="Z599" s="10" t="str">
        <f>IF(S600&lt;&gt;eRRSP_Tx_Table[[#This Row],[Year]],SUMIFS($W$4:$W599,$S$4:$S599,eRRSP_Tx_Table[[#This Row],[Year]],$W$4:$W599,"&lt;0"),"")</f>
        <v/>
      </c>
      <c r="AA599" s="3">
        <f>(SUMIF($U$4:$U599,CONCATENATE("Buy",$C599),$N$4:$N599)+SUMIF($U$4:$U599,CONCATENATE("ReinvDiv",$C599),$N$4:$N599))</f>
        <v>-8619.6899999999987</v>
      </c>
      <c r="AB599" s="3">
        <f>(SUMIF($U$4:$U599,CONCATENATE("Buy",$C599),$F$4:$F599)+SUMIF($U$4:$U599,CONCATENATE("ReinvDiv",$C599),$F$4:$F599)+SUMIF($U$4:$U599,CONCATENATE("StkSplit",$C599),$F$4:$F599)-SUMIF($U$4:$U599,CONCATENATE("Sell",$C599),$F$4:$F599))</f>
        <v>1154</v>
      </c>
      <c r="AC599" s="3">
        <f>IF(B599="Sell",F599*INDEX(V:V,LOOKUP(2,1/(X$4:X598=CONCATENATE(C599,"_ACB")),ROW(V$4:V598))),0)</f>
        <v>0</v>
      </c>
    </row>
    <row r="600" spans="1:29" x14ac:dyDescent="0.25">
      <c r="A600" s="20">
        <v>40041</v>
      </c>
      <c r="B600" t="s">
        <v>43</v>
      </c>
      <c r="C600" t="s">
        <v>36</v>
      </c>
      <c r="D600" s="3">
        <v>0.9</v>
      </c>
      <c r="J600">
        <v>27.01</v>
      </c>
      <c r="M600" s="21">
        <f t="shared" si="72"/>
        <v>0.9</v>
      </c>
      <c r="N600" s="8">
        <f t="shared" si="79"/>
        <v>0.9</v>
      </c>
      <c r="O600" s="25">
        <f t="shared" si="76"/>
        <v>42638.489999999983</v>
      </c>
      <c r="P600" s="8">
        <f t="shared" si="73"/>
        <v>0</v>
      </c>
      <c r="Q600" s="4">
        <f>IF(AND(S600&gt;=[1]eRRSP_Rpt!$C$6,S600&lt;=[1]eRRSP_Rpt!$C$7),1,0)</f>
        <v>1</v>
      </c>
      <c r="R600" s="4"/>
      <c r="S600" s="4">
        <f t="shared" si="80"/>
        <v>2009</v>
      </c>
      <c r="T600" s="4"/>
      <c r="U600" s="4" t="str">
        <f t="shared" si="74"/>
        <v>IntIncTDW</v>
      </c>
      <c r="V600" s="23">
        <f>IFERROR(IF(AND(AB600&gt;0,B600&lt;&gt;"Sell"),(AA600-SUMIF(C$4:C599,C600,AC$4:AC600))/AB600,0),"")</f>
        <v>0</v>
      </c>
      <c r="W600" s="24" t="str">
        <f t="shared" si="78"/>
        <v/>
      </c>
      <c r="X600" s="25" t="str">
        <f t="shared" si="77"/>
        <v/>
      </c>
      <c r="Y600" s="10" t="str">
        <f>IF(S601&lt;&gt;eRRSP_Tx_Table[[#This Row],[Year]],SUMIFS($W$4:$W600,$S$4:$S600,eRRSP_Tx_Table[[#This Row],[Year]],$W$4:$W600,"&gt;0"),"")</f>
        <v/>
      </c>
      <c r="Z600" s="10" t="str">
        <f>IF(S601&lt;&gt;eRRSP_Tx_Table[[#This Row],[Year]],SUMIFS($W$4:$W600,$S$4:$S600,eRRSP_Tx_Table[[#This Row],[Year]],$W$4:$W600,"&lt;0"),"")</f>
        <v/>
      </c>
      <c r="AA600" s="3">
        <f>(SUMIF($U$4:$U600,CONCATENATE("Buy",$C600),$N$4:$N600)+SUMIF($U$4:$U600,CONCATENATE("ReinvDiv",$C600),$N$4:$N600))</f>
        <v>0</v>
      </c>
      <c r="AB600" s="3">
        <f>(SUMIF($U$4:$U600,CONCATENATE("Buy",$C600),$F$4:$F600)+SUMIF($U$4:$U600,CONCATENATE("ReinvDiv",$C600),$F$4:$F600)+SUMIF($U$4:$U600,CONCATENATE("StkSplit",$C600),$F$4:$F600)-SUMIF($U$4:$U600,CONCATENATE("Sell",$C600),$F$4:$F600))</f>
        <v>0</v>
      </c>
      <c r="AC600" s="3">
        <f>IF(B600="Sell",F600*INDEX(V:V,LOOKUP(2,1/(X$4:X599=CONCATENATE(C600,"_ACB")),ROW(V$4:V599))),0)</f>
        <v>0</v>
      </c>
    </row>
    <row r="601" spans="1:29" x14ac:dyDescent="0.25">
      <c r="A601" s="20">
        <v>40051</v>
      </c>
      <c r="B601" t="s">
        <v>30</v>
      </c>
      <c r="C601" t="s">
        <v>31</v>
      </c>
      <c r="D601" s="3">
        <v>6465</v>
      </c>
      <c r="J601">
        <v>27.89</v>
      </c>
      <c r="M601" s="21">
        <f t="shared" ref="M601:M666" si="81">ROUND(IF(OR(B601="Buy",B601="Sell"),E601*F601,D601),2)</f>
        <v>6465</v>
      </c>
      <c r="N601" s="8">
        <f t="shared" si="79"/>
        <v>6465</v>
      </c>
      <c r="O601" s="25">
        <f t="shared" si="76"/>
        <v>49103.489999999983</v>
      </c>
      <c r="P601" s="8">
        <f t="shared" ref="P601:P666" si="82">IF(OR($B601="Cash"),$N601,0)</f>
        <v>6465</v>
      </c>
      <c r="Q601" s="4">
        <f>IF(AND(S601&gt;=[1]eRRSP_Rpt!$C$6,S601&lt;=[1]eRRSP_Rpt!$C$7),1,0)</f>
        <v>1</v>
      </c>
      <c r="R601" s="4"/>
      <c r="S601" s="4">
        <f t="shared" si="80"/>
        <v>2009</v>
      </c>
      <c r="T601" s="4"/>
      <c r="U601" s="4" t="str">
        <f t="shared" ref="U601:U666" si="83">CONCATENATE(B601,C601)</f>
        <v>CashContribution</v>
      </c>
      <c r="V601" s="23">
        <f>IFERROR(IF(AND(AB601&gt;0,B601&lt;&gt;"Sell"),(AA601-SUMIF(C$4:C600,C601,AC$4:AC601))/AB601,0),"")</f>
        <v>0</v>
      </c>
      <c r="W601" s="24" t="str">
        <f t="shared" si="78"/>
        <v/>
      </c>
      <c r="X601" s="25" t="str">
        <f t="shared" si="77"/>
        <v/>
      </c>
      <c r="Y601" s="10" t="str">
        <f>IF(S602&lt;&gt;eRRSP_Tx_Table[[#This Row],[Year]],SUMIFS($W$4:$W601,$S$4:$S601,eRRSP_Tx_Table[[#This Row],[Year]],$W$4:$W601,"&gt;0"),"")</f>
        <v/>
      </c>
      <c r="Z601" s="10" t="str">
        <f>IF(S602&lt;&gt;eRRSP_Tx_Table[[#This Row],[Year]],SUMIFS($W$4:$W601,$S$4:$S601,eRRSP_Tx_Table[[#This Row],[Year]],$W$4:$W601,"&lt;0"),"")</f>
        <v/>
      </c>
      <c r="AA601" s="3">
        <f>(SUMIF($U$4:$U601,CONCATENATE("Buy",$C601),$N$4:$N601)+SUMIF($U$4:$U601,CONCATENATE("ReinvDiv",$C601),$N$4:$N601))</f>
        <v>0</v>
      </c>
      <c r="AB601" s="3">
        <f>(SUMIF($U$4:$U601,CONCATENATE("Buy",$C601),$F$4:$F601)+SUMIF($U$4:$U601,CONCATENATE("ReinvDiv",$C601),$F$4:$F601)+SUMIF($U$4:$U601,CONCATENATE("StkSplit",$C601),$F$4:$F601)-SUMIF($U$4:$U601,CONCATENATE("Sell",$C601),$F$4:$F601))</f>
        <v>0</v>
      </c>
      <c r="AC601" s="3">
        <f>IF(B601="Sell",F601*INDEX(V:V,LOOKUP(2,1/(X$4:X600=CONCATENATE(C601,"_ACB")),ROW(V$4:V600))),0)</f>
        <v>0</v>
      </c>
    </row>
    <row r="602" spans="1:29" x14ac:dyDescent="0.25">
      <c r="A602" s="20">
        <v>40057</v>
      </c>
      <c r="B602" t="s">
        <v>42</v>
      </c>
      <c r="C602" t="s">
        <v>33</v>
      </c>
      <c r="D602" s="3">
        <v>27.01</v>
      </c>
      <c r="J602">
        <v>43.62</v>
      </c>
      <c r="M602" s="21">
        <f t="shared" si="81"/>
        <v>27.01</v>
      </c>
      <c r="N602" s="8">
        <f t="shared" si="79"/>
        <v>27.01</v>
      </c>
      <c r="O602" s="25">
        <f t="shared" si="76"/>
        <v>49130.499999999985</v>
      </c>
      <c r="P602" s="8">
        <f t="shared" si="82"/>
        <v>0</v>
      </c>
      <c r="Q602" s="4">
        <f>IF(AND(S602&gt;=[1]eRRSP_Rpt!$C$6,S602&lt;=[1]eRRSP_Rpt!$C$7),1,0)</f>
        <v>1</v>
      </c>
      <c r="R602" s="4"/>
      <c r="S602" s="4">
        <f t="shared" si="80"/>
        <v>2009</v>
      </c>
      <c r="T602" s="4"/>
      <c r="U602" s="4" t="str">
        <f t="shared" si="83"/>
        <v>DivEnbridge</v>
      </c>
      <c r="V602" s="23">
        <f>IFERROR(IF(AND(AB602&gt;0,B602&lt;&gt;"Sell"),(AA602-SUMIF(C$4:C601,C602,AC$4:AC602))/AB602,0),"")</f>
        <v>-12.859027777777776</v>
      </c>
      <c r="W602" s="24" t="str">
        <f t="shared" si="78"/>
        <v/>
      </c>
      <c r="X602" s="25" t="str">
        <f t="shared" si="77"/>
        <v>Enbridge_ACB</v>
      </c>
      <c r="Y602" s="10" t="str">
        <f>IF(S603&lt;&gt;eRRSP_Tx_Table[[#This Row],[Year]],SUMIFS($W$4:$W602,$S$4:$S602,eRRSP_Tx_Table[[#This Row],[Year]],$W$4:$W602,"&gt;0"),"")</f>
        <v/>
      </c>
      <c r="Z602" s="10" t="str">
        <f>IF(S603&lt;&gt;eRRSP_Tx_Table[[#This Row],[Year]],SUMIFS($W$4:$W602,$S$4:$S602,eRRSP_Tx_Table[[#This Row],[Year]],$W$4:$W602,"&lt;0"),"")</f>
        <v/>
      </c>
      <c r="AA602" s="3">
        <f>(SUMIF($U$4:$U602,CONCATENATE("Buy",$C602),$N$4:$N602)+SUMIF($U$4:$U602,CONCATENATE("ReinvDiv",$C602),$N$4:$N602))</f>
        <v>-1851.7</v>
      </c>
      <c r="AB602" s="3">
        <f>(SUMIF($U$4:$U602,CONCATENATE("Buy",$C602),$F$4:$F602)+SUMIF($U$4:$U602,CONCATENATE("ReinvDiv",$C602),$F$4:$F602)+SUMIF($U$4:$U602,CONCATENATE("StkSplit",$C602),$F$4:$F602)-SUMIF($U$4:$U602,CONCATENATE("Sell",$C602),$F$4:$F602))</f>
        <v>73</v>
      </c>
      <c r="AC602" s="3">
        <f>IF(B602="Sell",F602*INDEX(V:V,LOOKUP(2,1/(X$4:X601=CONCATENATE(C602,"_ACB")),ROW(V$4:V601))),0)</f>
        <v>0</v>
      </c>
    </row>
    <row r="603" spans="1:29" x14ac:dyDescent="0.25">
      <c r="A603" s="20">
        <v>40064</v>
      </c>
      <c r="B603" t="s">
        <v>42</v>
      </c>
      <c r="C603" t="s">
        <v>88</v>
      </c>
      <c r="D603" s="3">
        <v>27.89</v>
      </c>
      <c r="J603">
        <v>0.99</v>
      </c>
      <c r="M603" s="21">
        <f t="shared" si="81"/>
        <v>27.89</v>
      </c>
      <c r="N603" s="8">
        <f t="shared" si="79"/>
        <v>27.89</v>
      </c>
      <c r="O603" s="25">
        <f t="shared" si="76"/>
        <v>49158.389999999985</v>
      </c>
      <c r="P603" s="8">
        <f t="shared" si="82"/>
        <v>0</v>
      </c>
      <c r="Q603" s="4">
        <f>IF(AND(S603&gt;=[1]eRRSP_Rpt!$C$6,S603&lt;=[1]eRRSP_Rpt!$C$7),1,0)</f>
        <v>1</v>
      </c>
      <c r="R603" s="4"/>
      <c r="S603" s="4">
        <f t="shared" si="80"/>
        <v>2009</v>
      </c>
      <c r="T603" s="4"/>
      <c r="U603" s="4" t="str">
        <f t="shared" si="83"/>
        <v>DiviShares IBOXX (US$)</v>
      </c>
      <c r="V603" s="23">
        <f>IFERROR(IF(AND(AB603&gt;0,B603&lt;&gt;"Sell"),(AA603-SUMIF(C$4:C602,C603,AC$4:AC603))/AB603,0),"")</f>
        <v>-127.70865384615385</v>
      </c>
      <c r="W603" s="24" t="str">
        <f t="shared" si="78"/>
        <v/>
      </c>
      <c r="X603" s="25" t="str">
        <f t="shared" si="77"/>
        <v>iShares IBOXX (US$)_ACB</v>
      </c>
      <c r="Y603" s="10" t="str">
        <f>IF(S604&lt;&gt;eRRSP_Tx_Table[[#This Row],[Year]],SUMIFS($W$4:$W603,$S$4:$S603,eRRSP_Tx_Table[[#This Row],[Year]],$W$4:$W603,"&gt;0"),"")</f>
        <v/>
      </c>
      <c r="Z603" s="10" t="str">
        <f>IF(S604&lt;&gt;eRRSP_Tx_Table[[#This Row],[Year]],SUMIFS($W$4:$W603,$S$4:$S603,eRRSP_Tx_Table[[#This Row],[Year]],$W$4:$W603,"&lt;0"),"")</f>
        <v/>
      </c>
      <c r="AA603" s="3">
        <f>(SUMIF($U$4:$U603,CONCATENATE("Buy",$C603),$N$4:$N603)+SUMIF($U$4:$U603,CONCATENATE("ReinvDiv",$C603),$N$4:$N603))</f>
        <v>-6640.85</v>
      </c>
      <c r="AB603" s="3">
        <f>(SUMIF($U$4:$U603,CONCATENATE("Buy",$C603),$F$4:$F603)+SUMIF($U$4:$U603,CONCATENATE("ReinvDiv",$C603),$F$4:$F603)+SUMIF($U$4:$U603,CONCATENATE("StkSplit",$C603),$F$4:$F603)-SUMIF($U$4:$U603,CONCATENATE("Sell",$C603),$F$4:$F603))</f>
        <v>52</v>
      </c>
      <c r="AC603" s="3">
        <f>IF(B603="Sell",F603*INDEX(V:V,LOOKUP(2,1/(X$4:X602=CONCATENATE(C603,"_ACB")),ROW(V$4:V602))),0)</f>
        <v>0</v>
      </c>
    </row>
    <row r="604" spans="1:29" x14ac:dyDescent="0.25">
      <c r="A604" s="20">
        <v>40067</v>
      </c>
      <c r="B604" t="s">
        <v>42</v>
      </c>
      <c r="C604" t="s">
        <v>87</v>
      </c>
      <c r="D604" s="3">
        <v>43.62</v>
      </c>
      <c r="J604">
        <v>11.59</v>
      </c>
      <c r="M604" s="21">
        <f t="shared" si="81"/>
        <v>43.62</v>
      </c>
      <c r="N604" s="8">
        <f t="shared" si="79"/>
        <v>43.62</v>
      </c>
      <c r="O604" s="25">
        <f t="shared" si="76"/>
        <v>49202.009999999987</v>
      </c>
      <c r="P604" s="8">
        <f t="shared" si="82"/>
        <v>0</v>
      </c>
      <c r="Q604" s="4">
        <f>IF(AND(S604&gt;=[1]eRRSP_Rpt!$C$6,S604&lt;=[1]eRRSP_Rpt!$C$7),1,0)</f>
        <v>1</v>
      </c>
      <c r="R604" s="4"/>
      <c r="S604" s="4">
        <f t="shared" si="80"/>
        <v>2009</v>
      </c>
      <c r="T604" s="4"/>
      <c r="U604" s="4" t="str">
        <f t="shared" si="83"/>
        <v>DivAberdeen Asia Pacific Income Fund</v>
      </c>
      <c r="V604" s="23">
        <f>IFERROR(IF(AND(AB604&gt;0,B604&lt;&gt;"Sell"),(AA604-SUMIF(C$4:C603,C604,AC$4:AC604))/AB604,0),"")</f>
        <v>-7.4694020797227028</v>
      </c>
      <c r="W604" s="24" t="str">
        <f t="shared" si="78"/>
        <v/>
      </c>
      <c r="X604" s="25" t="str">
        <f t="shared" si="77"/>
        <v>Aberdeen Asia Pacific Income Fund_ACB</v>
      </c>
      <c r="Y604" s="10" t="str">
        <f>IF(S605&lt;&gt;eRRSP_Tx_Table[[#This Row],[Year]],SUMIFS($W$4:$W604,$S$4:$S604,eRRSP_Tx_Table[[#This Row],[Year]],$W$4:$W604,"&gt;0"),"")</f>
        <v/>
      </c>
      <c r="Z604" s="10" t="str">
        <f>IF(S605&lt;&gt;eRRSP_Tx_Table[[#This Row],[Year]],SUMIFS($W$4:$W604,$S$4:$S604,eRRSP_Tx_Table[[#This Row],[Year]],$W$4:$W604,"&lt;0"),"")</f>
        <v/>
      </c>
      <c r="AA604" s="3">
        <f>(SUMIF($U$4:$U604,CONCATENATE("Buy",$C604),$N$4:$N604)+SUMIF($U$4:$U604,CONCATENATE("ReinvDiv",$C604),$N$4:$N604))</f>
        <v>-8619.6899999999987</v>
      </c>
      <c r="AB604" s="3">
        <f>(SUMIF($U$4:$U604,CONCATENATE("Buy",$C604),$F$4:$F604)+SUMIF($U$4:$U604,CONCATENATE("ReinvDiv",$C604),$F$4:$F604)+SUMIF($U$4:$U604,CONCATENATE("StkSplit",$C604),$F$4:$F604)-SUMIF($U$4:$U604,CONCATENATE("Sell",$C604),$F$4:$F604))</f>
        <v>1154</v>
      </c>
      <c r="AC604" s="3">
        <f>IF(B604="Sell",F604*INDEX(V:V,LOOKUP(2,1/(X$4:X603=CONCATENATE(C604,"_ACB")),ROW(V$4:V603))),0)</f>
        <v>0</v>
      </c>
    </row>
    <row r="605" spans="1:29" x14ac:dyDescent="0.25">
      <c r="A605" s="20">
        <v>40072</v>
      </c>
      <c r="B605" t="s">
        <v>43</v>
      </c>
      <c r="C605" t="s">
        <v>36</v>
      </c>
      <c r="D605" s="3">
        <v>0.99</v>
      </c>
      <c r="J605">
        <v>28.85</v>
      </c>
      <c r="M605" s="21">
        <f t="shared" si="81"/>
        <v>0.99</v>
      </c>
      <c r="N605" s="8">
        <f t="shared" si="79"/>
        <v>0.99</v>
      </c>
      <c r="O605" s="25">
        <f t="shared" si="76"/>
        <v>49202.999999999985</v>
      </c>
      <c r="P605" s="8">
        <f t="shared" si="82"/>
        <v>0</v>
      </c>
      <c r="Q605" s="4">
        <f>IF(AND(S605&gt;=[1]eRRSP_Rpt!$C$6,S605&lt;=[1]eRRSP_Rpt!$C$7),1,0)</f>
        <v>1</v>
      </c>
      <c r="R605" s="4"/>
      <c r="S605" s="4">
        <f t="shared" si="80"/>
        <v>2009</v>
      </c>
      <c r="T605" s="4"/>
      <c r="U605" s="4" t="str">
        <f t="shared" si="83"/>
        <v>IntIncTDW</v>
      </c>
      <c r="V605" s="23">
        <f>IFERROR(IF(AND(AB605&gt;0,B605&lt;&gt;"Sell"),(AA605-SUMIF(C$4:C604,C605,AC$4:AC605))/AB605,0),"")</f>
        <v>0</v>
      </c>
      <c r="W605" s="24" t="str">
        <f t="shared" si="78"/>
        <v/>
      </c>
      <c r="X605" s="25" t="str">
        <f t="shared" si="77"/>
        <v/>
      </c>
      <c r="Y605" s="10" t="str">
        <f>IF(S606&lt;&gt;eRRSP_Tx_Table[[#This Row],[Year]],SUMIFS($W$4:$W605,$S$4:$S605,eRRSP_Tx_Table[[#This Row],[Year]],$W$4:$W605,"&gt;0"),"")</f>
        <v/>
      </c>
      <c r="Z605" s="10" t="str">
        <f>IF(S606&lt;&gt;eRRSP_Tx_Table[[#This Row],[Year]],SUMIFS($W$4:$W605,$S$4:$S605,eRRSP_Tx_Table[[#This Row],[Year]],$W$4:$W605,"&lt;0"),"")</f>
        <v/>
      </c>
      <c r="AA605" s="3">
        <f>(SUMIF($U$4:$U605,CONCATENATE("Buy",$C605),$N$4:$N605)+SUMIF($U$4:$U605,CONCATENATE("ReinvDiv",$C605),$N$4:$N605))</f>
        <v>0</v>
      </c>
      <c r="AB605" s="3">
        <f>(SUMIF($U$4:$U605,CONCATENATE("Buy",$C605),$F$4:$F605)+SUMIF($U$4:$U605,CONCATENATE("ReinvDiv",$C605),$F$4:$F605)+SUMIF($U$4:$U605,CONCATENATE("StkSplit",$C605),$F$4:$F605)-SUMIF($U$4:$U605,CONCATENATE("Sell",$C605),$F$4:$F605))</f>
        <v>0</v>
      </c>
      <c r="AC605" s="3">
        <f>IF(B605="Sell",F605*INDEX(V:V,LOOKUP(2,1/(X$4:X604=CONCATENATE(C605,"_ACB")),ROW(V$4:V604))),0)</f>
        <v>0</v>
      </c>
    </row>
    <row r="606" spans="1:29" x14ac:dyDescent="0.25">
      <c r="A606" s="20">
        <v>40085</v>
      </c>
      <c r="B606" t="s">
        <v>42</v>
      </c>
      <c r="C606" t="s">
        <v>86</v>
      </c>
      <c r="D606" s="3">
        <v>11.59</v>
      </c>
      <c r="J606">
        <v>17.3</v>
      </c>
      <c r="M606" s="21">
        <f t="shared" si="81"/>
        <v>11.59</v>
      </c>
      <c r="N606" s="8">
        <f t="shared" si="79"/>
        <v>11.59</v>
      </c>
      <c r="O606" s="25">
        <f t="shared" si="76"/>
        <v>49214.589999999982</v>
      </c>
      <c r="P606" s="8">
        <f t="shared" si="82"/>
        <v>0</v>
      </c>
      <c r="Q606" s="4">
        <f>IF(AND(S606&gt;=[1]eRRSP_Rpt!$C$6,S606&lt;=[1]eRRSP_Rpt!$C$7),1,0)</f>
        <v>1</v>
      </c>
      <c r="R606" s="4"/>
      <c r="S606" s="4">
        <f t="shared" si="80"/>
        <v>2009</v>
      </c>
      <c r="T606" s="4"/>
      <c r="U606" s="4" t="str">
        <f t="shared" si="83"/>
        <v>DiviShares S&amp;P SmallCap</v>
      </c>
      <c r="V606" s="23">
        <f>IFERROR(IF(AND(AB606&gt;0,B606&lt;&gt;"Sell"),(AA606-SUMIF(C$4:C605,C606,AC$4:AC606))/AB606,0),"")</f>
        <v>-70.414404761904763</v>
      </c>
      <c r="W606" s="24" t="str">
        <f t="shared" si="78"/>
        <v/>
      </c>
      <c r="X606" s="25" t="str">
        <f t="shared" si="77"/>
        <v>iShares S&amp;P SmallCap_ACB</v>
      </c>
      <c r="Y606" s="10" t="str">
        <f>IF(S607&lt;&gt;eRRSP_Tx_Table[[#This Row],[Year]],SUMIFS($W$4:$W606,$S$4:$S606,eRRSP_Tx_Table[[#This Row],[Year]],$W$4:$W606,"&gt;0"),"")</f>
        <v/>
      </c>
      <c r="Z606" s="10" t="str">
        <f>IF(S607&lt;&gt;eRRSP_Tx_Table[[#This Row],[Year]],SUMIFS($W$4:$W606,$S$4:$S606,eRRSP_Tx_Table[[#This Row],[Year]],$W$4:$W606,"&lt;0"),"")</f>
        <v/>
      </c>
      <c r="AA606" s="3">
        <f>(SUMIF($U$4:$U606,CONCATENATE("Buy",$C606),$N$4:$N606)+SUMIF($U$4:$U606,CONCATENATE("ReinvDiv",$C606),$N$4:$N606))</f>
        <v>-5914.81</v>
      </c>
      <c r="AB606" s="3">
        <f>(SUMIF($U$4:$U606,CONCATENATE("Buy",$C606),$F$4:$F606)+SUMIF($U$4:$U606,CONCATENATE("ReinvDiv",$C606),$F$4:$F606)+SUMIF($U$4:$U606,CONCATENATE("StkSplit",$C606),$F$4:$F606)-SUMIF($U$4:$U606,CONCATENATE("Sell",$C606),$F$4:$F606))</f>
        <v>84</v>
      </c>
      <c r="AC606" s="3">
        <f>IF(B606="Sell",F606*INDEX(V:V,LOOKUP(2,1/(X$4:X605=CONCATENATE(C606,"_ACB")),ROW(V$4:V605))),0)</f>
        <v>0</v>
      </c>
    </row>
    <row r="607" spans="1:29" x14ac:dyDescent="0.25">
      <c r="A607" s="20">
        <v>40085</v>
      </c>
      <c r="B607" t="s">
        <v>41</v>
      </c>
      <c r="C607" t="s">
        <v>62</v>
      </c>
      <c r="D607" s="3">
        <v>28.85</v>
      </c>
      <c r="E607">
        <v>14.987</v>
      </c>
      <c r="F607" s="3">
        <v>1.925</v>
      </c>
      <c r="J607">
        <v>26.02</v>
      </c>
      <c r="M607" s="21">
        <f t="shared" si="81"/>
        <v>28.85</v>
      </c>
      <c r="N607" s="8">
        <f t="shared" si="79"/>
        <v>-28.85</v>
      </c>
      <c r="O607" s="25">
        <f t="shared" si="76"/>
        <v>49214.589999999982</v>
      </c>
      <c r="P607" s="8">
        <f t="shared" si="82"/>
        <v>0</v>
      </c>
      <c r="Q607" s="4">
        <f>IF(AND(S607&gt;=[1]eRRSP_Rpt!$C$6,S607&lt;=[1]eRRSP_Rpt!$C$7),1,0)</f>
        <v>1</v>
      </c>
      <c r="R607" s="4"/>
      <c r="S607" s="4">
        <f t="shared" si="80"/>
        <v>2009</v>
      </c>
      <c r="T607" s="4"/>
      <c r="U607" s="4" t="str">
        <f t="shared" si="83"/>
        <v>ReinvDivTD RR Bond</v>
      </c>
      <c r="V607" s="23">
        <f>IFERROR(IF(AND(AB607&gt;0,B607&lt;&gt;"Sell"),(AA607-SUMIF(C$4:C606,C607,AC$4:AC607))/AB607,0),"")</f>
        <v>-14.233269764844934</v>
      </c>
      <c r="W607" s="24" t="str">
        <f t="shared" si="78"/>
        <v/>
      </c>
      <c r="X607" s="25" t="str">
        <f t="shared" si="77"/>
        <v>TD RR Bond_ACB</v>
      </c>
      <c r="Y607" s="10" t="str">
        <f>IF(S608&lt;&gt;eRRSP_Tx_Table[[#This Row],[Year]],SUMIFS($W$4:$W607,$S$4:$S607,eRRSP_Tx_Table[[#This Row],[Year]],$W$4:$W607,"&gt;0"),"")</f>
        <v/>
      </c>
      <c r="Z607" s="10" t="str">
        <f>IF(S608&lt;&gt;eRRSP_Tx_Table[[#This Row],[Year]],SUMIFS($W$4:$W607,$S$4:$S607,eRRSP_Tx_Table[[#This Row],[Year]],$W$4:$W607,"&lt;0"),"")</f>
        <v/>
      </c>
      <c r="AA607" s="3">
        <f>(SUMIF($U$4:$U607,CONCATENATE("Buy",$C607),$N$4:$N607)+SUMIF($U$4:$U607,CONCATENATE("ReinvDiv",$C607),$N$4:$N607))</f>
        <v>-9814.48</v>
      </c>
      <c r="AB607" s="3">
        <f>(SUMIF($U$4:$U607,CONCATENATE("Buy",$C607),$F$4:$F607)+SUMIF($U$4:$U607,CONCATENATE("ReinvDiv",$C607),$F$4:$F607)+SUMIF($U$4:$U607,CONCATENATE("StkSplit",$C607),$F$4:$F607)-SUMIF($U$4:$U607,CONCATENATE("Sell",$C607),$F$4:$F607))</f>
        <v>689.54499999999996</v>
      </c>
      <c r="AC607" s="3">
        <f>IF(B607="Sell",F607*INDEX(V:V,LOOKUP(2,1/(X$4:X606=CONCATENATE(C607,"_ACB")),ROW(V$4:V606))),0)</f>
        <v>0</v>
      </c>
    </row>
    <row r="608" spans="1:29" x14ac:dyDescent="0.25">
      <c r="A608" s="20">
        <v>40086</v>
      </c>
      <c r="B608" t="s">
        <v>42</v>
      </c>
      <c r="C608" t="s">
        <v>90</v>
      </c>
      <c r="D608" s="3">
        <v>17.3</v>
      </c>
      <c r="J608">
        <v>41.74</v>
      </c>
      <c r="M608" s="21">
        <f t="shared" si="81"/>
        <v>17.3</v>
      </c>
      <c r="N608" s="8">
        <f t="shared" si="79"/>
        <v>17.3</v>
      </c>
      <c r="O608" s="25">
        <f t="shared" si="76"/>
        <v>49231.889999999985</v>
      </c>
      <c r="P608" s="8">
        <f t="shared" si="82"/>
        <v>0</v>
      </c>
      <c r="Q608" s="4">
        <f>IF(AND(S608&gt;=[1]eRRSP_Rpt!$C$6,S608&lt;=[1]eRRSP_Rpt!$C$7),1,0)</f>
        <v>1</v>
      </c>
      <c r="R608" s="4"/>
      <c r="S608" s="4">
        <f t="shared" si="80"/>
        <v>2009</v>
      </c>
      <c r="T608" s="4"/>
      <c r="U608" s="4" t="str">
        <f t="shared" si="83"/>
        <v>DivVanguard Large Cap ETF</v>
      </c>
      <c r="V608" s="23">
        <f>IFERROR(IF(AND(AB608&gt;0,B608&lt;&gt;"Sell"),(AA608-SUMIF(C$4:C607,C608,AC$4:AC608))/AB608,0),"")</f>
        <v>-74.401142857142858</v>
      </c>
      <c r="W608" s="24" t="str">
        <f t="shared" si="78"/>
        <v/>
      </c>
      <c r="X608" s="25" t="str">
        <f t="shared" si="77"/>
        <v>Vanguard Large Cap ETF_ACB</v>
      </c>
      <c r="Y608" s="10" t="str">
        <f>IF(S609&lt;&gt;eRRSP_Tx_Table[[#This Row],[Year]],SUMIFS($W$4:$W608,$S$4:$S608,eRRSP_Tx_Table[[#This Row],[Year]],$W$4:$W608,"&gt;0"),"")</f>
        <v/>
      </c>
      <c r="Z608" s="10" t="str">
        <f>IF(S609&lt;&gt;eRRSP_Tx_Table[[#This Row],[Year]],SUMIFS($W$4:$W608,$S$4:$S608,eRRSP_Tx_Table[[#This Row],[Year]],$W$4:$W608,"&lt;0"),"")</f>
        <v/>
      </c>
      <c r="AA608" s="3">
        <f>(SUMIF($U$4:$U608,CONCATENATE("Buy",$C608),$N$4:$N608)+SUMIF($U$4:$U608,CONCATENATE("ReinvDiv",$C608),$N$4:$N608))</f>
        <v>-5208.08</v>
      </c>
      <c r="AB608" s="3">
        <f>(SUMIF($U$4:$U608,CONCATENATE("Buy",$C608),$F$4:$F608)+SUMIF($U$4:$U608,CONCATENATE("ReinvDiv",$C608),$F$4:$F608)+SUMIF($U$4:$U608,CONCATENATE("StkSplit",$C608),$F$4:$F608)-SUMIF($U$4:$U608,CONCATENATE("Sell",$C608),$F$4:$F608))</f>
        <v>70</v>
      </c>
      <c r="AC608" s="3">
        <f>IF(B608="Sell",F608*INDEX(V:V,LOOKUP(2,1/(X$4:X607=CONCATENATE(C608,"_ACB")),ROW(V$4:V607))),0)</f>
        <v>0</v>
      </c>
    </row>
    <row r="609" spans="1:29" x14ac:dyDescent="0.25">
      <c r="A609" s="20">
        <v>40093</v>
      </c>
      <c r="B609" t="s">
        <v>42</v>
      </c>
      <c r="C609" t="s">
        <v>88</v>
      </c>
      <c r="D609" s="3">
        <v>26.02</v>
      </c>
      <c r="J609">
        <v>1.01</v>
      </c>
      <c r="M609" s="21">
        <f t="shared" si="81"/>
        <v>26.02</v>
      </c>
      <c r="N609" s="8">
        <f t="shared" si="79"/>
        <v>26.02</v>
      </c>
      <c r="O609" s="25">
        <f t="shared" si="76"/>
        <v>49257.909999999982</v>
      </c>
      <c r="P609" s="8">
        <f t="shared" si="82"/>
        <v>0</v>
      </c>
      <c r="Q609" s="4">
        <f>IF(AND(S609&gt;=[1]eRRSP_Rpt!$C$6,S609&lt;=[1]eRRSP_Rpt!$C$7),1,0)</f>
        <v>1</v>
      </c>
      <c r="R609" s="4"/>
      <c r="S609" s="4">
        <f t="shared" si="80"/>
        <v>2009</v>
      </c>
      <c r="T609" s="4"/>
      <c r="U609" s="4" t="str">
        <f t="shared" si="83"/>
        <v>DiviShares IBOXX (US$)</v>
      </c>
      <c r="V609" s="23">
        <f>IFERROR(IF(AND(AB609&gt;0,B609&lt;&gt;"Sell"),(AA609-SUMIF(C$4:C608,C609,AC$4:AC609))/AB609,0),"")</f>
        <v>-127.70865384615385</v>
      </c>
      <c r="W609" s="24" t="str">
        <f t="shared" si="78"/>
        <v/>
      </c>
      <c r="X609" s="25" t="str">
        <f t="shared" si="77"/>
        <v>iShares IBOXX (US$)_ACB</v>
      </c>
      <c r="Y609" s="10" t="str">
        <f>IF(S610&lt;&gt;eRRSP_Tx_Table[[#This Row],[Year]],SUMIFS($W$4:$W609,$S$4:$S609,eRRSP_Tx_Table[[#This Row],[Year]],$W$4:$W609,"&gt;0"),"")</f>
        <v/>
      </c>
      <c r="Z609" s="10" t="str">
        <f>IF(S610&lt;&gt;eRRSP_Tx_Table[[#This Row],[Year]],SUMIFS($W$4:$W609,$S$4:$S609,eRRSP_Tx_Table[[#This Row],[Year]],$W$4:$W609,"&lt;0"),"")</f>
        <v/>
      </c>
      <c r="AA609" s="3">
        <f>(SUMIF($U$4:$U609,CONCATENATE("Buy",$C609),$N$4:$N609)+SUMIF($U$4:$U609,CONCATENATE("ReinvDiv",$C609),$N$4:$N609))</f>
        <v>-6640.85</v>
      </c>
      <c r="AB609" s="3">
        <f>(SUMIF($U$4:$U609,CONCATENATE("Buy",$C609),$F$4:$F609)+SUMIF($U$4:$U609,CONCATENATE("ReinvDiv",$C609),$F$4:$F609)+SUMIF($U$4:$U609,CONCATENATE("StkSplit",$C609),$F$4:$F609)-SUMIF($U$4:$U609,CONCATENATE("Sell",$C609),$F$4:$F609))</f>
        <v>52</v>
      </c>
      <c r="AC609" s="3">
        <f>IF(B609="Sell",F609*INDEX(V:V,LOOKUP(2,1/(X$4:X608=CONCATENATE(C609,"_ACB")),ROW(V$4:V608))),0)</f>
        <v>0</v>
      </c>
    </row>
    <row r="610" spans="1:29" x14ac:dyDescent="0.25">
      <c r="A610" s="20">
        <v>40102</v>
      </c>
      <c r="B610" t="s">
        <v>42</v>
      </c>
      <c r="C610" t="s">
        <v>87</v>
      </c>
      <c r="D610" s="3">
        <v>41.74</v>
      </c>
      <c r="J610">
        <v>0.76</v>
      </c>
      <c r="M610" s="21">
        <f t="shared" si="81"/>
        <v>41.74</v>
      </c>
      <c r="N610" s="8">
        <f t="shared" si="79"/>
        <v>41.74</v>
      </c>
      <c r="O610" s="25">
        <f t="shared" si="76"/>
        <v>49299.64999999998</v>
      </c>
      <c r="P610" s="8">
        <f t="shared" si="82"/>
        <v>0</v>
      </c>
      <c r="Q610" s="4">
        <f>IF(AND(S610&gt;=[1]eRRSP_Rpt!$C$6,S610&lt;=[1]eRRSP_Rpt!$C$7),1,0)</f>
        <v>1</v>
      </c>
      <c r="R610" s="4"/>
      <c r="S610" s="4">
        <f t="shared" si="80"/>
        <v>2009</v>
      </c>
      <c r="T610" s="4"/>
      <c r="U610" s="4" t="str">
        <f t="shared" si="83"/>
        <v>DivAberdeen Asia Pacific Income Fund</v>
      </c>
      <c r="V610" s="23">
        <f>IFERROR(IF(AND(AB610&gt;0,B610&lt;&gt;"Sell"),(AA610-SUMIF(C$4:C609,C610,AC$4:AC610))/AB610,0),"")</f>
        <v>-7.4694020797227028</v>
      </c>
      <c r="W610" s="24" t="str">
        <f t="shared" si="78"/>
        <v/>
      </c>
      <c r="X610" s="25" t="str">
        <f t="shared" si="77"/>
        <v>Aberdeen Asia Pacific Income Fund_ACB</v>
      </c>
      <c r="Y610" s="10" t="str">
        <f>IF(S611&lt;&gt;eRRSP_Tx_Table[[#This Row],[Year]],SUMIFS($W$4:$W610,$S$4:$S610,eRRSP_Tx_Table[[#This Row],[Year]],$W$4:$W610,"&gt;0"),"")</f>
        <v/>
      </c>
      <c r="Z610" s="10" t="str">
        <f>IF(S611&lt;&gt;eRRSP_Tx_Table[[#This Row],[Year]],SUMIFS($W$4:$W610,$S$4:$S610,eRRSP_Tx_Table[[#This Row],[Year]],$W$4:$W610,"&lt;0"),"")</f>
        <v/>
      </c>
      <c r="AA610" s="3">
        <f>(SUMIF($U$4:$U610,CONCATENATE("Buy",$C610),$N$4:$N610)+SUMIF($U$4:$U610,CONCATENATE("ReinvDiv",$C610),$N$4:$N610))</f>
        <v>-8619.6899999999987</v>
      </c>
      <c r="AB610" s="3">
        <f>(SUMIF($U$4:$U610,CONCATENATE("Buy",$C610),$F$4:$F610)+SUMIF($U$4:$U610,CONCATENATE("ReinvDiv",$C610),$F$4:$F610)+SUMIF($U$4:$U610,CONCATENATE("StkSplit",$C610),$F$4:$F610)-SUMIF($U$4:$U610,CONCATENATE("Sell",$C610),$F$4:$F610))</f>
        <v>1154</v>
      </c>
      <c r="AC610" s="3">
        <f>IF(B610="Sell",F610*INDEX(V:V,LOOKUP(2,1/(X$4:X609=CONCATENATE(C610,"_ACB")),ROW(V$4:V609))),0)</f>
        <v>0</v>
      </c>
    </row>
    <row r="611" spans="1:29" x14ac:dyDescent="0.25">
      <c r="A611" s="20">
        <v>40102</v>
      </c>
      <c r="B611" t="s">
        <v>43</v>
      </c>
      <c r="C611" t="s">
        <v>36</v>
      </c>
      <c r="D611" s="3">
        <v>1.01</v>
      </c>
      <c r="J611">
        <v>12.2</v>
      </c>
      <c r="M611" s="21">
        <f t="shared" si="81"/>
        <v>1.01</v>
      </c>
      <c r="N611" s="8">
        <f t="shared" si="79"/>
        <v>1.01</v>
      </c>
      <c r="O611" s="25">
        <f t="shared" si="76"/>
        <v>49300.659999999982</v>
      </c>
      <c r="P611" s="8">
        <f t="shared" si="82"/>
        <v>0</v>
      </c>
      <c r="Q611" s="4">
        <f>IF(AND(S611&gt;=[1]eRRSP_Rpt!$C$6,S611&lt;=[1]eRRSP_Rpt!$C$7),1,0)</f>
        <v>1</v>
      </c>
      <c r="R611" s="4"/>
      <c r="S611" s="4">
        <f t="shared" si="80"/>
        <v>2009</v>
      </c>
      <c r="T611" s="4"/>
      <c r="U611" s="4" t="str">
        <f t="shared" si="83"/>
        <v>IntIncTDW</v>
      </c>
      <c r="V611" s="23">
        <f>IFERROR(IF(AND(AB611&gt;0,B611&lt;&gt;"Sell"),(AA611-SUMIF(C$4:C610,C611,AC$4:AC611))/AB611,0),"")</f>
        <v>0</v>
      </c>
      <c r="W611" s="24" t="str">
        <f t="shared" si="78"/>
        <v/>
      </c>
      <c r="X611" s="25" t="str">
        <f t="shared" si="77"/>
        <v/>
      </c>
      <c r="Y611" s="10" t="str">
        <f>IF(S612&lt;&gt;eRRSP_Tx_Table[[#This Row],[Year]],SUMIFS($W$4:$W611,$S$4:$S611,eRRSP_Tx_Table[[#This Row],[Year]],$W$4:$W611,"&gt;0"),"")</f>
        <v/>
      </c>
      <c r="Z611" s="10" t="str">
        <f>IF(S612&lt;&gt;eRRSP_Tx_Table[[#This Row],[Year]],SUMIFS($W$4:$W611,$S$4:$S611,eRRSP_Tx_Table[[#This Row],[Year]],$W$4:$W611,"&lt;0"),"")</f>
        <v/>
      </c>
      <c r="AA611" s="3">
        <f>(SUMIF($U$4:$U611,CONCATENATE("Buy",$C611),$N$4:$N611)+SUMIF($U$4:$U611,CONCATENATE("ReinvDiv",$C611),$N$4:$N611))</f>
        <v>0</v>
      </c>
      <c r="AB611" s="3">
        <f>(SUMIF($U$4:$U611,CONCATENATE("Buy",$C611),$F$4:$F611)+SUMIF($U$4:$U611,CONCATENATE("ReinvDiv",$C611),$F$4:$F611)+SUMIF($U$4:$U611,CONCATENATE("StkSplit",$C611),$F$4:$F611)-SUMIF($U$4:$U611,CONCATENATE("Sell",$C611),$F$4:$F611))</f>
        <v>0</v>
      </c>
      <c r="AC611" s="3">
        <f>IF(B611="Sell",F611*INDEX(V:V,LOOKUP(2,1/(X$4:X610=CONCATENATE(C611,"_ACB")),ROW(V$4:V610))),0)</f>
        <v>0</v>
      </c>
    </row>
    <row r="612" spans="1:29" x14ac:dyDescent="0.25">
      <c r="A612" s="20">
        <v>40117</v>
      </c>
      <c r="B612" t="s">
        <v>42</v>
      </c>
      <c r="C612" t="s">
        <v>47</v>
      </c>
      <c r="D612" s="3">
        <v>0.76</v>
      </c>
      <c r="J612">
        <v>26.74</v>
      </c>
      <c r="M612" s="21">
        <f t="shared" si="81"/>
        <v>0.76</v>
      </c>
      <c r="N612" s="8">
        <f t="shared" si="79"/>
        <v>0.76</v>
      </c>
      <c r="O612" s="25">
        <f t="shared" si="76"/>
        <v>49301.419999999984</v>
      </c>
      <c r="P612" s="8">
        <f t="shared" si="82"/>
        <v>0</v>
      </c>
      <c r="Q612" s="4">
        <f>IF(AND(S612&gt;=[1]eRRSP_Rpt!$C$6,S612&lt;=[1]eRRSP_Rpt!$C$7),1,0)</f>
        <v>1</v>
      </c>
      <c r="R612" s="4"/>
      <c r="S612" s="4">
        <f t="shared" si="80"/>
        <v>2009</v>
      </c>
      <c r="T612" s="4"/>
      <c r="U612" s="4" t="str">
        <f t="shared" si="83"/>
        <v>DivBombardier</v>
      </c>
      <c r="V612" s="23">
        <f>IFERROR(IF(AND(AB612&gt;0,B612&lt;&gt;"Sell"),(AA612-SUMIF(C$4:C611,C612,AC$4:AC612))/AB612,0),"")</f>
        <v>-23.216666666666665</v>
      </c>
      <c r="W612" s="24" t="str">
        <f t="shared" si="78"/>
        <v/>
      </c>
      <c r="X612" s="25" t="str">
        <f t="shared" si="77"/>
        <v>Bombardier_ACB</v>
      </c>
      <c r="Y612" s="10" t="str">
        <f>IF(S613&lt;&gt;eRRSP_Tx_Table[[#This Row],[Year]],SUMIFS($W$4:$W612,$S$4:$S612,eRRSP_Tx_Table[[#This Row],[Year]],$W$4:$W612,"&gt;0"),"")</f>
        <v/>
      </c>
      <c r="Z612" s="10" t="str">
        <f>IF(S613&lt;&gt;eRRSP_Tx_Table[[#This Row],[Year]],SUMIFS($W$4:$W612,$S$4:$S612,eRRSP_Tx_Table[[#This Row],[Year]],$W$4:$W612,"&lt;0"),"")</f>
        <v/>
      </c>
      <c r="AA612" s="3">
        <f>(SUMIF($U$4:$U612,CONCATENATE("Buy",$C612),$N$4:$N612)+SUMIF($U$4:$U612,CONCATENATE("ReinvDiv",$C612),$N$4:$N612))</f>
        <v>-696.5</v>
      </c>
      <c r="AB612" s="3">
        <f>(SUMIF($U$4:$U612,CONCATENATE("Buy",$C612),$F$4:$F612)+SUMIF($U$4:$U612,CONCATENATE("ReinvDiv",$C612),$F$4:$F612)+SUMIF($U$4:$U612,CONCATENATE("StkSplit",$C612),$F$4:$F612)-SUMIF($U$4:$U612,CONCATENATE("Sell",$C612),$F$4:$F612))</f>
        <v>30</v>
      </c>
      <c r="AC612" s="3">
        <f>IF(B612="Sell",F612*INDEX(V:V,LOOKUP(2,1/(X$4:X611=CONCATENATE(C612,"_ACB")),ROW(V$4:V611))),0)</f>
        <v>0</v>
      </c>
    </row>
    <row r="613" spans="1:29" x14ac:dyDescent="0.25">
      <c r="A613" s="20">
        <v>40117</v>
      </c>
      <c r="B613" t="s">
        <v>42</v>
      </c>
      <c r="C613" t="s">
        <v>45</v>
      </c>
      <c r="D613" s="3">
        <v>12.2</v>
      </c>
      <c r="J613">
        <v>2.35</v>
      </c>
      <c r="M613" s="21">
        <f t="shared" si="81"/>
        <v>12.2</v>
      </c>
      <c r="N613" s="8">
        <f t="shared" si="79"/>
        <v>12.2</v>
      </c>
      <c r="O613" s="25">
        <f t="shared" si="76"/>
        <v>49313.619999999981</v>
      </c>
      <c r="P613" s="8">
        <f t="shared" si="82"/>
        <v>0</v>
      </c>
      <c r="Q613" s="4">
        <f>IF(AND(S613&gt;=[1]eRRSP_Rpt!$C$6,S613&lt;=[1]eRRSP_Rpt!$C$7),1,0)</f>
        <v>1</v>
      </c>
      <c r="R613" s="4"/>
      <c r="S613" s="4">
        <f t="shared" si="80"/>
        <v>2009</v>
      </c>
      <c r="T613" s="4"/>
      <c r="U613" s="4" t="str">
        <f t="shared" si="83"/>
        <v>DivTD Bank</v>
      </c>
      <c r="V613" s="23">
        <f>IFERROR(IF(AND(AB613&gt;0,B613&lt;&gt;"Sell"),(AA613-SUMIF(C$4:C612,C613,AC$4:AC613))/AB613,0),"")</f>
        <v>-44.29</v>
      </c>
      <c r="W613" s="24" t="str">
        <f t="shared" si="78"/>
        <v/>
      </c>
      <c r="X613" s="25" t="str">
        <f t="shared" si="77"/>
        <v>TD Bank_ACB</v>
      </c>
      <c r="Y613" s="10" t="str">
        <f>IF(S614&lt;&gt;eRRSP_Tx_Table[[#This Row],[Year]],SUMIFS($W$4:$W613,$S$4:$S613,eRRSP_Tx_Table[[#This Row],[Year]],$W$4:$W613,"&gt;0"),"")</f>
        <v/>
      </c>
      <c r="Z613" s="10" t="str">
        <f>IF(S614&lt;&gt;eRRSP_Tx_Table[[#This Row],[Year]],SUMIFS($W$4:$W613,$S$4:$S613,eRRSP_Tx_Table[[#This Row],[Year]],$W$4:$W613,"&lt;0"),"")</f>
        <v/>
      </c>
      <c r="AA613" s="3">
        <f>(SUMIF($U$4:$U613,CONCATENATE("Buy",$C613),$N$4:$N613)+SUMIF($U$4:$U613,CONCATENATE("ReinvDiv",$C613),$N$4:$N613))</f>
        <v>-885.8</v>
      </c>
      <c r="AB613" s="3">
        <f>(SUMIF($U$4:$U613,CONCATENATE("Buy",$C613),$F$4:$F613)+SUMIF($U$4:$U613,CONCATENATE("ReinvDiv",$C613),$F$4:$F613)+SUMIF($U$4:$U613,CONCATENATE("StkSplit",$C613),$F$4:$F613)-SUMIF($U$4:$U613,CONCATENATE("Sell",$C613),$F$4:$F613))</f>
        <v>20</v>
      </c>
      <c r="AC613" s="3">
        <f>IF(B613="Sell",F613*INDEX(V:V,LOOKUP(2,1/(X$4:X612=CONCATENATE(C613,"_ACB")),ROW(V$4:V612))),0)</f>
        <v>0</v>
      </c>
    </row>
    <row r="614" spans="1:29" x14ac:dyDescent="0.25">
      <c r="A614" s="20">
        <v>40123</v>
      </c>
      <c r="B614" t="s">
        <v>42</v>
      </c>
      <c r="C614" t="s">
        <v>88</v>
      </c>
      <c r="D614" s="3">
        <v>26.74</v>
      </c>
      <c r="J614">
        <v>42.61</v>
      </c>
      <c r="M614" s="21">
        <f t="shared" si="81"/>
        <v>26.74</v>
      </c>
      <c r="N614" s="8">
        <f t="shared" si="79"/>
        <v>26.74</v>
      </c>
      <c r="O614" s="25">
        <f t="shared" si="76"/>
        <v>49340.359999999979</v>
      </c>
      <c r="P614" s="8">
        <f t="shared" si="82"/>
        <v>0</v>
      </c>
      <c r="Q614" s="4">
        <f>IF(AND(S614&gt;=[1]eRRSP_Rpt!$C$6,S614&lt;=[1]eRRSP_Rpt!$C$7),1,0)</f>
        <v>1</v>
      </c>
      <c r="R614" s="4"/>
      <c r="S614" s="4">
        <f t="shared" si="80"/>
        <v>2009</v>
      </c>
      <c r="T614" s="4"/>
      <c r="U614" s="4" t="str">
        <f t="shared" si="83"/>
        <v>DiviShares IBOXX (US$)</v>
      </c>
      <c r="V614" s="23">
        <f>IFERROR(IF(AND(AB614&gt;0,B614&lt;&gt;"Sell"),(AA614-SUMIF(C$4:C613,C614,AC$4:AC614))/AB614,0),"")</f>
        <v>-127.70865384615385</v>
      </c>
      <c r="W614" s="24" t="str">
        <f t="shared" si="78"/>
        <v/>
      </c>
      <c r="X614" s="25" t="str">
        <f t="shared" si="77"/>
        <v>iShares IBOXX (US$)_ACB</v>
      </c>
      <c r="Y614" s="10" t="str">
        <f>IF(S615&lt;&gt;eRRSP_Tx_Table[[#This Row],[Year]],SUMIFS($W$4:$W614,$S$4:$S614,eRRSP_Tx_Table[[#This Row],[Year]],$W$4:$W614,"&gt;0"),"")</f>
        <v/>
      </c>
      <c r="Z614" s="10" t="str">
        <f>IF(S615&lt;&gt;eRRSP_Tx_Table[[#This Row],[Year]],SUMIFS($W$4:$W614,$S$4:$S614,eRRSP_Tx_Table[[#This Row],[Year]],$W$4:$W614,"&lt;0"),"")</f>
        <v/>
      </c>
      <c r="AA614" s="3">
        <f>(SUMIF($U$4:$U614,CONCATENATE("Buy",$C614),$N$4:$N614)+SUMIF($U$4:$U614,CONCATENATE("ReinvDiv",$C614),$N$4:$N614))</f>
        <v>-6640.85</v>
      </c>
      <c r="AB614" s="3">
        <f>(SUMIF($U$4:$U614,CONCATENATE("Buy",$C614),$F$4:$F614)+SUMIF($U$4:$U614,CONCATENATE("ReinvDiv",$C614),$F$4:$F614)+SUMIF($U$4:$U614,CONCATENATE("StkSplit",$C614),$F$4:$F614)-SUMIF($U$4:$U614,CONCATENATE("Sell",$C614),$F$4:$F614))</f>
        <v>52</v>
      </c>
      <c r="AC614" s="3">
        <f>IF(B614="Sell",F614*INDEX(V:V,LOOKUP(2,1/(X$4:X613=CONCATENATE(C614,"_ACB")),ROW(V$4:V613))),0)</f>
        <v>0</v>
      </c>
    </row>
    <row r="615" spans="1:29" x14ac:dyDescent="0.25">
      <c r="A615" s="20">
        <v>40129</v>
      </c>
      <c r="B615" t="s">
        <v>42</v>
      </c>
      <c r="C615" t="s">
        <v>79</v>
      </c>
      <c r="D615" s="3">
        <v>2.35</v>
      </c>
      <c r="J615">
        <v>1.04</v>
      </c>
      <c r="M615" s="21">
        <f t="shared" si="81"/>
        <v>2.35</v>
      </c>
      <c r="N615" s="8">
        <f t="shared" si="79"/>
        <v>2.35</v>
      </c>
      <c r="O615" s="25">
        <f t="shared" si="76"/>
        <v>49342.709999999977</v>
      </c>
      <c r="P615" s="8">
        <f t="shared" si="82"/>
        <v>0</v>
      </c>
      <c r="Q615" s="4">
        <f>IF(AND(S615&gt;=[1]eRRSP_Rpt!$C$6,S615&lt;=[1]eRRSP_Rpt!$C$7),1,0)</f>
        <v>1</v>
      </c>
      <c r="R615" s="4"/>
      <c r="S615" s="4">
        <f t="shared" si="80"/>
        <v>2009</v>
      </c>
      <c r="T615" s="4"/>
      <c r="U615" s="4" t="str">
        <f t="shared" si="83"/>
        <v>DivCentral Fund of Canada</v>
      </c>
      <c r="V615" s="23">
        <f>IFERROR(IF(AND(AB615&gt;0,B615&lt;&gt;"Sell"),(AA615-SUMIF(C$4:C614,C615,AC$4:AC615))/AB615,0),"")</f>
        <v>-10.243200000000002</v>
      </c>
      <c r="W615" s="24" t="str">
        <f t="shared" si="78"/>
        <v/>
      </c>
      <c r="X615" s="25" t="str">
        <f t="shared" si="77"/>
        <v>Central Fund of Canada_ACB</v>
      </c>
      <c r="Y615" s="10" t="str">
        <f>IF(S616&lt;&gt;eRRSP_Tx_Table[[#This Row],[Year]],SUMIFS($W$4:$W615,$S$4:$S615,eRRSP_Tx_Table[[#This Row],[Year]],$W$4:$W615,"&gt;0"),"")</f>
        <v/>
      </c>
      <c r="Z615" s="10" t="str">
        <f>IF(S616&lt;&gt;eRRSP_Tx_Table[[#This Row],[Year]],SUMIFS($W$4:$W615,$S$4:$S615,eRRSP_Tx_Table[[#This Row],[Year]],$W$4:$W615,"&lt;0"),"")</f>
        <v/>
      </c>
      <c r="AA615" s="3">
        <f>(SUMIF($U$4:$U615,CONCATENATE("Buy",$C615),$N$4:$N615)+SUMIF($U$4:$U615,CONCATENATE("ReinvDiv",$C615),$N$4:$N615))</f>
        <v>-2304.7200000000003</v>
      </c>
      <c r="AB615" s="3">
        <f>(SUMIF($U$4:$U615,CONCATENATE("Buy",$C615),$F$4:$F615)+SUMIF($U$4:$U615,CONCATENATE("ReinvDiv",$C615),$F$4:$F615)+SUMIF($U$4:$U615,CONCATENATE("StkSplit",$C615),$F$4:$F615)-SUMIF($U$4:$U615,CONCATENATE("Sell",$C615),$F$4:$F615))</f>
        <v>225</v>
      </c>
      <c r="AC615" s="3">
        <f>IF(B615="Sell",F615*INDEX(V:V,LOOKUP(2,1/(X$4:X614=CONCATENATE(C615,"_ACB")),ROW(V$4:V614))),0)</f>
        <v>0</v>
      </c>
    </row>
    <row r="616" spans="1:29" x14ac:dyDescent="0.25">
      <c r="A616" s="20">
        <v>40130</v>
      </c>
      <c r="B616" t="s">
        <v>42</v>
      </c>
      <c r="C616" t="s">
        <v>87</v>
      </c>
      <c r="D616" s="3">
        <v>42.61</v>
      </c>
      <c r="J616">
        <v>27.01</v>
      </c>
      <c r="M616" s="21">
        <f t="shared" si="81"/>
        <v>42.61</v>
      </c>
      <c r="N616" s="8">
        <f t="shared" si="79"/>
        <v>42.61</v>
      </c>
      <c r="O616" s="25">
        <f t="shared" si="76"/>
        <v>49385.319999999978</v>
      </c>
      <c r="P616" s="8">
        <f t="shared" si="82"/>
        <v>0</v>
      </c>
      <c r="Q616" s="4">
        <f>IF(AND(S616&gt;=[1]eRRSP_Rpt!$C$6,S616&lt;=[1]eRRSP_Rpt!$C$7),1,0)</f>
        <v>1</v>
      </c>
      <c r="R616" s="4"/>
      <c r="S616" s="4">
        <f t="shared" si="80"/>
        <v>2009</v>
      </c>
      <c r="T616" s="4"/>
      <c r="U616" s="4" t="str">
        <f t="shared" si="83"/>
        <v>DivAberdeen Asia Pacific Income Fund</v>
      </c>
      <c r="V616" s="23">
        <f>IFERROR(IF(AND(AB616&gt;0,B616&lt;&gt;"Sell"),(AA616-SUMIF(C$4:C615,C616,AC$4:AC616))/AB616,0),"")</f>
        <v>-7.4694020797227028</v>
      </c>
      <c r="W616" s="24" t="str">
        <f t="shared" si="78"/>
        <v/>
      </c>
      <c r="X616" s="25" t="str">
        <f t="shared" si="77"/>
        <v>Aberdeen Asia Pacific Income Fund_ACB</v>
      </c>
      <c r="Y616" s="10" t="str">
        <f>IF(S617&lt;&gt;eRRSP_Tx_Table[[#This Row],[Year]],SUMIFS($W$4:$W616,$S$4:$S616,eRRSP_Tx_Table[[#This Row],[Year]],$W$4:$W616,"&gt;0"),"")</f>
        <v/>
      </c>
      <c r="Z616" s="10" t="str">
        <f>IF(S617&lt;&gt;eRRSP_Tx_Table[[#This Row],[Year]],SUMIFS($W$4:$W616,$S$4:$S616,eRRSP_Tx_Table[[#This Row],[Year]],$W$4:$W616,"&lt;0"),"")</f>
        <v/>
      </c>
      <c r="AA616" s="3">
        <f>(SUMIF($U$4:$U616,CONCATENATE("Buy",$C616),$N$4:$N616)+SUMIF($U$4:$U616,CONCATENATE("ReinvDiv",$C616),$N$4:$N616))</f>
        <v>-8619.6899999999987</v>
      </c>
      <c r="AB616" s="3">
        <f>(SUMIF($U$4:$U616,CONCATENATE("Buy",$C616),$F$4:$F616)+SUMIF($U$4:$U616,CONCATENATE("ReinvDiv",$C616),$F$4:$F616)+SUMIF($U$4:$U616,CONCATENATE("StkSplit",$C616),$F$4:$F616)-SUMIF($U$4:$U616,CONCATENATE("Sell",$C616),$F$4:$F616))</f>
        <v>1154</v>
      </c>
      <c r="AC616" s="3">
        <f>IF(B616="Sell",F616*INDEX(V:V,LOOKUP(2,1/(X$4:X615=CONCATENATE(C616,"_ACB")),ROW(V$4:V615))),0)</f>
        <v>0</v>
      </c>
    </row>
    <row r="617" spans="1:29" x14ac:dyDescent="0.25">
      <c r="A617" s="20">
        <v>40133</v>
      </c>
      <c r="B617" t="s">
        <v>43</v>
      </c>
      <c r="C617" t="s">
        <v>36</v>
      </c>
      <c r="D617" s="3">
        <v>1.04</v>
      </c>
      <c r="J617">
        <v>10963.74</v>
      </c>
      <c r="M617" s="21">
        <f t="shared" si="81"/>
        <v>1.04</v>
      </c>
      <c r="N617" s="8">
        <f t="shared" si="79"/>
        <v>1.04</v>
      </c>
      <c r="O617" s="25">
        <f t="shared" si="76"/>
        <v>49386.359999999979</v>
      </c>
      <c r="P617" s="8">
        <f t="shared" si="82"/>
        <v>0</v>
      </c>
      <c r="Q617" s="4">
        <f>IF(AND(S617&gt;=[1]eRRSP_Rpt!$C$6,S617&lt;=[1]eRRSP_Rpt!$C$7),1,0)</f>
        <v>1</v>
      </c>
      <c r="R617" s="4"/>
      <c r="S617" s="4">
        <f t="shared" si="80"/>
        <v>2009</v>
      </c>
      <c r="T617" s="4"/>
      <c r="U617" s="4" t="str">
        <f t="shared" si="83"/>
        <v>IntIncTDW</v>
      </c>
      <c r="V617" s="23">
        <f>IFERROR(IF(AND(AB617&gt;0,B617&lt;&gt;"Sell"),(AA617-SUMIF(C$4:C616,C617,AC$4:AC617))/AB617,0),"")</f>
        <v>0</v>
      </c>
      <c r="W617" s="24" t="str">
        <f t="shared" si="78"/>
        <v/>
      </c>
      <c r="X617" s="25" t="str">
        <f t="shared" si="77"/>
        <v/>
      </c>
      <c r="Y617" s="10" t="str">
        <f>IF(S618&lt;&gt;eRRSP_Tx_Table[[#This Row],[Year]],SUMIFS($W$4:$W617,$S$4:$S617,eRRSP_Tx_Table[[#This Row],[Year]],$W$4:$W617,"&gt;0"),"")</f>
        <v/>
      </c>
      <c r="Z617" s="10" t="str">
        <f>IF(S618&lt;&gt;eRRSP_Tx_Table[[#This Row],[Year]],SUMIFS($W$4:$W617,$S$4:$S617,eRRSP_Tx_Table[[#This Row],[Year]],$W$4:$W617,"&lt;0"),"")</f>
        <v/>
      </c>
      <c r="AA617" s="3">
        <f>(SUMIF($U$4:$U617,CONCATENATE("Buy",$C617),$N$4:$N617)+SUMIF($U$4:$U617,CONCATENATE("ReinvDiv",$C617),$N$4:$N617))</f>
        <v>0</v>
      </c>
      <c r="AB617" s="3">
        <f>(SUMIF($U$4:$U617,CONCATENATE("Buy",$C617),$F$4:$F617)+SUMIF($U$4:$U617,CONCATENATE("ReinvDiv",$C617),$F$4:$F617)+SUMIF($U$4:$U617,CONCATENATE("StkSplit",$C617),$F$4:$F617)-SUMIF($U$4:$U617,CONCATENATE("Sell",$C617),$F$4:$F617))</f>
        <v>0</v>
      </c>
      <c r="AC617" s="3">
        <f>IF(B617="Sell",F617*INDEX(V:V,LOOKUP(2,1/(X$4:X616=CONCATENATE(C617,"_ACB")),ROW(V$4:V616))),0)</f>
        <v>0</v>
      </c>
    </row>
    <row r="618" spans="1:29" x14ac:dyDescent="0.25">
      <c r="A618" s="20">
        <v>40148</v>
      </c>
      <c r="B618" t="s">
        <v>42</v>
      </c>
      <c r="C618" t="s">
        <v>33</v>
      </c>
      <c r="D618" s="3">
        <v>27.01</v>
      </c>
      <c r="J618">
        <v>25.08</v>
      </c>
      <c r="M618" s="21">
        <f t="shared" si="81"/>
        <v>27.01</v>
      </c>
      <c r="N618" s="8">
        <f t="shared" si="79"/>
        <v>27.01</v>
      </c>
      <c r="O618" s="25">
        <f t="shared" si="76"/>
        <v>49413.369999999981</v>
      </c>
      <c r="P618" s="8">
        <f t="shared" si="82"/>
        <v>0</v>
      </c>
      <c r="Q618" s="4">
        <f>IF(AND(S618&gt;=[1]eRRSP_Rpt!$C$6,S618&lt;=[1]eRRSP_Rpt!$C$7),1,0)</f>
        <v>1</v>
      </c>
      <c r="R618" s="4"/>
      <c r="S618" s="4">
        <f t="shared" si="80"/>
        <v>2009</v>
      </c>
      <c r="T618" s="4"/>
      <c r="U618" s="4" t="str">
        <f t="shared" si="83"/>
        <v>DivEnbridge</v>
      </c>
      <c r="V618" s="23">
        <f>IFERROR(IF(AND(AB618&gt;0,B618&lt;&gt;"Sell"),(AA618-SUMIF(C$4:C617,C618,AC$4:AC618))/AB618,0),"")</f>
        <v>-12.859027777777776</v>
      </c>
      <c r="W618" s="24" t="str">
        <f t="shared" si="78"/>
        <v/>
      </c>
      <c r="X618" s="25" t="str">
        <f t="shared" si="77"/>
        <v>Enbridge_ACB</v>
      </c>
      <c r="Y618" s="10" t="str">
        <f>IF(S619&lt;&gt;eRRSP_Tx_Table[[#This Row],[Year]],SUMIFS($W$4:$W618,$S$4:$S618,eRRSP_Tx_Table[[#This Row],[Year]],$W$4:$W618,"&gt;0"),"")</f>
        <v/>
      </c>
      <c r="Z618" s="10" t="str">
        <f>IF(S619&lt;&gt;eRRSP_Tx_Table[[#This Row],[Year]],SUMIFS($W$4:$W618,$S$4:$S618,eRRSP_Tx_Table[[#This Row],[Year]],$W$4:$W618,"&lt;0"),"")</f>
        <v/>
      </c>
      <c r="AA618" s="3">
        <f>(SUMIF($U$4:$U618,CONCATENATE("Buy",$C618),$N$4:$N618)+SUMIF($U$4:$U618,CONCATENATE("ReinvDiv",$C618),$N$4:$N618))</f>
        <v>-1851.7</v>
      </c>
      <c r="AB618" s="3">
        <f>(SUMIF($U$4:$U618,CONCATENATE("Buy",$C618),$F$4:$F618)+SUMIF($U$4:$U618,CONCATENATE("ReinvDiv",$C618),$F$4:$F618)+SUMIF($U$4:$U618,CONCATENATE("StkSplit",$C618),$F$4:$F618)-SUMIF($U$4:$U618,CONCATENATE("Sell",$C618),$F$4:$F618))</f>
        <v>73</v>
      </c>
      <c r="AC618" s="3">
        <f>IF(B618="Sell",F618*INDEX(V:V,LOOKUP(2,1/(X$4:X617=CONCATENATE(C618,"_ACB")),ROW(V$4:V617))),0)</f>
        <v>0</v>
      </c>
    </row>
    <row r="619" spans="1:29" x14ac:dyDescent="0.25">
      <c r="A619" s="20">
        <v>40154</v>
      </c>
      <c r="B619" t="s">
        <v>40</v>
      </c>
      <c r="C619" t="s">
        <v>82</v>
      </c>
      <c r="D619" s="3">
        <v>10963.48</v>
      </c>
      <c r="E619">
        <v>51.040976999999998</v>
      </c>
      <c r="F619" s="3">
        <v>215</v>
      </c>
      <c r="G619">
        <v>10.33</v>
      </c>
      <c r="J619">
        <v>42.49</v>
      </c>
      <c r="M619" s="21">
        <f t="shared" si="81"/>
        <v>10973.81</v>
      </c>
      <c r="N619" s="8">
        <f t="shared" si="79"/>
        <v>10963.48</v>
      </c>
      <c r="O619" s="25">
        <f t="shared" si="76"/>
        <v>60376.849999999977</v>
      </c>
      <c r="P619" s="8">
        <f t="shared" si="82"/>
        <v>0</v>
      </c>
      <c r="Q619" s="4">
        <f>IF(AND(S619&gt;=[1]eRRSP_Rpt!$C$6,S619&lt;=[1]eRRSP_Rpt!$C$7),1,0)</f>
        <v>1</v>
      </c>
      <c r="R619" s="4"/>
      <c r="S619" s="4">
        <f t="shared" si="80"/>
        <v>2009</v>
      </c>
      <c r="T619" s="4"/>
      <c r="U619" s="4" t="str">
        <f t="shared" si="83"/>
        <v>SelliShares S&amp;P Latin America (US$)</v>
      </c>
      <c r="V619" s="23">
        <f>IFERROR(IF(AND(AB619&gt;0,B619&lt;&gt;"Sell"),(AA619-SUMIF(C$4:C618,C619,AC$4:AC619))/AB619,0),"")</f>
        <v>0</v>
      </c>
      <c r="W619" s="24">
        <f t="shared" si="78"/>
        <v>3980.7799999999997</v>
      </c>
      <c r="X619" s="25" t="str">
        <f t="shared" si="77"/>
        <v/>
      </c>
      <c r="Y619" s="10" t="str">
        <f>IF(S620&lt;&gt;eRRSP_Tx_Table[[#This Row],[Year]],SUMIFS($W$4:$W619,$S$4:$S619,eRRSP_Tx_Table[[#This Row],[Year]],$W$4:$W619,"&gt;0"),"")</f>
        <v/>
      </c>
      <c r="Z619" s="10" t="str">
        <f>IF(S620&lt;&gt;eRRSP_Tx_Table[[#This Row],[Year]],SUMIFS($W$4:$W619,$S$4:$S619,eRRSP_Tx_Table[[#This Row],[Year]],$W$4:$W619,"&lt;0"),"")</f>
        <v/>
      </c>
      <c r="AA619" s="3">
        <f>(SUMIF($U$4:$U619,CONCATENATE("Buy",$C619),$N$4:$N619)+SUMIF($U$4:$U619,CONCATENATE("ReinvDiv",$C619),$N$4:$N619))</f>
        <v>-6982.7</v>
      </c>
      <c r="AB619" s="3">
        <f>(SUMIF($U$4:$U619,CONCATENATE("Buy",$C619),$F$4:$F619)+SUMIF($U$4:$U619,CONCATENATE("ReinvDiv",$C619),$F$4:$F619)+SUMIF($U$4:$U619,CONCATENATE("StkSplit",$C619),$F$4:$F619)-SUMIF($U$4:$U619,CONCATENATE("Sell",$C619),$F$4:$F619))</f>
        <v>0</v>
      </c>
      <c r="AC619" s="3">
        <f>IF(B619="Sell",F619*INDEX(V:V,LOOKUP(2,1/(X$4:X618=CONCATENATE(C619,"_ACB")),ROW(V$4:V618))),0)</f>
        <v>-6982.7</v>
      </c>
    </row>
    <row r="620" spans="1:29" x14ac:dyDescent="0.25">
      <c r="A620" s="20">
        <v>40154</v>
      </c>
      <c r="B620" t="s">
        <v>42</v>
      </c>
      <c r="C620" t="s">
        <v>88</v>
      </c>
      <c r="D620" s="3">
        <v>25.08</v>
      </c>
      <c r="J620">
        <v>1.08</v>
      </c>
      <c r="M620" s="21">
        <f t="shared" si="81"/>
        <v>25.08</v>
      </c>
      <c r="N620" s="8">
        <f t="shared" si="79"/>
        <v>25.08</v>
      </c>
      <c r="O620" s="25">
        <f t="shared" si="76"/>
        <v>60401.929999999978</v>
      </c>
      <c r="P620" s="8">
        <f t="shared" si="82"/>
        <v>0</v>
      </c>
      <c r="Q620" s="4">
        <f>IF(AND(S620&gt;=[1]eRRSP_Rpt!$C$6,S620&lt;=[1]eRRSP_Rpt!$C$7),1,0)</f>
        <v>1</v>
      </c>
      <c r="R620" s="4"/>
      <c r="S620" s="4">
        <f t="shared" si="80"/>
        <v>2009</v>
      </c>
      <c r="T620" s="4"/>
      <c r="U620" s="4" t="str">
        <f t="shared" si="83"/>
        <v>DiviShares IBOXX (US$)</v>
      </c>
      <c r="V620" s="23">
        <f>IFERROR(IF(AND(AB620&gt;0,B620&lt;&gt;"Sell"),(AA620-SUMIF(C$4:C619,C620,AC$4:AC620))/AB620,0),"")</f>
        <v>-127.70865384615385</v>
      </c>
      <c r="W620" s="24" t="str">
        <f t="shared" si="78"/>
        <v/>
      </c>
      <c r="X620" s="25" t="str">
        <f t="shared" si="77"/>
        <v>iShares IBOXX (US$)_ACB</v>
      </c>
      <c r="Y620" s="10" t="str">
        <f>IF(S621&lt;&gt;eRRSP_Tx_Table[[#This Row],[Year]],SUMIFS($W$4:$W620,$S$4:$S620,eRRSP_Tx_Table[[#This Row],[Year]],$W$4:$W620,"&gt;0"),"")</f>
        <v/>
      </c>
      <c r="Z620" s="10" t="str">
        <f>IF(S621&lt;&gt;eRRSP_Tx_Table[[#This Row],[Year]],SUMIFS($W$4:$W620,$S$4:$S620,eRRSP_Tx_Table[[#This Row],[Year]],$W$4:$W620,"&lt;0"),"")</f>
        <v/>
      </c>
      <c r="AA620" s="3">
        <f>(SUMIF($U$4:$U620,CONCATENATE("Buy",$C620),$N$4:$N620)+SUMIF($U$4:$U620,CONCATENATE("ReinvDiv",$C620),$N$4:$N620))</f>
        <v>-6640.85</v>
      </c>
      <c r="AB620" s="3">
        <f>(SUMIF($U$4:$U620,CONCATENATE("Buy",$C620),$F$4:$F620)+SUMIF($U$4:$U620,CONCATENATE("ReinvDiv",$C620),$F$4:$F620)+SUMIF($U$4:$U620,CONCATENATE("StkSplit",$C620),$F$4:$F620)-SUMIF($U$4:$U620,CONCATENATE("Sell",$C620),$F$4:$F620))</f>
        <v>52</v>
      </c>
      <c r="AC620" s="3">
        <f>IF(B620="Sell",F620*INDEX(V:V,LOOKUP(2,1/(X$4:X619=CONCATENATE(C620,"_ACB")),ROW(V$4:V619))),0)</f>
        <v>0</v>
      </c>
    </row>
    <row r="621" spans="1:29" x14ac:dyDescent="0.25">
      <c r="A621" s="20">
        <v>40158</v>
      </c>
      <c r="B621" t="s">
        <v>42</v>
      </c>
      <c r="C621" t="s">
        <v>87</v>
      </c>
      <c r="D621" s="3">
        <v>42.49</v>
      </c>
      <c r="J621">
        <v>5708.74</v>
      </c>
      <c r="M621" s="21">
        <f t="shared" si="81"/>
        <v>42.49</v>
      </c>
      <c r="N621" s="8">
        <f t="shared" si="79"/>
        <v>42.49</v>
      </c>
      <c r="O621" s="25">
        <f t="shared" si="76"/>
        <v>60444.419999999976</v>
      </c>
      <c r="P621" s="8">
        <f t="shared" si="82"/>
        <v>0</v>
      </c>
      <c r="Q621" s="4">
        <f>IF(AND(S621&gt;=[1]eRRSP_Rpt!$C$6,S621&lt;=[1]eRRSP_Rpt!$C$7),1,0)</f>
        <v>1</v>
      </c>
      <c r="R621" s="4"/>
      <c r="S621" s="4">
        <f t="shared" si="80"/>
        <v>2009</v>
      </c>
      <c r="T621" s="4"/>
      <c r="U621" s="4" t="str">
        <f t="shared" si="83"/>
        <v>DivAberdeen Asia Pacific Income Fund</v>
      </c>
      <c r="V621" s="23">
        <f>IFERROR(IF(AND(AB621&gt;0,B621&lt;&gt;"Sell"),(AA621-SUMIF(C$4:C620,C621,AC$4:AC621))/AB621,0),"")</f>
        <v>-7.4694020797227028</v>
      </c>
      <c r="W621" s="24" t="str">
        <f t="shared" si="78"/>
        <v/>
      </c>
      <c r="X621" s="25" t="str">
        <f t="shared" si="77"/>
        <v>Aberdeen Asia Pacific Income Fund_ACB</v>
      </c>
      <c r="Y621" s="10" t="str">
        <f>IF(S622&lt;&gt;eRRSP_Tx_Table[[#This Row],[Year]],SUMIFS($W$4:$W621,$S$4:$S621,eRRSP_Tx_Table[[#This Row],[Year]],$W$4:$W621,"&gt;0"),"")</f>
        <v/>
      </c>
      <c r="Z621" s="10" t="str">
        <f>IF(S622&lt;&gt;eRRSP_Tx_Table[[#This Row],[Year]],SUMIFS($W$4:$W621,$S$4:$S621,eRRSP_Tx_Table[[#This Row],[Year]],$W$4:$W621,"&lt;0"),"")</f>
        <v/>
      </c>
      <c r="AA621" s="3">
        <f>(SUMIF($U$4:$U621,CONCATENATE("Buy",$C621),$N$4:$N621)+SUMIF($U$4:$U621,CONCATENATE("ReinvDiv",$C621),$N$4:$N621))</f>
        <v>-8619.6899999999987</v>
      </c>
      <c r="AB621" s="3">
        <f>(SUMIF($U$4:$U621,CONCATENATE("Buy",$C621),$F$4:$F621)+SUMIF($U$4:$U621,CONCATENATE("ReinvDiv",$C621),$F$4:$F621)+SUMIF($U$4:$U621,CONCATENATE("StkSplit",$C621),$F$4:$F621)-SUMIF($U$4:$U621,CONCATENATE("Sell",$C621),$F$4:$F621))</f>
        <v>1154</v>
      </c>
      <c r="AC621" s="3">
        <f>IF(B621="Sell",F621*INDEX(V:V,LOOKUP(2,1/(X$4:X620=CONCATENATE(C621,"_ACB")),ROW(V$4:V620))),0)</f>
        <v>0</v>
      </c>
    </row>
    <row r="622" spans="1:29" x14ac:dyDescent="0.25">
      <c r="A622" s="20">
        <v>40163</v>
      </c>
      <c r="B622" t="s">
        <v>43</v>
      </c>
      <c r="C622" t="s">
        <v>36</v>
      </c>
      <c r="D622" s="3">
        <v>1.08</v>
      </c>
      <c r="J622">
        <v>6177.11</v>
      </c>
      <c r="M622" s="21">
        <f t="shared" si="81"/>
        <v>1.08</v>
      </c>
      <c r="N622" s="8">
        <f t="shared" si="79"/>
        <v>1.08</v>
      </c>
      <c r="O622" s="25">
        <f t="shared" si="76"/>
        <v>60445.499999999978</v>
      </c>
      <c r="P622" s="8">
        <f t="shared" si="82"/>
        <v>0</v>
      </c>
      <c r="Q622" s="4">
        <f>IF(AND(S622&gt;=[1]eRRSP_Rpt!$C$6,S622&lt;=[1]eRRSP_Rpt!$C$7),1,0)</f>
        <v>1</v>
      </c>
      <c r="R622" s="4"/>
      <c r="S622" s="4">
        <f t="shared" si="80"/>
        <v>2009</v>
      </c>
      <c r="T622" s="4"/>
      <c r="U622" s="4" t="str">
        <f t="shared" si="83"/>
        <v>IntIncTDW</v>
      </c>
      <c r="V622" s="23">
        <f>IFERROR(IF(AND(AB622&gt;0,B622&lt;&gt;"Sell"),(AA622-SUMIF(C$4:C621,C622,AC$4:AC622))/AB622,0),"")</f>
        <v>0</v>
      </c>
      <c r="W622" s="24" t="str">
        <f t="shared" si="78"/>
        <v/>
      </c>
      <c r="X622" s="25" t="str">
        <f t="shared" si="77"/>
        <v/>
      </c>
      <c r="Y622" s="10" t="str">
        <f>IF(S623&lt;&gt;eRRSP_Tx_Table[[#This Row],[Year]],SUMIFS($W$4:$W622,$S$4:$S622,eRRSP_Tx_Table[[#This Row],[Year]],$W$4:$W622,"&gt;0"),"")</f>
        <v/>
      </c>
      <c r="Z622" s="10" t="str">
        <f>IF(S623&lt;&gt;eRRSP_Tx_Table[[#This Row],[Year]],SUMIFS($W$4:$W622,$S$4:$S622,eRRSP_Tx_Table[[#This Row],[Year]],$W$4:$W622,"&lt;0"),"")</f>
        <v/>
      </c>
      <c r="AA622" s="3">
        <f>(SUMIF($U$4:$U622,CONCATENATE("Buy",$C622),$N$4:$N622)+SUMIF($U$4:$U622,CONCATENATE("ReinvDiv",$C622),$N$4:$N622))</f>
        <v>0</v>
      </c>
      <c r="AB622" s="3">
        <f>(SUMIF($U$4:$U622,CONCATENATE("Buy",$C622),$F$4:$F622)+SUMIF($U$4:$U622,CONCATENATE("ReinvDiv",$C622),$F$4:$F622)+SUMIF($U$4:$U622,CONCATENATE("StkSplit",$C622),$F$4:$F622)-SUMIF($U$4:$U622,CONCATENATE("Sell",$C622),$F$4:$F622))</f>
        <v>0</v>
      </c>
      <c r="AC622" s="3">
        <f>IF(B622="Sell",F622*INDEX(V:V,LOOKUP(2,1/(X$4:X621=CONCATENATE(C622,"_ACB")),ROW(V$4:V621))),0)</f>
        <v>0</v>
      </c>
    </row>
    <row r="623" spans="1:29" x14ac:dyDescent="0.25">
      <c r="A623" s="20">
        <v>40164</v>
      </c>
      <c r="B623" t="s">
        <v>40</v>
      </c>
      <c r="C623" t="s">
        <v>88</v>
      </c>
      <c r="D623" s="3">
        <v>5708.58</v>
      </c>
      <c r="E623">
        <v>109.980577</v>
      </c>
      <c r="F623" s="3">
        <v>52</v>
      </c>
      <c r="G623">
        <v>10.41</v>
      </c>
      <c r="J623">
        <v>638.51</v>
      </c>
      <c r="M623" s="21">
        <f t="shared" si="81"/>
        <v>5718.99</v>
      </c>
      <c r="N623" s="8">
        <f t="shared" si="79"/>
        <v>5708.58</v>
      </c>
      <c r="O623" s="25">
        <f t="shared" si="76"/>
        <v>66154.079999999973</v>
      </c>
      <c r="P623" s="8">
        <f t="shared" si="82"/>
        <v>0</v>
      </c>
      <c r="Q623" s="4">
        <f>IF(AND(S623&gt;=[1]eRRSP_Rpt!$C$6,S623&lt;=[1]eRRSP_Rpt!$C$7),1,0)</f>
        <v>1</v>
      </c>
      <c r="R623" s="4"/>
      <c r="S623" s="4">
        <f t="shared" si="80"/>
        <v>2009</v>
      </c>
      <c r="T623" s="4"/>
      <c r="U623" s="4" t="str">
        <f t="shared" si="83"/>
        <v>SelliShares IBOXX (US$)</v>
      </c>
      <c r="V623" s="23">
        <f>IFERROR(IF(AND(AB623&gt;0,B623&lt;&gt;"Sell"),(AA623-SUMIF(C$4:C622,C623,AC$4:AC623))/AB623,0),"")</f>
        <v>0</v>
      </c>
      <c r="W623" s="24">
        <f t="shared" si="78"/>
        <v>-932.27000000000044</v>
      </c>
      <c r="X623" s="25" t="str">
        <f t="shared" si="77"/>
        <v/>
      </c>
      <c r="Y623" s="10" t="str">
        <f>IF(S624&lt;&gt;eRRSP_Tx_Table[[#This Row],[Year]],SUMIFS($W$4:$W623,$S$4:$S623,eRRSP_Tx_Table[[#This Row],[Year]],$W$4:$W623,"&gt;0"),"")</f>
        <v/>
      </c>
      <c r="Z623" s="10" t="str">
        <f>IF(S624&lt;&gt;eRRSP_Tx_Table[[#This Row],[Year]],SUMIFS($W$4:$W623,$S$4:$S623,eRRSP_Tx_Table[[#This Row],[Year]],$W$4:$W623,"&lt;0"),"")</f>
        <v/>
      </c>
      <c r="AA623" s="3">
        <f>(SUMIF($U$4:$U623,CONCATENATE("Buy",$C623),$N$4:$N623)+SUMIF($U$4:$U623,CONCATENATE("ReinvDiv",$C623),$N$4:$N623))</f>
        <v>-6640.85</v>
      </c>
      <c r="AB623" s="3">
        <f>(SUMIF($U$4:$U623,CONCATENATE("Buy",$C623),$F$4:$F623)+SUMIF($U$4:$U623,CONCATENATE("ReinvDiv",$C623),$F$4:$F623)+SUMIF($U$4:$U623,CONCATENATE("StkSplit",$C623),$F$4:$F623)-SUMIF($U$4:$U623,CONCATENATE("Sell",$C623),$F$4:$F623))</f>
        <v>0</v>
      </c>
      <c r="AC623" s="3">
        <f>IF(B623="Sell",F623*INDEX(V:V,LOOKUP(2,1/(X$4:X622=CONCATENATE(C623,"_ACB")),ROW(V$4:V622))),0)</f>
        <v>-6640.85</v>
      </c>
    </row>
    <row r="624" spans="1:29" x14ac:dyDescent="0.25">
      <c r="A624" s="20">
        <v>40164</v>
      </c>
      <c r="B624" t="s">
        <v>40</v>
      </c>
      <c r="C624" t="s">
        <v>83</v>
      </c>
      <c r="D624" s="3">
        <v>6176.96</v>
      </c>
      <c r="E624">
        <v>59.493941999999997</v>
      </c>
      <c r="F624" s="3">
        <v>104</v>
      </c>
      <c r="G624">
        <v>10.41</v>
      </c>
      <c r="J624">
        <v>46.92</v>
      </c>
      <c r="M624" s="21">
        <f t="shared" si="81"/>
        <v>6187.37</v>
      </c>
      <c r="N624" s="8">
        <f t="shared" si="79"/>
        <v>6176.96</v>
      </c>
      <c r="O624" s="25">
        <f t="shared" ref="O624:O633" si="84">O623+IF(OR(B624="Cash",B624="Buy",B624="Sell",B624="Div",B624="Rebate",B624="Fees",B624="IntInc",B624="Tax",B624="Distr"),N624,0)</f>
        <v>72331.039999999979</v>
      </c>
      <c r="P624" s="8">
        <f t="shared" si="82"/>
        <v>0</v>
      </c>
      <c r="Q624" s="4">
        <f>IF(AND(S624&gt;=[1]eRRSP_Rpt!$C$6,S624&lt;=[1]eRRSP_Rpt!$C$7),1,0)</f>
        <v>1</v>
      </c>
      <c r="R624" s="4"/>
      <c r="S624" s="4">
        <f t="shared" si="80"/>
        <v>2009</v>
      </c>
      <c r="T624" s="4"/>
      <c r="U624" s="4" t="str">
        <f t="shared" si="83"/>
        <v>SelliShares MSCI South Africa (US$)</v>
      </c>
      <c r="V624" s="23">
        <f>IFERROR(IF(AND(AB624&gt;0,B624&lt;&gt;"Sell"),(AA624-SUMIF(C$4:C623,C624,AC$4:AC624))/AB624,0),"")</f>
        <v>0</v>
      </c>
      <c r="W624" s="24">
        <f t="shared" si="78"/>
        <v>-759.77999999999884</v>
      </c>
      <c r="X624" s="25" t="str">
        <f t="shared" si="77"/>
        <v/>
      </c>
      <c r="Y624" s="10" t="str">
        <f>IF(S625&lt;&gt;eRRSP_Tx_Table[[#This Row],[Year]],SUMIFS($W$4:$W624,$S$4:$S624,eRRSP_Tx_Table[[#This Row],[Year]],$W$4:$W624,"&gt;0"),"")</f>
        <v/>
      </c>
      <c r="Z624" s="10" t="str">
        <f>IF(S625&lt;&gt;eRRSP_Tx_Table[[#This Row],[Year]],SUMIFS($W$4:$W624,$S$4:$S624,eRRSP_Tx_Table[[#This Row],[Year]],$W$4:$W624,"&lt;0"),"")</f>
        <v/>
      </c>
      <c r="AA624" s="3">
        <f>(SUMIF($U$4:$U624,CONCATENATE("Buy",$C624),$N$4:$N624)+SUMIF($U$4:$U624,CONCATENATE("ReinvDiv",$C624),$N$4:$N624))</f>
        <v>-6936.74</v>
      </c>
      <c r="AB624" s="3">
        <f>(SUMIF($U$4:$U624,CONCATENATE("Buy",$C624),$F$4:$F624)+SUMIF($U$4:$U624,CONCATENATE("ReinvDiv",$C624),$F$4:$F624)+SUMIF($U$4:$U624,CONCATENATE("StkSplit",$C624),$F$4:$F624)-SUMIF($U$4:$U624,CONCATENATE("Sell",$C624),$F$4:$F624))</f>
        <v>0</v>
      </c>
      <c r="AC624" s="3">
        <f>IF(B624="Sell",F624*INDEX(V:V,LOOKUP(2,1/(X$4:X623=CONCATENATE(C624,"_ACB")),ROW(V$4:V623))),0)</f>
        <v>-6936.7399999999989</v>
      </c>
    </row>
    <row r="625" spans="1:29" x14ac:dyDescent="0.25">
      <c r="A625" s="20">
        <v>40164</v>
      </c>
      <c r="B625" t="s">
        <v>40</v>
      </c>
      <c r="C625" t="s">
        <v>92</v>
      </c>
      <c r="D625" s="3">
        <v>638.51</v>
      </c>
      <c r="E625">
        <v>12.97</v>
      </c>
      <c r="F625" s="3">
        <v>50</v>
      </c>
      <c r="G625">
        <v>9.99</v>
      </c>
      <c r="J625">
        <v>4780.2299999999996</v>
      </c>
      <c r="M625" s="21">
        <f t="shared" si="81"/>
        <v>648.5</v>
      </c>
      <c r="N625" s="8">
        <f t="shared" si="79"/>
        <v>638.51</v>
      </c>
      <c r="O625" s="25">
        <f t="shared" si="84"/>
        <v>72969.549999999974</v>
      </c>
      <c r="P625" s="8">
        <f t="shared" si="82"/>
        <v>0</v>
      </c>
      <c r="Q625" s="4">
        <f>IF(AND(S625&gt;=[1]eRRSP_Rpt!$C$6,S625&lt;=[1]eRRSP_Rpt!$C$7),1,0)</f>
        <v>1</v>
      </c>
      <c r="R625" s="4"/>
      <c r="S625" s="4">
        <f t="shared" si="80"/>
        <v>2009</v>
      </c>
      <c r="T625" s="4"/>
      <c r="U625" s="4" t="str">
        <f t="shared" si="83"/>
        <v>SelliUnits S&amp;P 500</v>
      </c>
      <c r="V625" s="23">
        <f>IFERROR(IF(AND(AB625&gt;0,B625&lt;&gt;"Sell"),(AA625-SUMIF(C$4:C624,C625,AC$4:AC625))/AB625,0),"")</f>
        <v>0</v>
      </c>
      <c r="W625" s="24">
        <f t="shared" si="78"/>
        <v>-33.980000000000018</v>
      </c>
      <c r="X625" s="25" t="str">
        <f t="shared" si="77"/>
        <v/>
      </c>
      <c r="Y625" s="10" t="str">
        <f>IF(S626&lt;&gt;eRRSP_Tx_Table[[#This Row],[Year]],SUMIFS($W$4:$W625,$S$4:$S625,eRRSP_Tx_Table[[#This Row],[Year]],$W$4:$W625,"&gt;0"),"")</f>
        <v/>
      </c>
      <c r="Z625" s="10" t="str">
        <f>IF(S626&lt;&gt;eRRSP_Tx_Table[[#This Row],[Year]],SUMIFS($W$4:$W625,$S$4:$S625,eRRSP_Tx_Table[[#This Row],[Year]],$W$4:$W625,"&lt;0"),"")</f>
        <v/>
      </c>
      <c r="AA625" s="3">
        <f>(SUMIF($U$4:$U625,CONCATENATE("Buy",$C625),$N$4:$N625)+SUMIF($U$4:$U625,CONCATENATE("ReinvDiv",$C625),$N$4:$N625))</f>
        <v>-672.49</v>
      </c>
      <c r="AB625" s="3">
        <f>(SUMIF($U$4:$U625,CONCATENATE("Buy",$C625),$F$4:$F625)+SUMIF($U$4:$U625,CONCATENATE("ReinvDiv",$C625),$F$4:$F625)+SUMIF($U$4:$U625,CONCATENATE("StkSplit",$C625),$F$4:$F625)-SUMIF($U$4:$U625,CONCATENATE("Sell",$C625),$F$4:$F625))</f>
        <v>0</v>
      </c>
      <c r="AC625" s="3">
        <f>IF(B625="Sell",F625*INDEX(V:V,LOOKUP(2,1/(X$4:X624=CONCATENATE(C625,"_ACB")),ROW(V$4:V624))),0)</f>
        <v>-672.49</v>
      </c>
    </row>
    <row r="626" spans="1:29" x14ac:dyDescent="0.25">
      <c r="A626" s="20">
        <v>40164</v>
      </c>
      <c r="B626" t="s">
        <v>41</v>
      </c>
      <c r="C626" t="s">
        <v>62</v>
      </c>
      <c r="D626" s="3">
        <v>46.92</v>
      </c>
      <c r="E626">
        <v>15.419</v>
      </c>
      <c r="F626" s="3">
        <v>3.0430000000000001</v>
      </c>
      <c r="J626">
        <v>26.03</v>
      </c>
      <c r="M626" s="21">
        <f t="shared" si="81"/>
        <v>46.92</v>
      </c>
      <c r="N626" s="8">
        <f t="shared" si="79"/>
        <v>-46.92</v>
      </c>
      <c r="O626" s="25">
        <f t="shared" si="84"/>
        <v>72969.549999999974</v>
      </c>
      <c r="P626" s="8">
        <f t="shared" si="82"/>
        <v>0</v>
      </c>
      <c r="Q626" s="4">
        <f>IF(AND(S626&gt;=[1]eRRSP_Rpt!$C$6,S626&lt;=[1]eRRSP_Rpt!$C$7),1,0)</f>
        <v>1</v>
      </c>
      <c r="R626" s="4"/>
      <c r="S626" s="4">
        <f t="shared" si="80"/>
        <v>2009</v>
      </c>
      <c r="T626" s="4"/>
      <c r="U626" s="4" t="str">
        <f t="shared" si="83"/>
        <v>ReinvDivTD RR Bond</v>
      </c>
      <c r="V626" s="23">
        <f>IFERROR(IF(AND(AB626&gt;0,B626&lt;&gt;"Sell"),(AA626-SUMIF(C$4:C625,C626,AC$4:AC626))/AB626,0),"")</f>
        <v>-14.238479442323575</v>
      </c>
      <c r="W626" s="24" t="str">
        <f t="shared" si="78"/>
        <v/>
      </c>
      <c r="X626" s="25" t="str">
        <f t="shared" si="77"/>
        <v>TD RR Bond_ACB</v>
      </c>
      <c r="Y626" s="10" t="str">
        <f>IF(S627&lt;&gt;eRRSP_Tx_Table[[#This Row],[Year]],SUMIFS($W$4:$W626,$S$4:$S626,eRRSP_Tx_Table[[#This Row],[Year]],$W$4:$W626,"&gt;0"),"")</f>
        <v/>
      </c>
      <c r="Z626" s="10" t="str">
        <f>IF(S627&lt;&gt;eRRSP_Tx_Table[[#This Row],[Year]],SUMIFS($W$4:$W626,$S$4:$S626,eRRSP_Tx_Table[[#This Row],[Year]],$W$4:$W626,"&lt;0"),"")</f>
        <v/>
      </c>
      <c r="AA626" s="3">
        <f>(SUMIF($U$4:$U626,CONCATENATE("Buy",$C626),$N$4:$N626)+SUMIF($U$4:$U626,CONCATENATE("ReinvDiv",$C626),$N$4:$N626))</f>
        <v>-9861.4</v>
      </c>
      <c r="AB626" s="3">
        <f>(SUMIF($U$4:$U626,CONCATENATE("Buy",$C626),$F$4:$F626)+SUMIF($U$4:$U626,CONCATENATE("ReinvDiv",$C626),$F$4:$F626)+SUMIF($U$4:$U626,CONCATENATE("StkSplit",$C626),$F$4:$F626)-SUMIF($U$4:$U626,CONCATENATE("Sell",$C626),$F$4:$F626))</f>
        <v>692.58799999999997</v>
      </c>
      <c r="AC626" s="3">
        <f>IF(B626="Sell",F626*INDEX(V:V,LOOKUP(2,1/(X$4:X625=CONCATENATE(C626,"_ACB")),ROW(V$4:V625))),0)</f>
        <v>0</v>
      </c>
    </row>
    <row r="627" spans="1:29" x14ac:dyDescent="0.25">
      <c r="A627" s="20">
        <v>40171</v>
      </c>
      <c r="B627" t="s">
        <v>40</v>
      </c>
      <c r="C627" t="s">
        <v>86</v>
      </c>
      <c r="D627" s="3">
        <v>4780.1099999999997</v>
      </c>
      <c r="E627">
        <v>57.030714000000003</v>
      </c>
      <c r="F627" s="3">
        <v>84</v>
      </c>
      <c r="G627">
        <v>10.47</v>
      </c>
      <c r="J627">
        <v>39</v>
      </c>
      <c r="M627" s="21">
        <f t="shared" si="81"/>
        <v>4790.58</v>
      </c>
      <c r="N627" s="8">
        <f t="shared" si="79"/>
        <v>4780.1099999999997</v>
      </c>
      <c r="O627" s="25">
        <f t="shared" si="84"/>
        <v>77749.659999999974</v>
      </c>
      <c r="P627" s="8">
        <f t="shared" si="82"/>
        <v>0</v>
      </c>
      <c r="Q627" s="4">
        <f>IF(AND(S627&gt;=[1]eRRSP_Rpt!$C$6,S627&lt;=[1]eRRSP_Rpt!$C$7),1,0)</f>
        <v>1</v>
      </c>
      <c r="R627" s="4"/>
      <c r="S627" s="4">
        <f t="shared" si="80"/>
        <v>2009</v>
      </c>
      <c r="T627" s="4"/>
      <c r="U627" s="4" t="str">
        <f t="shared" si="83"/>
        <v>SelliShares S&amp;P SmallCap</v>
      </c>
      <c r="V627" s="23">
        <f>IFERROR(IF(AND(AB627&gt;0,B627&lt;&gt;"Sell"),(AA627-SUMIF(C$4:C626,C627,AC$4:AC627))/AB627,0),"")</f>
        <v>0</v>
      </c>
      <c r="W627" s="24">
        <f t="shared" si="78"/>
        <v>-1134.7000000000007</v>
      </c>
      <c r="X627" s="25" t="str">
        <f t="shared" si="77"/>
        <v/>
      </c>
      <c r="Y627" s="10" t="str">
        <f>IF(S628&lt;&gt;eRRSP_Tx_Table[[#This Row],[Year]],SUMIFS($W$4:$W627,$S$4:$S627,eRRSP_Tx_Table[[#This Row],[Year]],$W$4:$W627,"&gt;0"),"")</f>
        <v/>
      </c>
      <c r="Z627" s="10" t="str">
        <f>IF(S628&lt;&gt;eRRSP_Tx_Table[[#This Row],[Year]],SUMIFS($W$4:$W627,$S$4:$S627,eRRSP_Tx_Table[[#This Row],[Year]],$W$4:$W627,"&lt;0"),"")</f>
        <v/>
      </c>
      <c r="AA627" s="3">
        <f>(SUMIF($U$4:$U627,CONCATENATE("Buy",$C627),$N$4:$N627)+SUMIF($U$4:$U627,CONCATENATE("ReinvDiv",$C627),$N$4:$N627))</f>
        <v>-5914.81</v>
      </c>
      <c r="AB627" s="3">
        <f>(SUMIF($U$4:$U627,CONCATENATE("Buy",$C627),$F$4:$F627)+SUMIF($U$4:$U627,CONCATENATE("ReinvDiv",$C627),$F$4:$F627)+SUMIF($U$4:$U627,CONCATENATE("StkSplit",$C627),$F$4:$F627)-SUMIF($U$4:$U627,CONCATENATE("Sell",$C627),$F$4:$F627))</f>
        <v>0</v>
      </c>
      <c r="AC627" s="3">
        <f>IF(B627="Sell",F627*INDEX(V:V,LOOKUP(2,1/(X$4:X626=CONCATENATE(C627,"_ACB")),ROW(V$4:V626))),0)</f>
        <v>-5914.81</v>
      </c>
    </row>
    <row r="628" spans="1:29" x14ac:dyDescent="0.25">
      <c r="A628" s="20">
        <v>40176</v>
      </c>
      <c r="B628" t="s">
        <v>42</v>
      </c>
      <c r="C628" t="s">
        <v>90</v>
      </c>
      <c r="D628" s="3">
        <v>26.03</v>
      </c>
      <c r="J628">
        <v>18.309999999999999</v>
      </c>
      <c r="M628" s="21">
        <f t="shared" si="81"/>
        <v>26.03</v>
      </c>
      <c r="N628" s="8">
        <f t="shared" si="79"/>
        <v>26.03</v>
      </c>
      <c r="O628" s="25">
        <f t="shared" si="84"/>
        <v>77775.689999999973</v>
      </c>
      <c r="P628" s="8">
        <f t="shared" si="82"/>
        <v>0</v>
      </c>
      <c r="Q628" s="4">
        <f>IF(AND(S628&gt;=[1]eRRSP_Rpt!$C$6,S628&lt;=[1]eRRSP_Rpt!$C$7),1,0)</f>
        <v>1</v>
      </c>
      <c r="R628" s="4"/>
      <c r="S628" s="4">
        <f t="shared" si="80"/>
        <v>2009</v>
      </c>
      <c r="T628" s="4"/>
      <c r="U628" s="4" t="str">
        <f t="shared" si="83"/>
        <v>DivVanguard Large Cap ETF</v>
      </c>
      <c r="V628" s="23">
        <f>IFERROR(IF(AND(AB628&gt;0,B628&lt;&gt;"Sell"),(AA628-SUMIF(C$4:C627,C628,AC$4:AC628))/AB628,0),"")</f>
        <v>-74.401142857142858</v>
      </c>
      <c r="W628" s="24" t="str">
        <f t="shared" si="78"/>
        <v/>
      </c>
      <c r="X628" s="25" t="str">
        <f t="shared" si="77"/>
        <v>Vanguard Large Cap ETF_ACB</v>
      </c>
      <c r="Y628" s="10" t="str">
        <f>IF(S629&lt;&gt;eRRSP_Tx_Table[[#This Row],[Year]],SUMIFS($W$4:$W628,$S$4:$S628,eRRSP_Tx_Table[[#This Row],[Year]],$W$4:$W628,"&gt;0"),"")</f>
        <v/>
      </c>
      <c r="Z628" s="10" t="str">
        <f>IF(S629&lt;&gt;eRRSP_Tx_Table[[#This Row],[Year]],SUMIFS($W$4:$W628,$S$4:$S628,eRRSP_Tx_Table[[#This Row],[Year]],$W$4:$W628,"&lt;0"),"")</f>
        <v/>
      </c>
      <c r="AA628" s="3">
        <f>(SUMIF($U$4:$U628,CONCATENATE("Buy",$C628),$N$4:$N628)+SUMIF($U$4:$U628,CONCATENATE("ReinvDiv",$C628),$N$4:$N628))</f>
        <v>-5208.08</v>
      </c>
      <c r="AB628" s="3">
        <f>(SUMIF($U$4:$U628,CONCATENATE("Buy",$C628),$F$4:$F628)+SUMIF($U$4:$U628,CONCATENATE("ReinvDiv",$C628),$F$4:$F628)+SUMIF($U$4:$U628,CONCATENATE("StkSplit",$C628),$F$4:$F628)-SUMIF($U$4:$U628,CONCATENATE("Sell",$C628),$F$4:$F628))</f>
        <v>70</v>
      </c>
      <c r="AC628" s="3">
        <f>IF(B628="Sell",F628*INDEX(V:V,LOOKUP(2,1/(X$4:X627=CONCATENATE(C628,"_ACB")),ROW(V$4:V627))),0)</f>
        <v>0</v>
      </c>
    </row>
    <row r="629" spans="1:29" x14ac:dyDescent="0.25">
      <c r="A629" s="20">
        <v>40178</v>
      </c>
      <c r="B629" t="s">
        <v>42</v>
      </c>
      <c r="C629" t="s">
        <v>81</v>
      </c>
      <c r="D629" s="3">
        <v>39</v>
      </c>
      <c r="J629">
        <v>1992.24</v>
      </c>
      <c r="M629" s="21">
        <f t="shared" si="81"/>
        <v>39</v>
      </c>
      <c r="N629" s="8">
        <f t="shared" si="79"/>
        <v>39</v>
      </c>
      <c r="O629" s="25">
        <f t="shared" si="84"/>
        <v>77814.689999999973</v>
      </c>
      <c r="P629" s="8">
        <f t="shared" si="82"/>
        <v>0</v>
      </c>
      <c r="Q629" s="4">
        <f>IF(AND(S629&gt;=[1]eRRSP_Rpt!$C$6,S629&lt;=[1]eRRSP_Rpt!$C$7),1,0)</f>
        <v>1</v>
      </c>
      <c r="R629" s="4"/>
      <c r="S629" s="4">
        <f t="shared" si="80"/>
        <v>2009</v>
      </c>
      <c r="T629" s="4"/>
      <c r="U629" s="4" t="str">
        <f t="shared" si="83"/>
        <v>DiviShares MSCI Japan (US$)</v>
      </c>
      <c r="V629" s="23">
        <f>IFERROR(IF(AND(AB629&gt;0,B629&lt;&gt;"Sell"),(AA629-SUMIF(C$4:C628,C629,AC$4:AC629))/AB629,0),"")</f>
        <v>-16.497404761904761</v>
      </c>
      <c r="W629" s="24" t="str">
        <f t="shared" si="78"/>
        <v/>
      </c>
      <c r="X629" s="25" t="str">
        <f t="shared" si="77"/>
        <v>iShares MSCI Japan (US$)_ACB</v>
      </c>
      <c r="Y629" s="10" t="str">
        <f>IF(S630&lt;&gt;eRRSP_Tx_Table[[#This Row],[Year]],SUMIFS($W$4:$W629,$S$4:$S629,eRRSP_Tx_Table[[#This Row],[Year]],$W$4:$W629,"&gt;0"),"")</f>
        <v/>
      </c>
      <c r="Z629" s="10" t="str">
        <f>IF(S630&lt;&gt;eRRSP_Tx_Table[[#This Row],[Year]],SUMIFS($W$4:$W629,$S$4:$S629,eRRSP_Tx_Table[[#This Row],[Year]],$W$4:$W629,"&lt;0"),"")</f>
        <v/>
      </c>
      <c r="AA629" s="3">
        <f>(SUMIF($U$4:$U629,CONCATENATE("Buy",$C629),$N$4:$N629)+SUMIF($U$4:$U629,CONCATENATE("ReinvDiv",$C629),$N$4:$N629))</f>
        <v>-6928.91</v>
      </c>
      <c r="AB629" s="3">
        <f>(SUMIF($U$4:$U629,CONCATENATE("Buy",$C629),$F$4:$F629)+SUMIF($U$4:$U629,CONCATENATE("ReinvDiv",$C629),$F$4:$F629)+SUMIF($U$4:$U629,CONCATENATE("StkSplit",$C629),$F$4:$F629)-SUMIF($U$4:$U629,CONCATENATE("Sell",$C629),$F$4:$F629))</f>
        <v>420</v>
      </c>
      <c r="AC629" s="3">
        <f>IF(B629="Sell",F629*INDEX(V:V,LOOKUP(2,1/(X$4:X628=CONCATENATE(C629,"_ACB")),ROW(V$4:V628))),0)</f>
        <v>0</v>
      </c>
    </row>
    <row r="630" spans="1:29" x14ac:dyDescent="0.25">
      <c r="A630" s="20">
        <v>40178</v>
      </c>
      <c r="B630" t="s">
        <v>42</v>
      </c>
      <c r="C630" t="s">
        <v>89</v>
      </c>
      <c r="D630" s="3">
        <v>18.309999999999999</v>
      </c>
      <c r="J630">
        <v>23.95</v>
      </c>
      <c r="M630" s="21">
        <f t="shared" si="81"/>
        <v>18.309999999999999</v>
      </c>
      <c r="N630" s="8">
        <f t="shared" si="79"/>
        <v>18.309999999999999</v>
      </c>
      <c r="O630" s="25">
        <f t="shared" si="84"/>
        <v>77832.999999999971</v>
      </c>
      <c r="P630" s="8">
        <f t="shared" si="82"/>
        <v>0</v>
      </c>
      <c r="Q630" s="4">
        <f>IF(AND(S630&gt;=[1]eRRSP_Rpt!$C$6,S630&lt;=[1]eRRSP_Rpt!$C$7),1,0)</f>
        <v>1</v>
      </c>
      <c r="R630" s="4"/>
      <c r="S630" s="4">
        <f t="shared" si="80"/>
        <v>2009</v>
      </c>
      <c r="T630" s="4"/>
      <c r="U630" s="4" t="str">
        <f t="shared" si="83"/>
        <v>DiviShares MSCI EAFE (US$)</v>
      </c>
      <c r="V630" s="23">
        <f>IFERROR(IF(AND(AB630&gt;0,B630&lt;&gt;"Sell"),(AA630-SUMIF(C$4:C629,C630,AC$4:AC630))/AB630,0),"")</f>
        <v>-88.693428571428583</v>
      </c>
      <c r="W630" s="24" t="str">
        <f t="shared" si="78"/>
        <v/>
      </c>
      <c r="X630" s="25" t="str">
        <f t="shared" si="77"/>
        <v>iShares MSCI EAFE (US$)_ACB</v>
      </c>
      <c r="Y630" s="10" t="str">
        <f>IF(S631&lt;&gt;eRRSP_Tx_Table[[#This Row],[Year]],SUMIFS($W$4:$W630,$S$4:$S630,eRRSP_Tx_Table[[#This Row],[Year]],$W$4:$W630,"&gt;0"),"")</f>
        <v/>
      </c>
      <c r="Z630" s="10" t="str">
        <f>IF(S631&lt;&gt;eRRSP_Tx_Table[[#This Row],[Year]],SUMIFS($W$4:$W630,$S$4:$S630,eRRSP_Tx_Table[[#This Row],[Year]],$W$4:$W630,"&lt;0"),"")</f>
        <v/>
      </c>
      <c r="AA630" s="3">
        <f>(SUMIF($U$4:$U630,CONCATENATE("Buy",$C630),$N$4:$N630)+SUMIF($U$4:$U630,CONCATENATE("ReinvDiv",$C630),$N$4:$N630))</f>
        <v>-3104.2700000000004</v>
      </c>
      <c r="AB630" s="3">
        <f>(SUMIF($U$4:$U630,CONCATENATE("Buy",$C630),$F$4:$F630)+SUMIF($U$4:$U630,CONCATENATE("ReinvDiv",$C630),$F$4:$F630)+SUMIF($U$4:$U630,CONCATENATE("StkSplit",$C630),$F$4:$F630)-SUMIF($U$4:$U630,CONCATENATE("Sell",$C630),$F$4:$F630))</f>
        <v>35</v>
      </c>
      <c r="AC630" s="3">
        <f>IF(B630="Sell",F630*INDEX(V:V,LOOKUP(2,1/(X$4:X629=CONCATENATE(C630,"_ACB")),ROW(V$4:V629))),0)</f>
        <v>0</v>
      </c>
    </row>
    <row r="631" spans="1:29" x14ac:dyDescent="0.25">
      <c r="A631" s="20">
        <v>40178</v>
      </c>
      <c r="B631" t="s">
        <v>40</v>
      </c>
      <c r="C631" t="s">
        <v>89</v>
      </c>
      <c r="D631" s="3">
        <v>1992.17</v>
      </c>
      <c r="E631">
        <v>57.212285999999999</v>
      </c>
      <c r="F631" s="3">
        <v>35</v>
      </c>
      <c r="G631">
        <v>10.26</v>
      </c>
      <c r="J631">
        <v>3138.71</v>
      </c>
      <c r="M631" s="21">
        <f t="shared" si="81"/>
        <v>2002.43</v>
      </c>
      <c r="N631" s="8">
        <f t="shared" si="79"/>
        <v>1992.17</v>
      </c>
      <c r="O631" s="25">
        <f t="shared" si="84"/>
        <v>79825.169999999969</v>
      </c>
      <c r="P631" s="8">
        <f t="shared" si="82"/>
        <v>0</v>
      </c>
      <c r="Q631" s="4">
        <f>IF(AND(S631&gt;=[1]eRRSP_Rpt!$C$6,S631&lt;=[1]eRRSP_Rpt!$C$7),1,0)</f>
        <v>1</v>
      </c>
      <c r="R631" s="4"/>
      <c r="S631" s="4">
        <f t="shared" si="80"/>
        <v>2009</v>
      </c>
      <c r="T631" s="4"/>
      <c r="U631" s="4" t="str">
        <f t="shared" si="83"/>
        <v>SelliShares MSCI EAFE (US$)</v>
      </c>
      <c r="V631" s="23">
        <f>IFERROR(IF(AND(AB631&gt;0,B631&lt;&gt;"Sell"),(AA631-SUMIF(C$4:C630,C631,AC$4:AC631))/AB631,0),"")</f>
        <v>0</v>
      </c>
      <c r="W631" s="24">
        <f t="shared" si="78"/>
        <v>-1112.1000000000004</v>
      </c>
      <c r="X631" s="25" t="str">
        <f t="shared" si="77"/>
        <v/>
      </c>
      <c r="Y631" s="10" t="str">
        <f>IF(S632&lt;&gt;eRRSP_Tx_Table[[#This Row],[Year]],SUMIFS($W$4:$W631,$S$4:$S631,eRRSP_Tx_Table[[#This Row],[Year]],$W$4:$W631,"&gt;0"),"")</f>
        <v/>
      </c>
      <c r="Z631" s="10" t="str">
        <f>IF(S632&lt;&gt;eRRSP_Tx_Table[[#This Row],[Year]],SUMIFS($W$4:$W631,$S$4:$S631,eRRSP_Tx_Table[[#This Row],[Year]],$W$4:$W631,"&lt;0"),"")</f>
        <v/>
      </c>
      <c r="AA631" s="3">
        <f>(SUMIF($U$4:$U631,CONCATENATE("Buy",$C631),$N$4:$N631)+SUMIF($U$4:$U631,CONCATENATE("ReinvDiv",$C631),$N$4:$N631))</f>
        <v>-3104.2700000000004</v>
      </c>
      <c r="AB631" s="3">
        <f>(SUMIF($U$4:$U631,CONCATENATE("Buy",$C631),$F$4:$F631)+SUMIF($U$4:$U631,CONCATENATE("ReinvDiv",$C631),$F$4:$F631)+SUMIF($U$4:$U631,CONCATENATE("StkSplit",$C631),$F$4:$F631)-SUMIF($U$4:$U631,CONCATENATE("Sell",$C631),$F$4:$F631))</f>
        <v>0</v>
      </c>
      <c r="AC631" s="3">
        <f>IF(B631="Sell",F631*INDEX(V:V,LOOKUP(2,1/(X$4:X630=CONCATENATE(C631,"_ACB")),ROW(V$4:V630))),0)</f>
        <v>-3104.2700000000004</v>
      </c>
    </row>
    <row r="632" spans="1:29" x14ac:dyDescent="0.25">
      <c r="A632" s="20">
        <v>40178</v>
      </c>
      <c r="B632" t="s">
        <v>42</v>
      </c>
      <c r="C632" t="s">
        <v>84</v>
      </c>
      <c r="D632" s="3">
        <v>23.95</v>
      </c>
      <c r="J632">
        <v>4253.58</v>
      </c>
      <c r="M632" s="21">
        <f t="shared" si="81"/>
        <v>23.95</v>
      </c>
      <c r="N632" s="8">
        <f t="shared" si="79"/>
        <v>23.95</v>
      </c>
      <c r="O632" s="25">
        <f t="shared" si="84"/>
        <v>79849.119999999966</v>
      </c>
      <c r="P632" s="8">
        <f t="shared" si="82"/>
        <v>0</v>
      </c>
      <c r="Q632" s="4">
        <f>IF(AND(S632&gt;=[1]eRRSP_Rpt!$C$6,S632&lt;=[1]eRRSP_Rpt!$C$7),1,0)</f>
        <v>1</v>
      </c>
      <c r="R632" s="4"/>
      <c r="S632" s="4">
        <f t="shared" si="80"/>
        <v>2009</v>
      </c>
      <c r="T632" s="4"/>
      <c r="U632" s="4" t="str">
        <f t="shared" si="83"/>
        <v>DiviShares S&amp;P Europe 350 (US$)</v>
      </c>
      <c r="V632" s="23">
        <f>IFERROR(IF(AND(AB632&gt;0,B632&lt;&gt;"Sell"),(AA632-SUMIF(C$4:C631,C632,AC$4:AC632))/AB632,0),"")</f>
        <v>-54.267692307692307</v>
      </c>
      <c r="W632" s="24" t="str">
        <f t="shared" si="78"/>
        <v/>
      </c>
      <c r="X632" s="25" t="str">
        <f t="shared" si="77"/>
        <v>iShares S&amp;P Europe 350 (US$)_ACB</v>
      </c>
      <c r="Y632" s="10" t="str">
        <f>IF(S633&lt;&gt;eRRSP_Tx_Table[[#This Row],[Year]],SUMIFS($W$4:$W632,$S$4:$S632,eRRSP_Tx_Table[[#This Row],[Year]],$W$4:$W632,"&gt;0"),"")</f>
        <v/>
      </c>
      <c r="Z632" s="10" t="str">
        <f>IF(S633&lt;&gt;eRRSP_Tx_Table[[#This Row],[Year]],SUMIFS($W$4:$W632,$S$4:$S632,eRRSP_Tx_Table[[#This Row],[Year]],$W$4:$W632,"&lt;0"),"")</f>
        <v/>
      </c>
      <c r="AA632" s="3">
        <f>(SUMIF($U$4:$U632,CONCATENATE("Buy",$C632),$N$4:$N632)+SUMIF($U$4:$U632,CONCATENATE("ReinvDiv",$C632),$N$4:$N632))</f>
        <v>-4232.88</v>
      </c>
      <c r="AB632" s="3">
        <f>(SUMIF($U$4:$U632,CONCATENATE("Buy",$C632),$F$4:$F632)+SUMIF($U$4:$U632,CONCATENATE("ReinvDiv",$C632),$F$4:$F632)+SUMIF($U$4:$U632,CONCATENATE("StkSplit",$C632),$F$4:$F632)-SUMIF($U$4:$U632,CONCATENATE("Sell",$C632),$F$4:$F632))</f>
        <v>78</v>
      </c>
      <c r="AC632" s="3">
        <f>IF(B632="Sell",F632*INDEX(V:V,LOOKUP(2,1/(X$4:X631=CONCATENATE(C632,"_ACB")),ROW(V$4:V631))),0)</f>
        <v>0</v>
      </c>
    </row>
    <row r="633" spans="1:29" x14ac:dyDescent="0.25">
      <c r="A633" s="20">
        <v>40178</v>
      </c>
      <c r="B633" t="s">
        <v>40</v>
      </c>
      <c r="C633" t="s">
        <v>84</v>
      </c>
      <c r="D633" s="3">
        <v>3138.62</v>
      </c>
      <c r="E633">
        <v>40.370255999999998</v>
      </c>
      <c r="F633" s="3">
        <v>78</v>
      </c>
      <c r="G633">
        <v>10.26</v>
      </c>
      <c r="J633">
        <v>41.37</v>
      </c>
      <c r="M633" s="21">
        <f t="shared" si="81"/>
        <v>3148.88</v>
      </c>
      <c r="N633" s="8">
        <f t="shared" si="79"/>
        <v>3138.62</v>
      </c>
      <c r="O633" s="25">
        <f t="shared" si="84"/>
        <v>82987.739999999962</v>
      </c>
      <c r="P633" s="8">
        <f t="shared" si="82"/>
        <v>0</v>
      </c>
      <c r="Q633" s="4">
        <f>IF(AND(S633&gt;=[1]eRRSP_Rpt!$C$6,S633&lt;=[1]eRRSP_Rpt!$C$7),1,0)</f>
        <v>1</v>
      </c>
      <c r="R633" s="4"/>
      <c r="S633" s="4">
        <f t="shared" si="80"/>
        <v>2009</v>
      </c>
      <c r="T633" s="4"/>
      <c r="U633" s="4" t="str">
        <f t="shared" si="83"/>
        <v>SelliShares S&amp;P Europe 350 (US$)</v>
      </c>
      <c r="V633" s="23">
        <f>IFERROR(IF(AND(AB633&gt;0,B633&lt;&gt;"Sell"),(AA633-SUMIF(C$4:C632,C633,AC$4:AC633))/AB633,0),"")</f>
        <v>0</v>
      </c>
      <c r="W633" s="24">
        <f t="shared" si="78"/>
        <v>-1094.2600000000002</v>
      </c>
      <c r="X633" s="25" t="str">
        <f t="shared" si="77"/>
        <v/>
      </c>
      <c r="Y633" s="10" t="str">
        <f>IF(S634&lt;&gt;eRRSP_Tx_Table[[#This Row],[Year]],SUMIFS($W$4:$W633,$S$4:$S633,eRRSP_Tx_Table[[#This Row],[Year]],$W$4:$W633,"&gt;0"),"")</f>
        <v/>
      </c>
      <c r="Z633" s="10" t="str">
        <f>IF(S634&lt;&gt;eRRSP_Tx_Table[[#This Row],[Year]],SUMIFS($W$4:$W633,$S$4:$S633,eRRSP_Tx_Table[[#This Row],[Year]],$W$4:$W633,"&lt;0"),"")</f>
        <v/>
      </c>
      <c r="AA633" s="3">
        <f>(SUMIF($U$4:$U633,CONCATENATE("Buy",$C633),$N$4:$N633)+SUMIF($U$4:$U633,CONCATENATE("ReinvDiv",$C633),$N$4:$N633))</f>
        <v>-4232.88</v>
      </c>
      <c r="AB633" s="3">
        <f>(SUMIF($U$4:$U633,CONCATENATE("Buy",$C633),$F$4:$F633)+SUMIF($U$4:$U633,CONCATENATE("ReinvDiv",$C633),$F$4:$F633)+SUMIF($U$4:$U633,CONCATENATE("StkSplit",$C633),$F$4:$F633)-SUMIF($U$4:$U633,CONCATENATE("Sell",$C633),$F$4:$F633))</f>
        <v>0</v>
      </c>
      <c r="AC633" s="3">
        <f>IF(B633="Sell",F633*INDEX(V:V,LOOKUP(2,1/(X$4:X632=CONCATENATE(C633,"_ACB")),ROW(V$4:V632))),0)</f>
        <v>-4232.88</v>
      </c>
    </row>
    <row r="634" spans="1:29" ht="13.5" customHeight="1" x14ac:dyDescent="0.25">
      <c r="A634" s="32">
        <f>A558+364</f>
        <v>40178</v>
      </c>
      <c r="B634" s="33"/>
      <c r="C634" s="33"/>
      <c r="D634" s="34"/>
      <c r="E634" s="33"/>
      <c r="F634" s="34"/>
      <c r="G634" s="33"/>
      <c r="H634" s="33"/>
      <c r="I634" s="33"/>
      <c r="J634" s="33"/>
      <c r="K634" s="33"/>
      <c r="L634" s="33"/>
      <c r="M634" s="35"/>
      <c r="N634" s="8">
        <f t="shared" si="79"/>
        <v>0</v>
      </c>
      <c r="O634" s="36"/>
      <c r="P634" s="37">
        <v>-117337.56</v>
      </c>
      <c r="Q634" s="4">
        <f>IF(AND(S634&gt;=[1]eRRSP_Rpt!$C$6,S634&lt;=[1]eRRSP_Rpt!$C$7),1,0)</f>
        <v>1</v>
      </c>
      <c r="R634" s="4" t="s">
        <v>34</v>
      </c>
      <c r="S634" s="4">
        <f>YEAR(A634)</f>
        <v>2009</v>
      </c>
      <c r="T634" s="22"/>
      <c r="U634" s="4"/>
      <c r="V634" s="23">
        <f>IFERROR(IF(AND(AB634&gt;0,B634&lt;&gt;"Sell"),(AA634-SUMIF(C$4:C633,C634,AC$4:AC634))/AB634,0),"")</f>
        <v>0</v>
      </c>
      <c r="W634" s="24" t="str">
        <f t="shared" si="78"/>
        <v/>
      </c>
      <c r="X634" s="25" t="str">
        <f t="shared" si="77"/>
        <v/>
      </c>
      <c r="Y634" s="10">
        <f>IF(S635&lt;&gt;eRRSP_Tx_Table[[#This Row],[Year]],SUMIFS($W$4:$W634,$S$4:$S634,eRRSP_Tx_Table[[#This Row],[Year]],$W$4:$W634,"&gt;0"),"")</f>
        <v>3980.7799999999997</v>
      </c>
      <c r="Z634" s="10">
        <f>IF(S635&lt;&gt;eRRSP_Tx_Table[[#This Row],[Year]],SUMIFS($W$4:$W634,$S$4:$S634,eRRSP_Tx_Table[[#This Row],[Year]],$W$4:$W634,"&lt;0"),"")</f>
        <v>-5067.09</v>
      </c>
      <c r="AA634" s="3">
        <f>(SUMIF($U$4:$U634,CONCATENATE("Buy",$C634),$N$4:$N634)+SUMIF($U$4:$U634,CONCATENATE("ReinvDiv",$C634),$N$4:$N634))</f>
        <v>0</v>
      </c>
      <c r="AB634" s="3">
        <f>(SUMIF($U$4:$U634,CONCATENATE("Buy",$C634),$F$4:$F634)+SUMIF($U$4:$U634,CONCATENATE("ReinvDiv",$C634),$F$4:$F634)+SUMIF($U$4:$U634,CONCATENATE("StkSplit",$C634),$F$4:$F634)-SUMIF($U$4:$U634,CONCATENATE("Sell",$C634),$F$4:$F634))</f>
        <v>0</v>
      </c>
      <c r="AC634" s="3">
        <f>IF(B634="Sell",F634*INDEX(V:V,LOOKUP(2,1/(X$4:X633=CONCATENATE(C634,"_ACB")),ROW(V$4:V633))),0)</f>
        <v>0</v>
      </c>
    </row>
    <row r="635" spans="1:29" ht="13.5" customHeight="1" x14ac:dyDescent="0.25">
      <c r="A635" s="32">
        <f>A634+1</f>
        <v>40179</v>
      </c>
      <c r="B635" s="33"/>
      <c r="C635" s="33"/>
      <c r="D635" s="34"/>
      <c r="E635" s="33"/>
      <c r="F635" s="34"/>
      <c r="G635" s="33"/>
      <c r="H635" s="33"/>
      <c r="I635" s="33"/>
      <c r="J635" s="33"/>
      <c r="K635" s="33"/>
      <c r="L635" s="33"/>
      <c r="M635" s="35"/>
      <c r="N635" s="8">
        <f t="shared" si="79"/>
        <v>0</v>
      </c>
      <c r="O635" s="36"/>
      <c r="P635" s="37">
        <f>-P634</f>
        <v>117337.56</v>
      </c>
      <c r="Q635" s="4">
        <f>IF(AND(S635&gt;=[1]eRRSP_Rpt!$C$6,S635&lt;=[1]eRRSP_Rpt!$C$7),1,0)</f>
        <v>1</v>
      </c>
      <c r="R635" s="4" t="s">
        <v>34</v>
      </c>
      <c r="S635" s="4">
        <f>YEAR(A635)</f>
        <v>2010</v>
      </c>
      <c r="T635" s="22"/>
      <c r="U635" s="4"/>
      <c r="V635" s="23">
        <f>IFERROR(IF(AND(AB635&gt;0,B635&lt;&gt;"Sell"),(AA635-SUMIF(C$4:C634,C635,AC$4:AC635))/AB635,0),"")</f>
        <v>0</v>
      </c>
      <c r="W635" s="24" t="str">
        <f t="shared" si="78"/>
        <v/>
      </c>
      <c r="X635" s="25" t="str">
        <f t="shared" si="77"/>
        <v/>
      </c>
      <c r="Y635" s="10" t="str">
        <f>IF(S636&lt;&gt;eRRSP_Tx_Table[[#This Row],[Year]],SUMIFS($W$4:$W635,$S$4:$S635,eRRSP_Tx_Table[[#This Row],[Year]],$W$4:$W635,"&gt;0"),"")</f>
        <v/>
      </c>
      <c r="Z635" s="10" t="str">
        <f>IF(S636&lt;&gt;eRRSP_Tx_Table[[#This Row],[Year]],SUMIFS($W$4:$W635,$S$4:$S635,eRRSP_Tx_Table[[#This Row],[Year]],$W$4:$W635,"&lt;0"),"")</f>
        <v/>
      </c>
      <c r="AA635" s="3">
        <f>(SUMIF($U$4:$U635,CONCATENATE("Buy",$C635),$N$4:$N635)+SUMIF($U$4:$U635,CONCATENATE("ReinvDiv",$C635),$N$4:$N635))</f>
        <v>0</v>
      </c>
      <c r="AB635" s="3">
        <f>(SUMIF($U$4:$U635,CONCATENATE("Buy",$C635),$F$4:$F635)+SUMIF($U$4:$U635,CONCATENATE("ReinvDiv",$C635),$F$4:$F635)+SUMIF($U$4:$U635,CONCATENATE("StkSplit",$C635),$F$4:$F635)-SUMIF($U$4:$U635,CONCATENATE("Sell",$C635),$F$4:$F635))</f>
        <v>0</v>
      </c>
      <c r="AC635" s="3">
        <f>IF(B635="Sell",F635*INDEX(V:V,LOOKUP(2,1/(X$4:X634=CONCATENATE(C635,"_ACB")),ROW(V$4:V634))),0)</f>
        <v>0</v>
      </c>
    </row>
    <row r="636" spans="1:29" x14ac:dyDescent="0.25">
      <c r="A636" s="20">
        <v>40183</v>
      </c>
      <c r="B636" t="s">
        <v>40</v>
      </c>
      <c r="C636" t="s">
        <v>81</v>
      </c>
      <c r="D636" s="3">
        <v>4253.5</v>
      </c>
      <c r="E636">
        <v>10.152048000000001</v>
      </c>
      <c r="F636" s="3">
        <v>420</v>
      </c>
      <c r="G636">
        <v>10.36</v>
      </c>
      <c r="J636">
        <v>1.7</v>
      </c>
      <c r="M636" s="21">
        <f t="shared" si="81"/>
        <v>4263.8599999999997</v>
      </c>
      <c r="N636" s="8">
        <f t="shared" si="79"/>
        <v>4253.5</v>
      </c>
      <c r="O636" s="25">
        <f>O633+IF(OR(B636="Cash",B636="Buy",B636="Sell",B636="Div",B636="Rebate",B636="Fees",B636="IntInc",B636="Tax",B636="Distr"),N636,0)</f>
        <v>87241.239999999962</v>
      </c>
      <c r="P636" s="8">
        <f t="shared" si="82"/>
        <v>0</v>
      </c>
      <c r="Q636" s="4">
        <f>IF(AND(S636&gt;=[1]eRRSP_Rpt!$C$6,S636&lt;=[1]eRRSP_Rpt!$C$7),1,0)</f>
        <v>1</v>
      </c>
      <c r="R636" s="4"/>
      <c r="S636" s="4">
        <f t="shared" si="80"/>
        <v>2010</v>
      </c>
      <c r="T636" s="4"/>
      <c r="U636" s="4" t="str">
        <f t="shared" si="83"/>
        <v>SelliShares MSCI Japan (US$)</v>
      </c>
      <c r="V636" s="23">
        <f>IFERROR(IF(AND(AB636&gt;0,B636&lt;&gt;"Sell"),(AA636-SUMIF(C$4:C635,C636,AC$4:AC636))/AB636,0),"")</f>
        <v>0</v>
      </c>
      <c r="W636" s="24">
        <f t="shared" si="78"/>
        <v>-2675.41</v>
      </c>
      <c r="X636" s="25" t="str">
        <f t="shared" si="77"/>
        <v/>
      </c>
      <c r="Y636" s="10" t="str">
        <f>IF(S637&lt;&gt;eRRSP_Tx_Table[[#This Row],[Year]],SUMIFS($W$4:$W636,$S$4:$S636,eRRSP_Tx_Table[[#This Row],[Year]],$W$4:$W636,"&gt;0"),"")</f>
        <v/>
      </c>
      <c r="Z636" s="10" t="str">
        <f>IF(S637&lt;&gt;eRRSP_Tx_Table[[#This Row],[Year]],SUMIFS($W$4:$W636,$S$4:$S636,eRRSP_Tx_Table[[#This Row],[Year]],$W$4:$W636,"&lt;0"),"")</f>
        <v/>
      </c>
      <c r="AA636" s="3">
        <f>(SUMIF($U$4:$U636,CONCATENATE("Buy",$C636),$N$4:$N636)+SUMIF($U$4:$U636,CONCATENATE("ReinvDiv",$C636),$N$4:$N636))</f>
        <v>-6928.91</v>
      </c>
      <c r="AB636" s="3">
        <f>(SUMIF($U$4:$U636,CONCATENATE("Buy",$C636),$F$4:$F636)+SUMIF($U$4:$U636,CONCATENATE("ReinvDiv",$C636),$F$4:$F636)+SUMIF($U$4:$U636,CONCATENATE("StkSplit",$C636),$F$4:$F636)-SUMIF($U$4:$U636,CONCATENATE("Sell",$C636),$F$4:$F636))</f>
        <v>0</v>
      </c>
      <c r="AC636" s="3">
        <f>IF(B636="Sell",F636*INDEX(V:V,LOOKUP(2,1/(X$4:X635=CONCATENATE(C636,"_ACB")),ROW(V$4:V635))),0)</f>
        <v>-6928.91</v>
      </c>
    </row>
    <row r="637" spans="1:29" x14ac:dyDescent="0.25">
      <c r="A637" s="20">
        <v>40193</v>
      </c>
      <c r="B637" t="s">
        <v>42</v>
      </c>
      <c r="C637" t="s">
        <v>87</v>
      </c>
      <c r="D637" s="3">
        <v>41.37</v>
      </c>
      <c r="J637">
        <v>6465</v>
      </c>
      <c r="M637" s="21">
        <f t="shared" si="81"/>
        <v>41.37</v>
      </c>
      <c r="N637" s="8">
        <f t="shared" si="79"/>
        <v>41.37</v>
      </c>
      <c r="O637" s="25">
        <f t="shared" ref="O637:O696" si="85">O636+IF(OR(B637="Cash",B637="Buy",B637="Sell",B637="Div",B637="Rebate",B637="Fees",B637="IntInc",B637="Tax",B637="Distr"),N637,0)</f>
        <v>87282.609999999957</v>
      </c>
      <c r="P637" s="8">
        <f t="shared" si="82"/>
        <v>0</v>
      </c>
      <c r="Q637" s="4">
        <f>IF(AND(S637&gt;=[1]eRRSP_Rpt!$C$6,S637&lt;=[1]eRRSP_Rpt!$C$7),1,0)</f>
        <v>1</v>
      </c>
      <c r="R637" s="4"/>
      <c r="S637" s="4">
        <f t="shared" si="80"/>
        <v>2010</v>
      </c>
      <c r="T637" s="4"/>
      <c r="U637" s="4" t="str">
        <f t="shared" si="83"/>
        <v>DivAberdeen Asia Pacific Income Fund</v>
      </c>
      <c r="V637" s="23">
        <f>IFERROR(IF(AND(AB637&gt;0,B637&lt;&gt;"Sell"),(AA637-SUMIF(C$4:C636,C637,AC$4:AC637))/AB637,0),"")</f>
        <v>-7.4694020797227028</v>
      </c>
      <c r="W637" s="24" t="str">
        <f t="shared" si="78"/>
        <v/>
      </c>
      <c r="X637" s="25" t="str">
        <f t="shared" si="77"/>
        <v>Aberdeen Asia Pacific Income Fund_ACB</v>
      </c>
      <c r="Y637" s="10" t="str">
        <f>IF(S638&lt;&gt;eRRSP_Tx_Table[[#This Row],[Year]],SUMIFS($W$4:$W637,$S$4:$S637,eRRSP_Tx_Table[[#This Row],[Year]],$W$4:$W637,"&gt;0"),"")</f>
        <v/>
      </c>
      <c r="Z637" s="10" t="str">
        <f>IF(S638&lt;&gt;eRRSP_Tx_Table[[#This Row],[Year]],SUMIFS($W$4:$W637,$S$4:$S637,eRRSP_Tx_Table[[#This Row],[Year]],$W$4:$W637,"&lt;0"),"")</f>
        <v/>
      </c>
      <c r="AA637" s="3">
        <f>(SUMIF($U$4:$U637,CONCATENATE("Buy",$C637),$N$4:$N637)+SUMIF($U$4:$U637,CONCATENATE("ReinvDiv",$C637),$N$4:$N637))</f>
        <v>-8619.6899999999987</v>
      </c>
      <c r="AB637" s="3">
        <f>(SUMIF($U$4:$U637,CONCATENATE("Buy",$C637),$F$4:$F637)+SUMIF($U$4:$U637,CONCATENATE("ReinvDiv",$C637),$F$4:$F637)+SUMIF($U$4:$U637,CONCATENATE("StkSplit",$C637),$F$4:$F637)-SUMIF($U$4:$U637,CONCATENATE("Sell",$C637),$F$4:$F637))</f>
        <v>1154</v>
      </c>
      <c r="AC637" s="3">
        <f>IF(B637="Sell",F637*INDEX(V:V,LOOKUP(2,1/(X$4:X636=CONCATENATE(C637,"_ACB")),ROW(V$4:V636))),0)</f>
        <v>0</v>
      </c>
    </row>
    <row r="638" spans="1:29" x14ac:dyDescent="0.25">
      <c r="A638" s="20">
        <v>40194</v>
      </c>
      <c r="B638" t="s">
        <v>43</v>
      </c>
      <c r="C638" t="s">
        <v>36</v>
      </c>
      <c r="D638" s="3">
        <v>1.7</v>
      </c>
      <c r="J638">
        <v>0.76</v>
      </c>
      <c r="M638" s="21">
        <f t="shared" si="81"/>
        <v>1.7</v>
      </c>
      <c r="N638" s="8">
        <f t="shared" si="79"/>
        <v>1.7</v>
      </c>
      <c r="O638" s="25">
        <f t="shared" si="85"/>
        <v>87284.309999999954</v>
      </c>
      <c r="P638" s="8">
        <f t="shared" si="82"/>
        <v>0</v>
      </c>
      <c r="Q638" s="4">
        <f>IF(AND(S638&gt;=[1]eRRSP_Rpt!$C$6,S638&lt;=[1]eRRSP_Rpt!$C$7),1,0)</f>
        <v>1</v>
      </c>
      <c r="R638" s="4"/>
      <c r="S638" s="4">
        <f t="shared" si="80"/>
        <v>2010</v>
      </c>
      <c r="T638" s="4"/>
      <c r="U638" s="4" t="str">
        <f t="shared" si="83"/>
        <v>IntIncTDW</v>
      </c>
      <c r="V638" s="23">
        <f>IFERROR(IF(AND(AB638&gt;0,B638&lt;&gt;"Sell"),(AA638-SUMIF(C$4:C637,C638,AC$4:AC638))/AB638,0),"")</f>
        <v>0</v>
      </c>
      <c r="W638" s="24" t="str">
        <f t="shared" si="78"/>
        <v/>
      </c>
      <c r="X638" s="25" t="str">
        <f t="shared" si="77"/>
        <v/>
      </c>
      <c r="Y638" s="10" t="str">
        <f>IF(S639&lt;&gt;eRRSP_Tx_Table[[#This Row],[Year]],SUMIFS($W$4:$W638,$S$4:$S638,eRRSP_Tx_Table[[#This Row],[Year]],$W$4:$W638,"&gt;0"),"")</f>
        <v/>
      </c>
      <c r="Z638" s="10" t="str">
        <f>IF(S639&lt;&gt;eRRSP_Tx_Table[[#This Row],[Year]],SUMIFS($W$4:$W638,$S$4:$S638,eRRSP_Tx_Table[[#This Row],[Year]],$W$4:$W638,"&lt;0"),"")</f>
        <v/>
      </c>
      <c r="AA638" s="3">
        <f>(SUMIF($U$4:$U638,CONCATENATE("Buy",$C638),$N$4:$N638)+SUMIF($U$4:$U638,CONCATENATE("ReinvDiv",$C638),$N$4:$N638))</f>
        <v>0</v>
      </c>
      <c r="AB638" s="3">
        <f>(SUMIF($U$4:$U638,CONCATENATE("Buy",$C638),$F$4:$F638)+SUMIF($U$4:$U638,CONCATENATE("ReinvDiv",$C638),$F$4:$F638)+SUMIF($U$4:$U638,CONCATENATE("StkSplit",$C638),$F$4:$F638)-SUMIF($U$4:$U638,CONCATENATE("Sell",$C638),$F$4:$F638))</f>
        <v>0</v>
      </c>
      <c r="AC638" s="3">
        <f>IF(B638="Sell",F638*INDEX(V:V,LOOKUP(2,1/(X$4:X637=CONCATENATE(C638,"_ACB")),ROW(V$4:V637))),0)</f>
        <v>0</v>
      </c>
    </row>
    <row r="639" spans="1:29" x14ac:dyDescent="0.25">
      <c r="A639" s="20">
        <v>40205</v>
      </c>
      <c r="B639" t="s">
        <v>30</v>
      </c>
      <c r="C639" t="s">
        <v>31</v>
      </c>
      <c r="D639" s="3">
        <v>6465</v>
      </c>
      <c r="J639">
        <v>12.2</v>
      </c>
      <c r="M639" s="21">
        <f t="shared" si="81"/>
        <v>6465</v>
      </c>
      <c r="N639" s="8">
        <f t="shared" si="79"/>
        <v>6465</v>
      </c>
      <c r="O639" s="25">
        <f t="shared" si="85"/>
        <v>93749.309999999954</v>
      </c>
      <c r="P639" s="8">
        <f t="shared" si="82"/>
        <v>6465</v>
      </c>
      <c r="Q639" s="4">
        <f>IF(AND(S639&gt;=[1]eRRSP_Rpt!$C$6,S639&lt;=[1]eRRSP_Rpt!$C$7),1,0)</f>
        <v>1</v>
      </c>
      <c r="R639" s="4"/>
      <c r="S639" s="4">
        <f t="shared" si="80"/>
        <v>2010</v>
      </c>
      <c r="T639" s="4"/>
      <c r="U639" s="4" t="str">
        <f t="shared" si="83"/>
        <v>CashContribution</v>
      </c>
      <c r="V639" s="23">
        <f>IFERROR(IF(AND(AB639&gt;0,B639&lt;&gt;"Sell"),(AA639-SUMIF(C$4:C638,C639,AC$4:AC639))/AB639,0),"")</f>
        <v>0</v>
      </c>
      <c r="W639" s="24" t="str">
        <f t="shared" si="78"/>
        <v/>
      </c>
      <c r="X639" s="25" t="str">
        <f t="shared" si="77"/>
        <v/>
      </c>
      <c r="Y639" s="10" t="str">
        <f>IF(S640&lt;&gt;eRRSP_Tx_Table[[#This Row],[Year]],SUMIFS($W$4:$W639,$S$4:$S639,eRRSP_Tx_Table[[#This Row],[Year]],$W$4:$W639,"&gt;0"),"")</f>
        <v/>
      </c>
      <c r="Z639" s="10" t="str">
        <f>IF(S640&lt;&gt;eRRSP_Tx_Table[[#This Row],[Year]],SUMIFS($W$4:$W639,$S$4:$S639,eRRSP_Tx_Table[[#This Row],[Year]],$W$4:$W639,"&lt;0"),"")</f>
        <v/>
      </c>
      <c r="AA639" s="3">
        <f>(SUMIF($U$4:$U639,CONCATENATE("Buy",$C639),$N$4:$N639)+SUMIF($U$4:$U639,CONCATENATE("ReinvDiv",$C639),$N$4:$N639))</f>
        <v>0</v>
      </c>
      <c r="AB639" s="3">
        <f>(SUMIF($U$4:$U639,CONCATENATE("Buy",$C639),$F$4:$F639)+SUMIF($U$4:$U639,CONCATENATE("ReinvDiv",$C639),$F$4:$F639)+SUMIF($U$4:$U639,CONCATENATE("StkSplit",$C639),$F$4:$F639)-SUMIF($U$4:$U639,CONCATENATE("Sell",$C639),$F$4:$F639))</f>
        <v>0</v>
      </c>
      <c r="AC639" s="3">
        <f>IF(B639="Sell",F639*INDEX(V:V,LOOKUP(2,1/(X$4:X638=CONCATENATE(C639,"_ACB")),ROW(V$4:V638))),0)</f>
        <v>0</v>
      </c>
    </row>
    <row r="640" spans="1:29" x14ac:dyDescent="0.25">
      <c r="A640" s="20">
        <v>40209</v>
      </c>
      <c r="B640" t="s">
        <v>42</v>
      </c>
      <c r="C640" t="s">
        <v>47</v>
      </c>
      <c r="D640" s="3">
        <v>0.76</v>
      </c>
      <c r="J640">
        <v>42.42</v>
      </c>
      <c r="M640" s="21">
        <f t="shared" si="81"/>
        <v>0.76</v>
      </c>
      <c r="N640" s="8">
        <f t="shared" si="79"/>
        <v>0.76</v>
      </c>
      <c r="O640" s="25">
        <f t="shared" si="85"/>
        <v>93750.069999999949</v>
      </c>
      <c r="P640" s="8">
        <f t="shared" si="82"/>
        <v>0</v>
      </c>
      <c r="Q640" s="4">
        <f>IF(AND(S640&gt;=[1]eRRSP_Rpt!$C$6,S640&lt;=[1]eRRSP_Rpt!$C$7),1,0)</f>
        <v>1</v>
      </c>
      <c r="R640" s="4"/>
      <c r="S640" s="4">
        <f t="shared" si="80"/>
        <v>2010</v>
      </c>
      <c r="T640" s="4"/>
      <c r="U640" s="4" t="str">
        <f t="shared" si="83"/>
        <v>DivBombardier</v>
      </c>
      <c r="V640" s="23">
        <f>IFERROR(IF(AND(AB640&gt;0,B640&lt;&gt;"Sell"),(AA640-SUMIF(C$4:C639,C640,AC$4:AC640))/AB640,0),"")</f>
        <v>-23.216666666666665</v>
      </c>
      <c r="W640" s="24" t="str">
        <f t="shared" si="78"/>
        <v/>
      </c>
      <c r="X640" s="25" t="str">
        <f t="shared" si="77"/>
        <v>Bombardier_ACB</v>
      </c>
      <c r="Y640" s="10" t="str">
        <f>IF(S641&lt;&gt;eRRSP_Tx_Table[[#This Row],[Year]],SUMIFS($W$4:$W640,$S$4:$S640,eRRSP_Tx_Table[[#This Row],[Year]],$W$4:$W640,"&gt;0"),"")</f>
        <v/>
      </c>
      <c r="Z640" s="10" t="str">
        <f>IF(S641&lt;&gt;eRRSP_Tx_Table[[#This Row],[Year]],SUMIFS($W$4:$W640,$S$4:$S640,eRRSP_Tx_Table[[#This Row],[Year]],$W$4:$W640,"&lt;0"),"")</f>
        <v/>
      </c>
      <c r="AA640" s="3">
        <f>(SUMIF($U$4:$U640,CONCATENATE("Buy",$C640),$N$4:$N640)+SUMIF($U$4:$U640,CONCATENATE("ReinvDiv",$C640),$N$4:$N640))</f>
        <v>-696.5</v>
      </c>
      <c r="AB640" s="3">
        <f>(SUMIF($U$4:$U640,CONCATENATE("Buy",$C640),$F$4:$F640)+SUMIF($U$4:$U640,CONCATENATE("ReinvDiv",$C640),$F$4:$F640)+SUMIF($U$4:$U640,CONCATENATE("StkSplit",$C640),$F$4:$F640)-SUMIF($U$4:$U640,CONCATENATE("Sell",$C640),$F$4:$F640))</f>
        <v>30</v>
      </c>
      <c r="AC640" s="3">
        <f>IF(B640="Sell",F640*INDEX(V:V,LOOKUP(2,1/(X$4:X639=CONCATENATE(C640,"_ACB")),ROW(V$4:V639))),0)</f>
        <v>0</v>
      </c>
    </row>
    <row r="641" spans="1:29" x14ac:dyDescent="0.25">
      <c r="A641" s="20">
        <v>40209</v>
      </c>
      <c r="B641" t="s">
        <v>42</v>
      </c>
      <c r="C641" t="s">
        <v>45</v>
      </c>
      <c r="D641" s="3">
        <v>12.2</v>
      </c>
      <c r="J641">
        <v>1.94</v>
      </c>
      <c r="M641" s="21">
        <f t="shared" si="81"/>
        <v>12.2</v>
      </c>
      <c r="N641" s="8">
        <f t="shared" si="79"/>
        <v>12.2</v>
      </c>
      <c r="O641" s="25">
        <f t="shared" si="85"/>
        <v>93762.269999999946</v>
      </c>
      <c r="P641" s="8">
        <f t="shared" si="82"/>
        <v>0</v>
      </c>
      <c r="Q641" s="4">
        <f>IF(AND(S641&gt;=[1]eRRSP_Rpt!$C$6,S641&lt;=[1]eRRSP_Rpt!$C$7),1,0)</f>
        <v>1</v>
      </c>
      <c r="R641" s="4"/>
      <c r="S641" s="4">
        <f t="shared" si="80"/>
        <v>2010</v>
      </c>
      <c r="T641" s="4"/>
      <c r="U641" s="4" t="str">
        <f t="shared" si="83"/>
        <v>DivTD Bank</v>
      </c>
      <c r="V641" s="23">
        <f>IFERROR(IF(AND(AB641&gt;0,B641&lt;&gt;"Sell"),(AA641-SUMIF(C$4:C640,C641,AC$4:AC641))/AB641,0),"")</f>
        <v>-44.29</v>
      </c>
      <c r="W641" s="24" t="str">
        <f t="shared" si="78"/>
        <v/>
      </c>
      <c r="X641" s="25" t="str">
        <f t="shared" si="77"/>
        <v>TD Bank_ACB</v>
      </c>
      <c r="Y641" s="10" t="str">
        <f>IF(S642&lt;&gt;eRRSP_Tx_Table[[#This Row],[Year]],SUMIFS($W$4:$W641,$S$4:$S641,eRRSP_Tx_Table[[#This Row],[Year]],$W$4:$W641,"&gt;0"),"")</f>
        <v/>
      </c>
      <c r="Z641" s="10" t="str">
        <f>IF(S642&lt;&gt;eRRSP_Tx_Table[[#This Row],[Year]],SUMIFS($W$4:$W641,$S$4:$S641,eRRSP_Tx_Table[[#This Row],[Year]],$W$4:$W641,"&lt;0"),"")</f>
        <v/>
      </c>
      <c r="AA641" s="3">
        <f>(SUMIF($U$4:$U641,CONCATENATE("Buy",$C641),$N$4:$N641)+SUMIF($U$4:$U641,CONCATENATE("ReinvDiv",$C641),$N$4:$N641))</f>
        <v>-885.8</v>
      </c>
      <c r="AB641" s="3">
        <f>(SUMIF($U$4:$U641,CONCATENATE("Buy",$C641),$F$4:$F641)+SUMIF($U$4:$U641,CONCATENATE("ReinvDiv",$C641),$F$4:$F641)+SUMIF($U$4:$U641,CONCATENATE("StkSplit",$C641),$F$4:$F641)-SUMIF($U$4:$U641,CONCATENATE("Sell",$C641),$F$4:$F641))</f>
        <v>20</v>
      </c>
      <c r="AC641" s="3">
        <f>IF(B641="Sell",F641*INDEX(V:V,LOOKUP(2,1/(X$4:X640=CONCATENATE(C641,"_ACB")),ROW(V$4:V640))),0)</f>
        <v>0</v>
      </c>
    </row>
    <row r="642" spans="1:29" x14ac:dyDescent="0.25">
      <c r="A642" s="20">
        <v>40221</v>
      </c>
      <c r="B642" t="s">
        <v>42</v>
      </c>
      <c r="C642" t="s">
        <v>87</v>
      </c>
      <c r="D642" s="3">
        <v>42.42</v>
      </c>
      <c r="J642">
        <v>31.02</v>
      </c>
      <c r="M642" s="21">
        <f t="shared" si="81"/>
        <v>42.42</v>
      </c>
      <c r="N642" s="8">
        <f t="shared" si="79"/>
        <v>42.42</v>
      </c>
      <c r="O642" s="25">
        <f t="shared" si="85"/>
        <v>93804.689999999944</v>
      </c>
      <c r="P642" s="8">
        <f t="shared" si="82"/>
        <v>0</v>
      </c>
      <c r="Q642" s="4">
        <f>IF(AND(S642&gt;=[1]eRRSP_Rpt!$C$6,S642&lt;=[1]eRRSP_Rpt!$C$7),1,0)</f>
        <v>1</v>
      </c>
      <c r="R642" s="4"/>
      <c r="S642" s="4">
        <f t="shared" si="80"/>
        <v>2010</v>
      </c>
      <c r="T642" s="4"/>
      <c r="U642" s="4" t="str">
        <f t="shared" si="83"/>
        <v>DivAberdeen Asia Pacific Income Fund</v>
      </c>
      <c r="V642" s="23">
        <f>IFERROR(IF(AND(AB642&gt;0,B642&lt;&gt;"Sell"),(AA642-SUMIF(C$4:C641,C642,AC$4:AC642))/AB642,0),"")</f>
        <v>-7.4694020797227028</v>
      </c>
      <c r="W642" s="24" t="str">
        <f t="shared" si="78"/>
        <v/>
      </c>
      <c r="X642" s="25" t="str">
        <f t="shared" si="77"/>
        <v>Aberdeen Asia Pacific Income Fund_ACB</v>
      </c>
      <c r="Y642" s="10" t="str">
        <f>IF(S643&lt;&gt;eRRSP_Tx_Table[[#This Row],[Year]],SUMIFS($W$4:$W642,$S$4:$S642,eRRSP_Tx_Table[[#This Row],[Year]],$W$4:$W642,"&gt;0"),"")</f>
        <v/>
      </c>
      <c r="Z642" s="10" t="str">
        <f>IF(S643&lt;&gt;eRRSP_Tx_Table[[#This Row],[Year]],SUMIFS($W$4:$W642,$S$4:$S642,eRRSP_Tx_Table[[#This Row],[Year]],$W$4:$W642,"&lt;0"),"")</f>
        <v/>
      </c>
      <c r="AA642" s="3">
        <f>(SUMIF($U$4:$U642,CONCATENATE("Buy",$C642),$N$4:$N642)+SUMIF($U$4:$U642,CONCATENATE("ReinvDiv",$C642),$N$4:$N642))</f>
        <v>-8619.6899999999987</v>
      </c>
      <c r="AB642" s="3">
        <f>(SUMIF($U$4:$U642,CONCATENATE("Buy",$C642),$F$4:$F642)+SUMIF($U$4:$U642,CONCATENATE("ReinvDiv",$C642),$F$4:$F642)+SUMIF($U$4:$U642,CONCATENATE("StkSplit",$C642),$F$4:$F642)-SUMIF($U$4:$U642,CONCATENATE("Sell",$C642),$F$4:$F642))</f>
        <v>1154</v>
      </c>
      <c r="AC642" s="3">
        <f>IF(B642="Sell",F642*INDEX(V:V,LOOKUP(2,1/(X$4:X641=CONCATENATE(C642,"_ACB")),ROW(V$4:V641))),0)</f>
        <v>0</v>
      </c>
    </row>
    <row r="643" spans="1:29" x14ac:dyDescent="0.25">
      <c r="A643" s="20">
        <v>40221</v>
      </c>
      <c r="B643" t="s">
        <v>42</v>
      </c>
      <c r="C643" t="s">
        <v>87</v>
      </c>
      <c r="D643" s="3">
        <v>0.03</v>
      </c>
      <c r="J643" t="s">
        <v>93</v>
      </c>
      <c r="M643" s="21">
        <f t="shared" si="81"/>
        <v>0.03</v>
      </c>
      <c r="N643" s="8">
        <f t="shared" si="79"/>
        <v>0.03</v>
      </c>
      <c r="O643" s="25">
        <f t="shared" si="85"/>
        <v>93804.719999999943</v>
      </c>
      <c r="P643" s="8">
        <f t="shared" si="82"/>
        <v>0</v>
      </c>
      <c r="Q643" s="4">
        <f>IF(AND(S643&gt;=[1]eRRSP_Rpt!$C$6,S643&lt;=[1]eRRSP_Rpt!$C$7),1,0)</f>
        <v>1</v>
      </c>
      <c r="R643" s="4"/>
      <c r="S643" s="4">
        <f t="shared" si="80"/>
        <v>2010</v>
      </c>
      <c r="T643" s="4"/>
      <c r="U643" s="4" t="str">
        <f t="shared" si="83"/>
        <v>DivAberdeen Asia Pacific Income Fund</v>
      </c>
      <c r="V643" s="23">
        <f>IFERROR(IF(AND(AB643&gt;0,B643&lt;&gt;"Sell"),(AA643-SUMIF(C$4:C642,C643,AC$4:AC643))/AB643,0),"")</f>
        <v>-7.4694020797227028</v>
      </c>
      <c r="W643" s="24" t="str">
        <f t="shared" si="78"/>
        <v/>
      </c>
      <c r="X643" s="25" t="str">
        <f t="shared" si="77"/>
        <v>Aberdeen Asia Pacific Income Fund_ACB</v>
      </c>
      <c r="Y643" s="10" t="str">
        <f>IF(S644&lt;&gt;eRRSP_Tx_Table[[#This Row],[Year]],SUMIFS($W$4:$W643,$S$4:$S643,eRRSP_Tx_Table[[#This Row],[Year]],$W$4:$W643,"&gt;0"),"")</f>
        <v/>
      </c>
      <c r="Z643" s="10" t="str">
        <f>IF(S644&lt;&gt;eRRSP_Tx_Table[[#This Row],[Year]],SUMIFS($W$4:$W643,$S$4:$S643,eRRSP_Tx_Table[[#This Row],[Year]],$W$4:$W643,"&lt;0"),"")</f>
        <v/>
      </c>
      <c r="AA643" s="3">
        <f>(SUMIF($U$4:$U643,CONCATENATE("Buy",$C643),$N$4:$N643)+SUMIF($U$4:$U643,CONCATENATE("ReinvDiv",$C643),$N$4:$N643))</f>
        <v>-8619.6899999999987</v>
      </c>
      <c r="AB643" s="3">
        <f>(SUMIF($U$4:$U643,CONCATENATE("Buy",$C643),$F$4:$F643)+SUMIF($U$4:$U643,CONCATENATE("ReinvDiv",$C643),$F$4:$F643)+SUMIF($U$4:$U643,CONCATENATE("StkSplit",$C643),$F$4:$F643)-SUMIF($U$4:$U643,CONCATENATE("Sell",$C643),$F$4:$F643))</f>
        <v>1154</v>
      </c>
      <c r="AC643" s="3">
        <f>IF(B643="Sell",F643*INDEX(V:V,LOOKUP(2,1/(X$4:X642=CONCATENATE(C643,"_ACB")),ROW(V$4:V642))),0)</f>
        <v>0</v>
      </c>
    </row>
    <row r="644" spans="1:29" x14ac:dyDescent="0.25">
      <c r="A644" s="20">
        <v>40225</v>
      </c>
      <c r="B644" t="s">
        <v>43</v>
      </c>
      <c r="C644" t="s">
        <v>36</v>
      </c>
      <c r="D644" s="3">
        <v>1.94</v>
      </c>
      <c r="J644">
        <v>41.31</v>
      </c>
      <c r="M644" s="21">
        <f t="shared" si="81"/>
        <v>1.94</v>
      </c>
      <c r="N644" s="8">
        <f t="shared" si="79"/>
        <v>1.94</v>
      </c>
      <c r="O644" s="25">
        <f t="shared" si="85"/>
        <v>93806.659999999945</v>
      </c>
      <c r="P644" s="8">
        <f t="shared" si="82"/>
        <v>0</v>
      </c>
      <c r="Q644" s="4">
        <f>IF(AND(S644&gt;=[1]eRRSP_Rpt!$C$6,S644&lt;=[1]eRRSP_Rpt!$C$7),1,0)</f>
        <v>1</v>
      </c>
      <c r="R644" s="4"/>
      <c r="S644" s="4">
        <f t="shared" si="80"/>
        <v>2010</v>
      </c>
      <c r="T644" s="4"/>
      <c r="U644" s="4" t="str">
        <f t="shared" si="83"/>
        <v>IntIncTDW</v>
      </c>
      <c r="V644" s="23">
        <f>IFERROR(IF(AND(AB644&gt;0,B644&lt;&gt;"Sell"),(AA644-SUMIF(C$4:C643,C644,AC$4:AC644))/AB644,0),"")</f>
        <v>0</v>
      </c>
      <c r="W644" s="24" t="str">
        <f t="shared" si="78"/>
        <v/>
      </c>
      <c r="X644" s="25" t="str">
        <f t="shared" ref="X644:X707" si="86">IF(V644,CONCATENATE(C644,"_ACB"),"")</f>
        <v/>
      </c>
      <c r="Y644" s="10" t="str">
        <f>IF(S645&lt;&gt;eRRSP_Tx_Table[[#This Row],[Year]],SUMIFS($W$4:$W644,$S$4:$S644,eRRSP_Tx_Table[[#This Row],[Year]],$W$4:$W644,"&gt;0"),"")</f>
        <v/>
      </c>
      <c r="Z644" s="10" t="str">
        <f>IF(S645&lt;&gt;eRRSP_Tx_Table[[#This Row],[Year]],SUMIFS($W$4:$W644,$S$4:$S644,eRRSP_Tx_Table[[#This Row],[Year]],$W$4:$W644,"&lt;0"),"")</f>
        <v/>
      </c>
      <c r="AA644" s="3">
        <f>(SUMIF($U$4:$U644,CONCATENATE("Buy",$C644),$N$4:$N644)+SUMIF($U$4:$U644,CONCATENATE("ReinvDiv",$C644),$N$4:$N644))</f>
        <v>0</v>
      </c>
      <c r="AB644" s="3">
        <f>(SUMIF($U$4:$U644,CONCATENATE("Buy",$C644),$F$4:$F644)+SUMIF($U$4:$U644,CONCATENATE("ReinvDiv",$C644),$F$4:$F644)+SUMIF($U$4:$U644,CONCATENATE("StkSplit",$C644),$F$4:$F644)-SUMIF($U$4:$U644,CONCATENATE("Sell",$C644),$F$4:$F644))</f>
        <v>0</v>
      </c>
      <c r="AC644" s="3">
        <f>IF(B644="Sell",F644*INDEX(V:V,LOOKUP(2,1/(X$4:X643=CONCATENATE(C644,"_ACB")),ROW(V$4:V643))),0)</f>
        <v>0</v>
      </c>
    </row>
    <row r="645" spans="1:29" x14ac:dyDescent="0.25">
      <c r="A645" s="20">
        <v>40238</v>
      </c>
      <c r="B645" t="s">
        <v>42</v>
      </c>
      <c r="C645" t="s">
        <v>33</v>
      </c>
      <c r="D645" s="3">
        <v>31.02</v>
      </c>
      <c r="J645">
        <v>1.79</v>
      </c>
      <c r="M645" s="21">
        <f t="shared" si="81"/>
        <v>31.02</v>
      </c>
      <c r="N645" s="8">
        <f t="shared" si="79"/>
        <v>31.02</v>
      </c>
      <c r="O645" s="25">
        <f t="shared" si="85"/>
        <v>93837.679999999949</v>
      </c>
      <c r="P645" s="8">
        <f t="shared" si="82"/>
        <v>0</v>
      </c>
      <c r="Q645" s="4">
        <f>IF(AND(S645&gt;=[1]eRRSP_Rpt!$C$6,S645&lt;=[1]eRRSP_Rpt!$C$7),1,0)</f>
        <v>1</v>
      </c>
      <c r="R645" s="4"/>
      <c r="S645" s="4">
        <f t="shared" si="80"/>
        <v>2010</v>
      </c>
      <c r="T645" s="4"/>
      <c r="U645" s="4" t="str">
        <f t="shared" si="83"/>
        <v>DivEnbridge</v>
      </c>
      <c r="V645" s="23">
        <f>IFERROR(IF(AND(AB645&gt;0,B645&lt;&gt;"Sell"),(AA645-SUMIF(C$4:C644,C645,AC$4:AC645))/AB645,0),"")</f>
        <v>-12.859027777777776</v>
      </c>
      <c r="W645" s="24" t="str">
        <f t="shared" ref="W645:W708" si="87">IF(B645="Sell",N645+AC645,"")</f>
        <v/>
      </c>
      <c r="X645" s="25" t="str">
        <f t="shared" si="86"/>
        <v>Enbridge_ACB</v>
      </c>
      <c r="Y645" s="10" t="str">
        <f>IF(S646&lt;&gt;eRRSP_Tx_Table[[#This Row],[Year]],SUMIFS($W$4:$W645,$S$4:$S645,eRRSP_Tx_Table[[#This Row],[Year]],$W$4:$W645,"&gt;0"),"")</f>
        <v/>
      </c>
      <c r="Z645" s="10" t="str">
        <f>IF(S646&lt;&gt;eRRSP_Tx_Table[[#This Row],[Year]],SUMIFS($W$4:$W645,$S$4:$S645,eRRSP_Tx_Table[[#This Row],[Year]],$W$4:$W645,"&lt;0"),"")</f>
        <v/>
      </c>
      <c r="AA645" s="3">
        <f>(SUMIF($U$4:$U645,CONCATENATE("Buy",$C645),$N$4:$N645)+SUMIF($U$4:$U645,CONCATENATE("ReinvDiv",$C645),$N$4:$N645))</f>
        <v>-1851.7</v>
      </c>
      <c r="AB645" s="3">
        <f>(SUMIF($U$4:$U645,CONCATENATE("Buy",$C645),$F$4:$F645)+SUMIF($U$4:$U645,CONCATENATE("ReinvDiv",$C645),$F$4:$F645)+SUMIF($U$4:$U645,CONCATENATE("StkSplit",$C645),$F$4:$F645)-SUMIF($U$4:$U645,CONCATENATE("Sell",$C645),$F$4:$F645))</f>
        <v>73</v>
      </c>
      <c r="AC645" s="3">
        <f>IF(B645="Sell",F645*INDEX(V:V,LOOKUP(2,1/(X$4:X644=CONCATENATE(C645,"_ACB")),ROW(V$4:V644))),0)</f>
        <v>0</v>
      </c>
    </row>
    <row r="646" spans="1:29" x14ac:dyDescent="0.25">
      <c r="A646" s="20">
        <v>40249</v>
      </c>
      <c r="B646" t="s">
        <v>42</v>
      </c>
      <c r="C646" t="s">
        <v>87</v>
      </c>
      <c r="D646" s="3">
        <v>41.31</v>
      </c>
      <c r="M646" s="21">
        <f t="shared" si="81"/>
        <v>41.31</v>
      </c>
      <c r="N646" s="8">
        <f t="shared" si="79"/>
        <v>41.31</v>
      </c>
      <c r="O646" s="25">
        <f t="shared" si="85"/>
        <v>93878.989999999947</v>
      </c>
      <c r="P646" s="8">
        <f t="shared" si="82"/>
        <v>0</v>
      </c>
      <c r="Q646" s="4">
        <f>IF(AND(S646&gt;=[1]eRRSP_Rpt!$C$6,S646&lt;=[1]eRRSP_Rpt!$C$7),1,0)</f>
        <v>1</v>
      </c>
      <c r="R646" s="4"/>
      <c r="S646" s="4">
        <f t="shared" si="80"/>
        <v>2010</v>
      </c>
      <c r="T646" s="4"/>
      <c r="U646" s="4" t="str">
        <f t="shared" si="83"/>
        <v>DivAberdeen Asia Pacific Income Fund</v>
      </c>
      <c r="V646" s="23">
        <f>IFERROR(IF(AND(AB646&gt;0,B646&lt;&gt;"Sell"),(AA646-SUMIF(C$4:C645,C646,AC$4:AC646))/AB646,0),"")</f>
        <v>-7.4694020797227028</v>
      </c>
      <c r="W646" s="24" t="str">
        <f t="shared" si="87"/>
        <v/>
      </c>
      <c r="X646" s="25" t="str">
        <f t="shared" si="86"/>
        <v>Aberdeen Asia Pacific Income Fund_ACB</v>
      </c>
      <c r="Y646" s="10" t="str">
        <f>IF(S647&lt;&gt;eRRSP_Tx_Table[[#This Row],[Year]],SUMIFS($W$4:$W646,$S$4:$S646,eRRSP_Tx_Table[[#This Row],[Year]],$W$4:$W646,"&gt;0"),"")</f>
        <v/>
      </c>
      <c r="Z646" s="10" t="str">
        <f>IF(S647&lt;&gt;eRRSP_Tx_Table[[#This Row],[Year]],SUMIFS($W$4:$W646,$S$4:$S646,eRRSP_Tx_Table[[#This Row],[Year]],$W$4:$W646,"&lt;0"),"")</f>
        <v/>
      </c>
      <c r="AA646" s="3">
        <f>(SUMIF($U$4:$U646,CONCATENATE("Buy",$C646),$N$4:$N646)+SUMIF($U$4:$U646,CONCATENATE("ReinvDiv",$C646),$N$4:$N646))</f>
        <v>-8619.6899999999987</v>
      </c>
      <c r="AB646" s="3">
        <f>(SUMIF($U$4:$U646,CONCATENATE("Buy",$C646),$F$4:$F646)+SUMIF($U$4:$U646,CONCATENATE("ReinvDiv",$C646),$F$4:$F646)+SUMIF($U$4:$U646,CONCATENATE("StkSplit",$C646),$F$4:$F646)-SUMIF($U$4:$U646,CONCATENATE("Sell",$C646),$F$4:$F646))</f>
        <v>1154</v>
      </c>
      <c r="AC646" s="3">
        <f>IF(B646="Sell",F646*INDEX(V:V,LOOKUP(2,1/(X$4:X645=CONCATENATE(C646,"_ACB")),ROW(V$4:V645))),0)</f>
        <v>0</v>
      </c>
    </row>
    <row r="647" spans="1:29" x14ac:dyDescent="0.25">
      <c r="A647" s="20">
        <v>40253</v>
      </c>
      <c r="B647" t="s">
        <v>43</v>
      </c>
      <c r="C647" t="s">
        <v>36</v>
      </c>
      <c r="D647" s="3">
        <v>1.79</v>
      </c>
      <c r="J647">
        <v>-14485.66</v>
      </c>
      <c r="M647" s="21">
        <f t="shared" si="81"/>
        <v>1.79</v>
      </c>
      <c r="N647" s="8">
        <f t="shared" si="79"/>
        <v>1.79</v>
      </c>
      <c r="O647" s="25">
        <f t="shared" si="85"/>
        <v>93880.779999999941</v>
      </c>
      <c r="P647" s="8">
        <f t="shared" si="82"/>
        <v>0</v>
      </c>
      <c r="Q647" s="4">
        <f>IF(AND(S647&gt;=[1]eRRSP_Rpt!$C$6,S647&lt;=[1]eRRSP_Rpt!$C$7),1,0)</f>
        <v>1</v>
      </c>
      <c r="R647" s="4"/>
      <c r="S647" s="4">
        <f t="shared" si="80"/>
        <v>2010</v>
      </c>
      <c r="T647" s="4"/>
      <c r="U647" s="4" t="str">
        <f t="shared" si="83"/>
        <v>IntIncTDW</v>
      </c>
      <c r="V647" s="23">
        <f>IFERROR(IF(AND(AB647&gt;0,B647&lt;&gt;"Sell"),(AA647-SUMIF(C$4:C646,C647,AC$4:AC647))/AB647,0),"")</f>
        <v>0</v>
      </c>
      <c r="W647" s="24" t="str">
        <f t="shared" si="87"/>
        <v/>
      </c>
      <c r="X647" s="25" t="str">
        <f t="shared" si="86"/>
        <v/>
      </c>
      <c r="Y647" s="10" t="str">
        <f>IF(S648&lt;&gt;eRRSP_Tx_Table[[#This Row],[Year]],SUMIFS($W$4:$W647,$S$4:$S647,eRRSP_Tx_Table[[#This Row],[Year]],$W$4:$W647,"&gt;0"),"")</f>
        <v/>
      </c>
      <c r="Z647" s="10" t="str">
        <f>IF(S648&lt;&gt;eRRSP_Tx_Table[[#This Row],[Year]],SUMIFS($W$4:$W647,$S$4:$S647,eRRSP_Tx_Table[[#This Row],[Year]],$W$4:$W647,"&lt;0"),"")</f>
        <v/>
      </c>
      <c r="AA647" s="3">
        <f>(SUMIF($U$4:$U647,CONCATENATE("Buy",$C647),$N$4:$N647)+SUMIF($U$4:$U647,CONCATENATE("ReinvDiv",$C647),$N$4:$N647))</f>
        <v>0</v>
      </c>
      <c r="AB647" s="3">
        <f>(SUMIF($U$4:$U647,CONCATENATE("Buy",$C647),$F$4:$F647)+SUMIF($U$4:$U647,CONCATENATE("ReinvDiv",$C647),$F$4:$F647)+SUMIF($U$4:$U647,CONCATENATE("StkSplit",$C647),$F$4:$F647)-SUMIF($U$4:$U647,CONCATENATE("Sell",$C647),$F$4:$F647))</f>
        <v>0</v>
      </c>
      <c r="AC647" s="3">
        <f>IF(B647="Sell",F647*INDEX(V:V,LOOKUP(2,1/(X$4:X646=CONCATENATE(C647,"_ACB")),ROW(V$4:V646))),0)</f>
        <v>0</v>
      </c>
    </row>
    <row r="648" spans="1:29" x14ac:dyDescent="0.25">
      <c r="A648" s="20">
        <v>40256</v>
      </c>
      <c r="B648" t="s">
        <v>32</v>
      </c>
      <c r="C648" t="s">
        <v>94</v>
      </c>
      <c r="D648" s="3">
        <v>14485.66</v>
      </c>
      <c r="E648">
        <v>1.0346900000000001</v>
      </c>
      <c r="F648" s="3">
        <v>14000</v>
      </c>
      <c r="J648">
        <v>15.41</v>
      </c>
      <c r="M648" s="21">
        <f t="shared" si="81"/>
        <v>14485.66</v>
      </c>
      <c r="N648" s="8">
        <f t="shared" si="79"/>
        <v>-14485.66</v>
      </c>
      <c r="O648" s="25">
        <f t="shared" si="85"/>
        <v>79395.119999999937</v>
      </c>
      <c r="P648" s="8">
        <f t="shared" si="82"/>
        <v>0</v>
      </c>
      <c r="Q648" s="4">
        <f>IF(AND(S648&gt;=[1]eRRSP_Rpt!$C$6,S648&lt;=[1]eRRSP_Rpt!$C$7),1,0)</f>
        <v>1</v>
      </c>
      <c r="R648" s="4"/>
      <c r="S648" s="4">
        <f t="shared" si="80"/>
        <v>2010</v>
      </c>
      <c r="T648" s="4"/>
      <c r="U648" s="4" t="str">
        <f t="shared" si="83"/>
        <v>BuyAIMIA SER-3  6.95% 26JA17</v>
      </c>
      <c r="V648" s="23">
        <f>IFERROR(IF(AND(AB648&gt;0,B648&lt;&gt;"Sell"),(AA648-SUMIF(C$4:C647,C648,AC$4:AC648))/AB648,0),"")</f>
        <v>-1.0346899999999999</v>
      </c>
      <c r="W648" s="24" t="str">
        <f t="shared" si="87"/>
        <v/>
      </c>
      <c r="X648" s="25" t="str">
        <f t="shared" si="86"/>
        <v>AIMIA SER-3  6.95% 26JA17_ACB</v>
      </c>
      <c r="Y648" s="10" t="str">
        <f>IF(S649&lt;&gt;eRRSP_Tx_Table[[#This Row],[Year]],SUMIFS($W$4:$W648,$S$4:$S648,eRRSP_Tx_Table[[#This Row],[Year]],$W$4:$W648,"&gt;0"),"")</f>
        <v/>
      </c>
      <c r="Z648" s="10" t="str">
        <f>IF(S649&lt;&gt;eRRSP_Tx_Table[[#This Row],[Year]],SUMIFS($W$4:$W648,$S$4:$S648,eRRSP_Tx_Table[[#This Row],[Year]],$W$4:$W648,"&lt;0"),"")</f>
        <v/>
      </c>
      <c r="AA648" s="3">
        <f>(SUMIF($U$4:$U648,CONCATENATE("Buy",$C648),$N$4:$N648)+SUMIF($U$4:$U648,CONCATENATE("ReinvDiv",$C648),$N$4:$N648))</f>
        <v>-14485.66</v>
      </c>
      <c r="AB648" s="3">
        <f>(SUMIF($U$4:$U648,CONCATENATE("Buy",$C648),$F$4:$F648)+SUMIF($U$4:$U648,CONCATENATE("ReinvDiv",$C648),$F$4:$F648)+SUMIF($U$4:$U648,CONCATENATE("StkSplit",$C648),$F$4:$F648)-SUMIF($U$4:$U648,CONCATENATE("Sell",$C648),$F$4:$F648))</f>
        <v>14000</v>
      </c>
      <c r="AC648" s="3">
        <f>IF(B648="Sell",F648*INDEX(V:V,LOOKUP(2,1/(X$4:X647=CONCATENATE(C648,"_ACB")),ROW(V$4:V647))),0)</f>
        <v>0</v>
      </c>
    </row>
    <row r="649" spans="1:29" x14ac:dyDescent="0.25">
      <c r="A649" s="20">
        <v>40256</v>
      </c>
      <c r="B649" t="s">
        <v>43</v>
      </c>
      <c r="C649" t="s">
        <v>94</v>
      </c>
      <c r="D649" s="3">
        <v>-138.62</v>
      </c>
      <c r="J649" t="s">
        <v>95</v>
      </c>
      <c r="M649" s="21">
        <f t="shared" si="81"/>
        <v>-138.62</v>
      </c>
      <c r="N649" s="8">
        <f t="shared" si="79"/>
        <v>-138.62</v>
      </c>
      <c r="O649" s="25">
        <f t="shared" si="85"/>
        <v>79256.499999999942</v>
      </c>
      <c r="P649" s="8">
        <f t="shared" si="82"/>
        <v>0</v>
      </c>
      <c r="Q649" s="4">
        <f>IF(AND(S649&gt;=[1]eRRSP_Rpt!$C$6,S649&lt;=[1]eRRSP_Rpt!$C$7),1,0)</f>
        <v>1</v>
      </c>
      <c r="R649" s="4"/>
      <c r="S649" s="4">
        <f t="shared" si="80"/>
        <v>2010</v>
      </c>
      <c r="T649" s="4"/>
      <c r="U649" s="4" t="str">
        <f t="shared" si="83"/>
        <v>IntIncAIMIA SER-3  6.95% 26JA17</v>
      </c>
      <c r="V649" s="23">
        <f>IFERROR(IF(AND(AB649&gt;0,B649&lt;&gt;"Sell"),(AA649-SUMIF(C$4:C648,C649,AC$4:AC649))/AB649,0),"")</f>
        <v>-1.0346899999999999</v>
      </c>
      <c r="W649" s="24" t="str">
        <f t="shared" si="87"/>
        <v/>
      </c>
      <c r="X649" s="25" t="str">
        <f t="shared" si="86"/>
        <v>AIMIA SER-3  6.95% 26JA17_ACB</v>
      </c>
      <c r="Y649" s="10" t="str">
        <f>IF(S650&lt;&gt;eRRSP_Tx_Table[[#This Row],[Year]],SUMIFS($W$4:$W649,$S$4:$S649,eRRSP_Tx_Table[[#This Row],[Year]],$W$4:$W649,"&gt;0"),"")</f>
        <v/>
      </c>
      <c r="Z649" s="10" t="str">
        <f>IF(S650&lt;&gt;eRRSP_Tx_Table[[#This Row],[Year]],SUMIFS($W$4:$W649,$S$4:$S649,eRRSP_Tx_Table[[#This Row],[Year]],$W$4:$W649,"&lt;0"),"")</f>
        <v/>
      </c>
      <c r="AA649" s="3">
        <f>(SUMIF($U$4:$U649,CONCATENATE("Buy",$C649),$N$4:$N649)+SUMIF($U$4:$U649,CONCATENATE("ReinvDiv",$C649),$N$4:$N649))</f>
        <v>-14485.66</v>
      </c>
      <c r="AB649" s="3">
        <f>(SUMIF($U$4:$U649,CONCATENATE("Buy",$C649),$F$4:$F649)+SUMIF($U$4:$U649,CONCATENATE("ReinvDiv",$C649),$F$4:$F649)+SUMIF($U$4:$U649,CONCATENATE("StkSplit",$C649),$F$4:$F649)-SUMIF($U$4:$U649,CONCATENATE("Sell",$C649),$F$4:$F649))</f>
        <v>14000</v>
      </c>
      <c r="AC649" s="3">
        <f>IF(B649="Sell",F649*INDEX(V:V,LOOKUP(2,1/(X$4:X648=CONCATENATE(C649,"_ACB")),ROW(V$4:V648))),0)</f>
        <v>0</v>
      </c>
    </row>
    <row r="650" spans="1:29" x14ac:dyDescent="0.25">
      <c r="A650" s="20">
        <v>40267</v>
      </c>
      <c r="B650" t="s">
        <v>41</v>
      </c>
      <c r="C650" t="s">
        <v>62</v>
      </c>
      <c r="D650" s="3">
        <v>43.81</v>
      </c>
      <c r="E650">
        <v>15.5025</v>
      </c>
      <c r="F650" s="3">
        <v>2.8260000000000001</v>
      </c>
      <c r="J650">
        <v>1.71</v>
      </c>
      <c r="M650" s="21">
        <f t="shared" si="81"/>
        <v>43.81</v>
      </c>
      <c r="N650" s="8">
        <f t="shared" ref="N650:N713" si="88">IF(OR(B650="Buy",B650="ReinvDiv"),-M650-G650,M650-G650)</f>
        <v>-43.81</v>
      </c>
      <c r="O650" s="25">
        <f t="shared" si="85"/>
        <v>79256.499999999942</v>
      </c>
      <c r="P650" s="8">
        <f t="shared" si="82"/>
        <v>0</v>
      </c>
      <c r="Q650" s="4">
        <f>IF(AND(S650&gt;=[1]eRRSP_Rpt!$C$6,S650&lt;=[1]eRRSP_Rpt!$C$7),1,0)</f>
        <v>1</v>
      </c>
      <c r="R650" s="4"/>
      <c r="S650" s="4">
        <f t="shared" si="80"/>
        <v>2010</v>
      </c>
      <c r="T650" s="4"/>
      <c r="U650" s="4" t="str">
        <f t="shared" si="83"/>
        <v>ReinvDivTD RR Bond</v>
      </c>
      <c r="V650" s="23">
        <f>IFERROR(IF(AND(AB650&gt;0,B650&lt;&gt;"Sell"),(AA650-SUMIF(C$4:C649,C650,AC$4:AC650))/AB650,0),"")</f>
        <v>-14.243616033039311</v>
      </c>
      <c r="W650" s="24" t="str">
        <f t="shared" si="87"/>
        <v/>
      </c>
      <c r="X650" s="25" t="str">
        <f t="shared" si="86"/>
        <v>TD RR Bond_ACB</v>
      </c>
      <c r="Y650" s="10" t="str">
        <f>IF(S651&lt;&gt;eRRSP_Tx_Table[[#This Row],[Year]],SUMIFS($W$4:$W650,$S$4:$S650,eRRSP_Tx_Table[[#This Row],[Year]],$W$4:$W650,"&gt;0"),"")</f>
        <v/>
      </c>
      <c r="Z650" s="10" t="str">
        <f>IF(S651&lt;&gt;eRRSP_Tx_Table[[#This Row],[Year]],SUMIFS($W$4:$W650,$S$4:$S650,eRRSP_Tx_Table[[#This Row],[Year]],$W$4:$W650,"&lt;0"),"")</f>
        <v/>
      </c>
      <c r="AA650" s="3">
        <f>(SUMIF($U$4:$U650,CONCATENATE("Buy",$C650),$N$4:$N650)+SUMIF($U$4:$U650,CONCATENATE("ReinvDiv",$C650),$N$4:$N650))</f>
        <v>-9905.2099999999991</v>
      </c>
      <c r="AB650" s="3">
        <f>(SUMIF($U$4:$U650,CONCATENATE("Buy",$C650),$F$4:$F650)+SUMIF($U$4:$U650,CONCATENATE("ReinvDiv",$C650),$F$4:$F650)+SUMIF($U$4:$U650,CONCATENATE("StkSplit",$C650),$F$4:$F650)-SUMIF($U$4:$U650,CONCATENATE("Sell",$C650),$F$4:$F650))</f>
        <v>695.41399999999999</v>
      </c>
      <c r="AC650" s="3">
        <f>IF(B650="Sell",F650*INDEX(V:V,LOOKUP(2,1/(X$4:X649=CONCATENATE(C650,"_ACB")),ROW(V$4:V649))),0)</f>
        <v>0</v>
      </c>
    </row>
    <row r="651" spans="1:29" x14ac:dyDescent="0.25">
      <c r="A651" s="20">
        <v>40268</v>
      </c>
      <c r="B651" t="s">
        <v>42</v>
      </c>
      <c r="C651" t="s">
        <v>90</v>
      </c>
      <c r="D651" s="3">
        <v>15.41</v>
      </c>
      <c r="J651">
        <v>40.53</v>
      </c>
      <c r="M651" s="21">
        <f t="shared" si="81"/>
        <v>15.41</v>
      </c>
      <c r="N651" s="8">
        <f t="shared" si="88"/>
        <v>15.41</v>
      </c>
      <c r="O651" s="25">
        <f t="shared" si="85"/>
        <v>79271.909999999945</v>
      </c>
      <c r="P651" s="8">
        <f t="shared" si="82"/>
        <v>0</v>
      </c>
      <c r="Q651" s="4">
        <f>IF(AND(S651&gt;=[1]eRRSP_Rpt!$C$6,S651&lt;=[1]eRRSP_Rpt!$C$7),1,0)</f>
        <v>1</v>
      </c>
      <c r="R651" s="4"/>
      <c r="S651" s="4">
        <f t="shared" si="80"/>
        <v>2010</v>
      </c>
      <c r="T651" s="4"/>
      <c r="U651" s="4" t="str">
        <f t="shared" si="83"/>
        <v>DivVanguard Large Cap ETF</v>
      </c>
      <c r="V651" s="23">
        <f>IFERROR(IF(AND(AB651&gt;0,B651&lt;&gt;"Sell"),(AA651-SUMIF(C$4:C650,C651,AC$4:AC651))/AB651,0),"")</f>
        <v>-74.401142857142858</v>
      </c>
      <c r="W651" s="24" t="str">
        <f t="shared" si="87"/>
        <v/>
      </c>
      <c r="X651" s="25" t="str">
        <f t="shared" si="86"/>
        <v>Vanguard Large Cap ETF_ACB</v>
      </c>
      <c r="Y651" s="10" t="str">
        <f>IF(S652&lt;&gt;eRRSP_Tx_Table[[#This Row],[Year]],SUMIFS($W$4:$W651,$S$4:$S651,eRRSP_Tx_Table[[#This Row],[Year]],$W$4:$W651,"&gt;0"),"")</f>
        <v/>
      </c>
      <c r="Z651" s="10" t="str">
        <f>IF(S652&lt;&gt;eRRSP_Tx_Table[[#This Row],[Year]],SUMIFS($W$4:$W651,$S$4:$S651,eRRSP_Tx_Table[[#This Row],[Year]],$W$4:$W651,"&lt;0"),"")</f>
        <v/>
      </c>
      <c r="AA651" s="3">
        <f>(SUMIF($U$4:$U651,CONCATENATE("Buy",$C651),$N$4:$N651)+SUMIF($U$4:$U651,CONCATENATE("ReinvDiv",$C651),$N$4:$N651))</f>
        <v>-5208.08</v>
      </c>
      <c r="AB651" s="3">
        <f>(SUMIF($U$4:$U651,CONCATENATE("Buy",$C651),$F$4:$F651)+SUMIF($U$4:$U651,CONCATENATE("ReinvDiv",$C651),$F$4:$F651)+SUMIF($U$4:$U651,CONCATENATE("StkSplit",$C651),$F$4:$F651)-SUMIF($U$4:$U651,CONCATENATE("Sell",$C651),$F$4:$F651))</f>
        <v>70</v>
      </c>
      <c r="AC651" s="3">
        <f>IF(B651="Sell",F651*INDEX(V:V,LOOKUP(2,1/(X$4:X650=CONCATENATE(C651,"_ACB")),ROW(V$4:V650))),0)</f>
        <v>0</v>
      </c>
    </row>
    <row r="652" spans="1:29" x14ac:dyDescent="0.25">
      <c r="A652" s="20">
        <v>40284</v>
      </c>
      <c r="B652" t="s">
        <v>43</v>
      </c>
      <c r="C652" t="s">
        <v>36</v>
      </c>
      <c r="D652" s="3">
        <v>1.71</v>
      </c>
      <c r="J652">
        <v>12.2</v>
      </c>
      <c r="M652" s="21">
        <f t="shared" si="81"/>
        <v>1.71</v>
      </c>
      <c r="N652" s="8">
        <f t="shared" si="88"/>
        <v>1.71</v>
      </c>
      <c r="O652" s="25">
        <f t="shared" si="85"/>
        <v>79273.619999999952</v>
      </c>
      <c r="P652" s="8">
        <f t="shared" si="82"/>
        <v>0</v>
      </c>
      <c r="Q652" s="4">
        <f>IF(AND(S652&gt;=[1]eRRSP_Rpt!$C$6,S652&lt;=[1]eRRSP_Rpt!$C$7),1,0)</f>
        <v>1</v>
      </c>
      <c r="R652" s="4"/>
      <c r="S652" s="4">
        <f t="shared" si="80"/>
        <v>2010</v>
      </c>
      <c r="T652" s="4"/>
      <c r="U652" s="4" t="str">
        <f t="shared" si="83"/>
        <v>IntIncTDW</v>
      </c>
      <c r="V652" s="23">
        <f>IFERROR(IF(AND(AB652&gt;0,B652&lt;&gt;"Sell"),(AA652-SUMIF(C$4:C651,C652,AC$4:AC652))/AB652,0),"")</f>
        <v>0</v>
      </c>
      <c r="W652" s="24" t="str">
        <f t="shared" si="87"/>
        <v/>
      </c>
      <c r="X652" s="25" t="str">
        <f t="shared" si="86"/>
        <v/>
      </c>
      <c r="Y652" s="10" t="str">
        <f>IF(S653&lt;&gt;eRRSP_Tx_Table[[#This Row],[Year]],SUMIFS($W$4:$W652,$S$4:$S652,eRRSP_Tx_Table[[#This Row],[Year]],$W$4:$W652,"&gt;0"),"")</f>
        <v/>
      </c>
      <c r="Z652" s="10" t="str">
        <f>IF(S653&lt;&gt;eRRSP_Tx_Table[[#This Row],[Year]],SUMIFS($W$4:$W652,$S$4:$S652,eRRSP_Tx_Table[[#This Row],[Year]],$W$4:$W652,"&lt;0"),"")</f>
        <v/>
      </c>
      <c r="AA652" s="3">
        <f>(SUMIF($U$4:$U652,CONCATENATE("Buy",$C652),$N$4:$N652)+SUMIF($U$4:$U652,CONCATENATE("ReinvDiv",$C652),$N$4:$N652))</f>
        <v>0</v>
      </c>
      <c r="AB652" s="3">
        <f>(SUMIF($U$4:$U652,CONCATENATE("Buy",$C652),$F$4:$F652)+SUMIF($U$4:$U652,CONCATENATE("ReinvDiv",$C652),$F$4:$F652)+SUMIF($U$4:$U652,CONCATENATE("StkSplit",$C652),$F$4:$F652)-SUMIF($U$4:$U652,CONCATENATE("Sell",$C652),$F$4:$F652))</f>
        <v>0</v>
      </c>
      <c r="AC652" s="3">
        <f>IF(B652="Sell",F652*INDEX(V:V,LOOKUP(2,1/(X$4:X651=CONCATENATE(C652,"_ACB")),ROW(V$4:V651))),0)</f>
        <v>0</v>
      </c>
    </row>
    <row r="653" spans="1:29" x14ac:dyDescent="0.25">
      <c r="A653" s="20">
        <v>40284</v>
      </c>
      <c r="B653" t="s">
        <v>42</v>
      </c>
      <c r="C653" t="s">
        <v>87</v>
      </c>
      <c r="D653" s="3">
        <v>40.53</v>
      </c>
      <c r="J653">
        <v>-4936.99</v>
      </c>
      <c r="M653" s="21">
        <f t="shared" si="81"/>
        <v>40.53</v>
      </c>
      <c r="N653" s="8">
        <f t="shared" si="88"/>
        <v>40.53</v>
      </c>
      <c r="O653" s="25">
        <f t="shared" si="85"/>
        <v>79314.149999999951</v>
      </c>
      <c r="P653" s="8">
        <f t="shared" si="82"/>
        <v>0</v>
      </c>
      <c r="Q653" s="4">
        <f>IF(AND(S653&gt;=[1]eRRSP_Rpt!$C$6,S653&lt;=[1]eRRSP_Rpt!$C$7),1,0)</f>
        <v>1</v>
      </c>
      <c r="R653" s="4"/>
      <c r="S653" s="4">
        <f t="shared" si="80"/>
        <v>2010</v>
      </c>
      <c r="T653" s="4"/>
      <c r="U653" s="4" t="str">
        <f t="shared" si="83"/>
        <v>DivAberdeen Asia Pacific Income Fund</v>
      </c>
      <c r="V653" s="23">
        <f>IFERROR(IF(AND(AB653&gt;0,B653&lt;&gt;"Sell"),(AA653-SUMIF(C$4:C652,C653,AC$4:AC653))/AB653,0),"")</f>
        <v>-7.4694020797227028</v>
      </c>
      <c r="W653" s="24" t="str">
        <f t="shared" si="87"/>
        <v/>
      </c>
      <c r="X653" s="25" t="str">
        <f t="shared" si="86"/>
        <v>Aberdeen Asia Pacific Income Fund_ACB</v>
      </c>
      <c r="Y653" s="10" t="str">
        <f>IF(S654&lt;&gt;eRRSP_Tx_Table[[#This Row],[Year]],SUMIFS($W$4:$W653,$S$4:$S653,eRRSP_Tx_Table[[#This Row],[Year]],$W$4:$W653,"&gt;0"),"")</f>
        <v/>
      </c>
      <c r="Z653" s="10" t="str">
        <f>IF(S654&lt;&gt;eRRSP_Tx_Table[[#This Row],[Year]],SUMIFS($W$4:$W653,$S$4:$S653,eRRSP_Tx_Table[[#This Row],[Year]],$W$4:$W653,"&lt;0"),"")</f>
        <v/>
      </c>
      <c r="AA653" s="3">
        <f>(SUMIF($U$4:$U653,CONCATENATE("Buy",$C653),$N$4:$N653)+SUMIF($U$4:$U653,CONCATENATE("ReinvDiv",$C653),$N$4:$N653))</f>
        <v>-8619.6899999999987</v>
      </c>
      <c r="AB653" s="3">
        <f>(SUMIF($U$4:$U653,CONCATENATE("Buy",$C653),$F$4:$F653)+SUMIF($U$4:$U653,CONCATENATE("ReinvDiv",$C653),$F$4:$F653)+SUMIF($U$4:$U653,CONCATENATE("StkSplit",$C653),$F$4:$F653)-SUMIF($U$4:$U653,CONCATENATE("Sell",$C653),$F$4:$F653))</f>
        <v>1154</v>
      </c>
      <c r="AC653" s="3">
        <f>IF(B653="Sell",F653*INDEX(V:V,LOOKUP(2,1/(X$4:X652=CONCATENATE(C653,"_ACB")),ROW(V$4:V652))),0)</f>
        <v>0</v>
      </c>
    </row>
    <row r="654" spans="1:29" x14ac:dyDescent="0.25">
      <c r="A654" s="20">
        <v>40298</v>
      </c>
      <c r="B654" t="s">
        <v>42</v>
      </c>
      <c r="C654" t="s">
        <v>45</v>
      </c>
      <c r="D654" s="3">
        <v>12.2</v>
      </c>
      <c r="J654">
        <v>-14999.99</v>
      </c>
      <c r="M654" s="21">
        <f t="shared" si="81"/>
        <v>12.2</v>
      </c>
      <c r="N654" s="8">
        <f t="shared" si="88"/>
        <v>12.2</v>
      </c>
      <c r="O654" s="25">
        <f t="shared" si="85"/>
        <v>79326.349999999948</v>
      </c>
      <c r="P654" s="8">
        <f t="shared" si="82"/>
        <v>0</v>
      </c>
      <c r="Q654" s="4">
        <f>IF(AND(S654&gt;=[1]eRRSP_Rpt!$C$6,S654&lt;=[1]eRRSP_Rpt!$C$7),1,0)</f>
        <v>1</v>
      </c>
      <c r="R654" s="4"/>
      <c r="S654" s="4">
        <f t="shared" si="80"/>
        <v>2010</v>
      </c>
      <c r="T654" s="4"/>
      <c r="U654" s="4" t="str">
        <f t="shared" si="83"/>
        <v>DivTD Bank</v>
      </c>
      <c r="V654" s="23">
        <f>IFERROR(IF(AND(AB654&gt;0,B654&lt;&gt;"Sell"),(AA654-SUMIF(C$4:C653,C654,AC$4:AC654))/AB654,0),"")</f>
        <v>-44.29</v>
      </c>
      <c r="W654" s="24" t="str">
        <f t="shared" si="87"/>
        <v/>
      </c>
      <c r="X654" s="25" t="str">
        <f t="shared" si="86"/>
        <v>TD Bank_ACB</v>
      </c>
      <c r="Y654" s="10" t="str">
        <f>IF(S655&lt;&gt;eRRSP_Tx_Table[[#This Row],[Year]],SUMIFS($W$4:$W654,$S$4:$S654,eRRSP_Tx_Table[[#This Row],[Year]],$W$4:$W654,"&gt;0"),"")</f>
        <v/>
      </c>
      <c r="Z654" s="10" t="str">
        <f>IF(S655&lt;&gt;eRRSP_Tx_Table[[#This Row],[Year]],SUMIFS($W$4:$W654,$S$4:$S654,eRRSP_Tx_Table[[#This Row],[Year]],$W$4:$W654,"&lt;0"),"")</f>
        <v/>
      </c>
      <c r="AA654" s="3">
        <f>(SUMIF($U$4:$U654,CONCATENATE("Buy",$C654),$N$4:$N654)+SUMIF($U$4:$U654,CONCATENATE("ReinvDiv",$C654),$N$4:$N654))</f>
        <v>-885.8</v>
      </c>
      <c r="AB654" s="3">
        <f>(SUMIF($U$4:$U654,CONCATENATE("Buy",$C654),$F$4:$F654)+SUMIF($U$4:$U654,CONCATENATE("ReinvDiv",$C654),$F$4:$F654)+SUMIF($U$4:$U654,CONCATENATE("StkSplit",$C654),$F$4:$F654)-SUMIF($U$4:$U654,CONCATENATE("Sell",$C654),$F$4:$F654))</f>
        <v>20</v>
      </c>
      <c r="AC654" s="3">
        <f>IF(B654="Sell",F654*INDEX(V:V,LOOKUP(2,1/(X$4:X653=CONCATENATE(C654,"_ACB")),ROW(V$4:V653))),0)</f>
        <v>0</v>
      </c>
    </row>
    <row r="655" spans="1:29" x14ac:dyDescent="0.25">
      <c r="A655" s="20">
        <v>40303</v>
      </c>
      <c r="B655" t="s">
        <v>32</v>
      </c>
      <c r="C655" t="s">
        <v>33</v>
      </c>
      <c r="D655" s="3">
        <v>4936.99</v>
      </c>
      <c r="E655">
        <v>49.27</v>
      </c>
      <c r="F655" s="3">
        <v>100</v>
      </c>
      <c r="G655">
        <v>9.99</v>
      </c>
      <c r="J655">
        <v>-10000</v>
      </c>
      <c r="M655" s="21">
        <f t="shared" si="81"/>
        <v>4927</v>
      </c>
      <c r="N655" s="8">
        <f t="shared" si="88"/>
        <v>-4936.99</v>
      </c>
      <c r="O655" s="25">
        <f t="shared" si="85"/>
        <v>74389.359999999942</v>
      </c>
      <c r="P655" s="8">
        <f t="shared" si="82"/>
        <v>0</v>
      </c>
      <c r="Q655" s="4">
        <f>IF(AND(S655&gt;=[1]eRRSP_Rpt!$C$6,S655&lt;=[1]eRRSP_Rpt!$C$7),1,0)</f>
        <v>1</v>
      </c>
      <c r="R655" s="4"/>
      <c r="S655" s="4">
        <f t="shared" si="80"/>
        <v>2010</v>
      </c>
      <c r="T655" s="4"/>
      <c r="U655" s="4" t="str">
        <f t="shared" si="83"/>
        <v>BuyEnbridge</v>
      </c>
      <c r="V655" s="23">
        <f>IFERROR(IF(AND(AB655&gt;0,B655&lt;&gt;"Sell"),(AA655-SUMIF(C$4:C654,C655,AC$4:AC655))/AB655,0),"")</f>
        <v>-33.963578195247266</v>
      </c>
      <c r="W655" s="24" t="str">
        <f t="shared" si="87"/>
        <v/>
      </c>
      <c r="X655" s="25" t="str">
        <f t="shared" si="86"/>
        <v>Enbridge_ACB</v>
      </c>
      <c r="Y655" s="10" t="str">
        <f>IF(S656&lt;&gt;eRRSP_Tx_Table[[#This Row],[Year]],SUMIFS($W$4:$W655,$S$4:$S655,eRRSP_Tx_Table[[#This Row],[Year]],$W$4:$W655,"&gt;0"),"")</f>
        <v/>
      </c>
      <c r="Z655" s="10" t="str">
        <f>IF(S656&lt;&gt;eRRSP_Tx_Table[[#This Row],[Year]],SUMIFS($W$4:$W655,$S$4:$S655,eRRSP_Tx_Table[[#This Row],[Year]],$W$4:$W655,"&lt;0"),"")</f>
        <v/>
      </c>
      <c r="AA655" s="3">
        <f>(SUMIF($U$4:$U655,CONCATENATE("Buy",$C655),$N$4:$N655)+SUMIF($U$4:$U655,CONCATENATE("ReinvDiv",$C655),$N$4:$N655))</f>
        <v>-6788.69</v>
      </c>
      <c r="AB655" s="3">
        <f>(SUMIF($U$4:$U655,CONCATENATE("Buy",$C655),$F$4:$F655)+SUMIF($U$4:$U655,CONCATENATE("ReinvDiv",$C655),$F$4:$F655)+SUMIF($U$4:$U655,CONCATENATE("StkSplit",$C655),$F$4:$F655)-SUMIF($U$4:$U655,CONCATENATE("Sell",$C655),$F$4:$F655))</f>
        <v>173</v>
      </c>
      <c r="AC655" s="3">
        <f>IF(B655="Sell",F655*INDEX(V:V,LOOKUP(2,1/(X$4:X654=CONCATENATE(C655,"_ACB")),ROW(V$4:V654))),0)</f>
        <v>0</v>
      </c>
    </row>
    <row r="656" spans="1:29" x14ac:dyDescent="0.25">
      <c r="A656" s="20">
        <v>40303</v>
      </c>
      <c r="B656" t="s">
        <v>32</v>
      </c>
      <c r="C656" t="s">
        <v>96</v>
      </c>
      <c r="D656" s="3">
        <v>15000</v>
      </c>
      <c r="E656">
        <v>19.490010999999999</v>
      </c>
      <c r="F656" s="3">
        <v>769.625</v>
      </c>
      <c r="J656">
        <v>-26500</v>
      </c>
      <c r="M656" s="21">
        <f t="shared" si="81"/>
        <v>15000</v>
      </c>
      <c r="N656" s="8">
        <f t="shared" si="88"/>
        <v>-15000</v>
      </c>
      <c r="O656" s="25">
        <f t="shared" si="85"/>
        <v>59389.359999999942</v>
      </c>
      <c r="P656" s="8">
        <f t="shared" si="82"/>
        <v>0</v>
      </c>
      <c r="Q656" s="4">
        <f>IF(AND(S656&gt;=[1]eRRSP_Rpt!$C$6,S656&lt;=[1]eRRSP_Rpt!$C$7),1,0)</f>
        <v>1</v>
      </c>
      <c r="R656" s="4"/>
      <c r="S656" s="4">
        <f t="shared" si="80"/>
        <v>2010</v>
      </c>
      <c r="T656" s="4"/>
      <c r="U656" s="4" t="str">
        <f t="shared" si="83"/>
        <v>BuyTD Canadian Index - e</v>
      </c>
      <c r="V656" s="23">
        <f>IFERROR(IF(AND(AB656&gt;0,B656&lt;&gt;"Sell"),(AA656-SUMIF(C$4:C655,C656,AC$4:AC656))/AB656,0),"")</f>
        <v>-19.490011369173299</v>
      </c>
      <c r="W656" s="24" t="str">
        <f t="shared" si="87"/>
        <v/>
      </c>
      <c r="X656" s="25" t="str">
        <f t="shared" si="86"/>
        <v>TD Canadian Index - e_ACB</v>
      </c>
      <c r="Y656" s="10" t="str">
        <f>IF(S657&lt;&gt;eRRSP_Tx_Table[[#This Row],[Year]],SUMIFS($W$4:$W656,$S$4:$S656,eRRSP_Tx_Table[[#This Row],[Year]],$W$4:$W656,"&gt;0"),"")</f>
        <v/>
      </c>
      <c r="Z656" s="10" t="str">
        <f>IF(S657&lt;&gt;eRRSP_Tx_Table[[#This Row],[Year]],SUMIFS($W$4:$W656,$S$4:$S656,eRRSP_Tx_Table[[#This Row],[Year]],$W$4:$W656,"&lt;0"),"")</f>
        <v/>
      </c>
      <c r="AA656" s="3">
        <f>(SUMIF($U$4:$U656,CONCATENATE("Buy",$C656),$N$4:$N656)+SUMIF($U$4:$U656,CONCATENATE("ReinvDiv",$C656),$N$4:$N656))</f>
        <v>-15000</v>
      </c>
      <c r="AB656">
        <f>(SUMIF($U$4:$U656,CONCATENATE("Buy",$C656),$F$4:$F656)+SUMIF($U$4:$U656,CONCATENATE("ReinvDiv",$C656),$F$4:$F656)+SUMIF($U$4:$U656,CONCATENATE("StkSplit",$C656),$F$4:$F656)-SUMIF($U$4:$U656,CONCATENATE("Sell",$C656),$F$4:$F656))</f>
        <v>769.625</v>
      </c>
      <c r="AC656" s="3">
        <f>IF(B656="Sell",F656*INDEX(V:V,LOOKUP(2,1/(X$4:X655=CONCATENATE(C656,"_ACB")),ROW(V$4:V655))),0)</f>
        <v>0</v>
      </c>
    </row>
    <row r="657" spans="1:29" x14ac:dyDescent="0.25">
      <c r="A657" s="20">
        <v>40311</v>
      </c>
      <c r="B657" t="s">
        <v>32</v>
      </c>
      <c r="C657" t="s">
        <v>58</v>
      </c>
      <c r="D657" s="3">
        <v>10000</v>
      </c>
      <c r="E657">
        <v>7.32</v>
      </c>
      <c r="F657" s="3">
        <v>1366.12</v>
      </c>
      <c r="J657">
        <v>41.13</v>
      </c>
      <c r="M657" s="21">
        <f t="shared" si="81"/>
        <v>10000</v>
      </c>
      <c r="N657" s="8">
        <f t="shared" si="88"/>
        <v>-10000</v>
      </c>
      <c r="O657" s="25">
        <f t="shared" si="85"/>
        <v>49389.359999999942</v>
      </c>
      <c r="P657" s="8">
        <f t="shared" si="82"/>
        <v>0</v>
      </c>
      <c r="Q657" s="4">
        <f>IF(AND(S657&gt;=[1]eRRSP_Rpt!$C$6,S657&lt;=[1]eRRSP_Rpt!$C$7),1,0)</f>
        <v>1</v>
      </c>
      <c r="R657" s="4"/>
      <c r="S657" s="4">
        <f t="shared" si="80"/>
        <v>2010</v>
      </c>
      <c r="T657" s="4"/>
      <c r="U657" s="4" t="str">
        <f t="shared" si="83"/>
        <v>BuyTD DJIA Index</v>
      </c>
      <c r="V657" s="23">
        <f>IFERROR(IF(AND(AB657&gt;0,B657&lt;&gt;"Sell"),(AA657-SUMIF(C$4:C656,C657,AC$4:AC657))/AB657,0),"")</f>
        <v>-7.3199901129818974</v>
      </c>
      <c r="W657" s="24" t="str">
        <f t="shared" si="87"/>
        <v/>
      </c>
      <c r="X657" s="25" t="str">
        <f t="shared" si="86"/>
        <v>TD DJIA Index_ACB</v>
      </c>
      <c r="Y657" s="10" t="str">
        <f>IF(S658&lt;&gt;eRRSP_Tx_Table[[#This Row],[Year]],SUMIFS($W$4:$W657,$S$4:$S657,eRRSP_Tx_Table[[#This Row],[Year]],$W$4:$W657,"&gt;0"),"")</f>
        <v/>
      </c>
      <c r="Z657" s="10" t="str">
        <f>IF(S658&lt;&gt;eRRSP_Tx_Table[[#This Row],[Year]],SUMIFS($W$4:$W657,$S$4:$S657,eRRSP_Tx_Table[[#This Row],[Year]],$W$4:$W657,"&lt;0"),"")</f>
        <v/>
      </c>
      <c r="AA657" s="3">
        <f>(SUMIF($U$4:$U657,CONCATENATE("Buy",$C657),$N$4:$N657)+SUMIF($U$4:$U657,CONCATENATE("ReinvDiv",$C657),$N$4:$N657))</f>
        <v>-11112.5</v>
      </c>
      <c r="AB657">
        <f>(SUMIF($U$4:$U657,CONCATENATE("Buy",$C657),$F$4:$F657)+SUMIF($U$4:$U657,CONCATENATE("ReinvDiv",$C657),$F$4:$F657)+SUMIF($U$4:$U657,CONCATENATE("StkSplit",$C657),$F$4:$F657)-SUMIF($U$4:$U657,CONCATENATE("Sell",$C657),$F$4:$F657))</f>
        <v>1366.1159999999998</v>
      </c>
      <c r="AC657" s="3">
        <f>IF(B657="Sell",F657*INDEX(V:V,LOOKUP(2,1/(X$4:X656=CONCATENATE(C657,"_ACB")),ROW(V$4:V656))),0)</f>
        <v>0</v>
      </c>
    </row>
    <row r="658" spans="1:29" x14ac:dyDescent="0.25">
      <c r="A658" s="20">
        <v>40311</v>
      </c>
      <c r="B658" t="s">
        <v>32</v>
      </c>
      <c r="C658" t="s">
        <v>97</v>
      </c>
      <c r="D658" s="3">
        <v>26500</v>
      </c>
      <c r="E658">
        <v>8.339995</v>
      </c>
      <c r="F658" s="3">
        <v>3177.4580000000001</v>
      </c>
      <c r="J658">
        <v>1.4</v>
      </c>
      <c r="M658" s="8">
        <f>ROUND(IF(OR(B658="Buy",B658="Sell"),E658*F658,D658),2)</f>
        <v>26499.98</v>
      </c>
      <c r="N658" s="8">
        <f t="shared" si="88"/>
        <v>-26499.98</v>
      </c>
      <c r="O658" s="25">
        <f t="shared" si="85"/>
        <v>22889.379999999943</v>
      </c>
      <c r="P658" s="8">
        <f t="shared" si="82"/>
        <v>0</v>
      </c>
      <c r="Q658" s="4">
        <f>IF(AND(S658&gt;=[1]eRRSP_Rpt!$C$6,S658&lt;=[1]eRRSP_Rpt!$C$7),1,0)</f>
        <v>1</v>
      </c>
      <c r="R658" s="4"/>
      <c r="S658" s="4">
        <f t="shared" si="80"/>
        <v>2010</v>
      </c>
      <c r="T658" s="4"/>
      <c r="U658" s="4" t="str">
        <f t="shared" si="83"/>
        <v>BuyTD International Index - e</v>
      </c>
      <c r="V658" s="23">
        <f>IFERROR(IF(AND(AB658&gt;0,B658&lt;&gt;"Sell"),(AA658-SUMIF(C$4:C657,C658,AC$4:AC658))/AB658,0),"")</f>
        <v>-8.3399937937810655</v>
      </c>
      <c r="W658" s="24" t="str">
        <f t="shared" si="87"/>
        <v/>
      </c>
      <c r="X658" s="25" t="str">
        <f t="shared" si="86"/>
        <v>TD International Index - e_ACB</v>
      </c>
      <c r="Y658" s="10" t="str">
        <f>IF(S659&lt;&gt;eRRSP_Tx_Table[[#This Row],[Year]],SUMIFS($W$4:$W658,$S$4:$S658,eRRSP_Tx_Table[[#This Row],[Year]],$W$4:$W658,"&gt;0"),"")</f>
        <v/>
      </c>
      <c r="Z658" s="10" t="str">
        <f>IF(S659&lt;&gt;eRRSP_Tx_Table[[#This Row],[Year]],SUMIFS($W$4:$W658,$S$4:$S658,eRRSP_Tx_Table[[#This Row],[Year]],$W$4:$W658,"&lt;0"),"")</f>
        <v/>
      </c>
      <c r="AA658" s="3">
        <f>(SUMIF($U$4:$U658,CONCATENATE("Buy",$C658),$N$4:$N658)+SUMIF($U$4:$U658,CONCATENATE("ReinvDiv",$C658),$N$4:$N658))</f>
        <v>-26499.98</v>
      </c>
      <c r="AB658">
        <f>(SUMIF($U$4:$U658,CONCATENATE("Buy",$C658),$F$4:$F658)+SUMIF($U$4:$U658,CONCATENATE("ReinvDiv",$C658),$F$4:$F658)+SUMIF($U$4:$U658,CONCATENATE("StkSplit",$C658),$F$4:$F658)-SUMIF($U$4:$U658,CONCATENATE("Sell",$C658),$F$4:$F658))</f>
        <v>3177.4580000000001</v>
      </c>
      <c r="AC658" s="3">
        <f>IF(B658="Sell",F658*INDEX(V:V,LOOKUP(2,1/(X$4:X657=CONCATENATE(C658,"_ACB")),ROW(V$4:V657))),0)</f>
        <v>0</v>
      </c>
    </row>
    <row r="659" spans="1:29" x14ac:dyDescent="0.25">
      <c r="A659" s="20">
        <v>40312</v>
      </c>
      <c r="B659" t="s">
        <v>42</v>
      </c>
      <c r="C659" t="s">
        <v>87</v>
      </c>
      <c r="D659" s="3">
        <v>41.13</v>
      </c>
      <c r="J659">
        <v>0.76</v>
      </c>
      <c r="M659" s="21">
        <f t="shared" si="81"/>
        <v>41.13</v>
      </c>
      <c r="N659" s="8">
        <f t="shared" si="88"/>
        <v>41.13</v>
      </c>
      <c r="O659" s="25">
        <f t="shared" si="85"/>
        <v>22930.509999999944</v>
      </c>
      <c r="P659" s="8">
        <f t="shared" si="82"/>
        <v>0</v>
      </c>
      <c r="Q659" s="4">
        <f>IF(AND(S659&gt;=[1]eRRSP_Rpt!$C$6,S659&lt;=[1]eRRSP_Rpt!$C$7),1,0)</f>
        <v>1</v>
      </c>
      <c r="R659" s="4"/>
      <c r="S659" s="4">
        <f t="shared" si="80"/>
        <v>2010</v>
      </c>
      <c r="T659" s="4"/>
      <c r="U659" s="4" t="str">
        <f t="shared" si="83"/>
        <v>DivAberdeen Asia Pacific Income Fund</v>
      </c>
      <c r="V659" s="23">
        <f>IFERROR(IF(AND(AB659&gt;0,B659&lt;&gt;"Sell"),(AA659-SUMIF(C$4:C658,C659,AC$4:AC659))/AB659,0),"")</f>
        <v>-7.4694020797227028</v>
      </c>
      <c r="W659" s="24" t="str">
        <f t="shared" si="87"/>
        <v/>
      </c>
      <c r="X659" s="25" t="str">
        <f t="shared" si="86"/>
        <v>Aberdeen Asia Pacific Income Fund_ACB</v>
      </c>
      <c r="Y659" s="10" t="str">
        <f>IF(S660&lt;&gt;eRRSP_Tx_Table[[#This Row],[Year]],SUMIFS($W$4:$W659,$S$4:$S659,eRRSP_Tx_Table[[#This Row],[Year]],$W$4:$W659,"&gt;0"),"")</f>
        <v/>
      </c>
      <c r="Z659" s="10" t="str">
        <f>IF(S660&lt;&gt;eRRSP_Tx_Table[[#This Row],[Year]],SUMIFS($W$4:$W659,$S$4:$S659,eRRSP_Tx_Table[[#This Row],[Year]],$W$4:$W659,"&lt;0"),"")</f>
        <v/>
      </c>
      <c r="AA659" s="3">
        <f>(SUMIF($U$4:$U659,CONCATENATE("Buy",$C659),$N$4:$N659)+SUMIF($U$4:$U659,CONCATENATE("ReinvDiv",$C659),$N$4:$N659))</f>
        <v>-8619.6899999999987</v>
      </c>
      <c r="AB659">
        <f>(SUMIF($U$4:$U659,CONCATENATE("Buy",$C659),$F$4:$F659)+SUMIF($U$4:$U659,CONCATENATE("ReinvDiv",$C659),$F$4:$F659)+SUMIF($U$4:$U659,CONCATENATE("StkSplit",$C659),$F$4:$F659)-SUMIF($U$4:$U659,CONCATENATE("Sell",$C659),$F$4:$F659))</f>
        <v>1154</v>
      </c>
      <c r="AC659" s="3">
        <f>IF(B659="Sell",F659*INDEX(V:V,LOOKUP(2,1/(X$4:X658=CONCATENATE(C659,"_ACB")),ROW(V$4:V658))),0)</f>
        <v>0</v>
      </c>
    </row>
    <row r="660" spans="1:29" x14ac:dyDescent="0.25">
      <c r="A660" s="20">
        <v>40314</v>
      </c>
      <c r="B660" t="s">
        <v>43</v>
      </c>
      <c r="C660" t="s">
        <v>36</v>
      </c>
      <c r="D660" s="3">
        <v>1.4</v>
      </c>
      <c r="J660">
        <v>73.52</v>
      </c>
      <c r="M660" s="21">
        <f t="shared" si="81"/>
        <v>1.4</v>
      </c>
      <c r="N660" s="8">
        <f t="shared" si="88"/>
        <v>1.4</v>
      </c>
      <c r="O660" s="25">
        <f t="shared" si="85"/>
        <v>22931.909999999945</v>
      </c>
      <c r="P660" s="8">
        <f t="shared" si="82"/>
        <v>0</v>
      </c>
      <c r="Q660" s="4">
        <f>IF(AND(S660&gt;=[1]eRRSP_Rpt!$C$6,S660&lt;=[1]eRRSP_Rpt!$C$7),1,0)</f>
        <v>1</v>
      </c>
      <c r="R660" s="4"/>
      <c r="S660" s="4">
        <f t="shared" si="80"/>
        <v>2010</v>
      </c>
      <c r="T660" s="4"/>
      <c r="U660" s="4" t="str">
        <f t="shared" si="83"/>
        <v>IntIncTDW</v>
      </c>
      <c r="V660" s="23">
        <f>IFERROR(IF(AND(AB660&gt;0,B660&lt;&gt;"Sell"),(AA660-SUMIF(C$4:C659,C660,AC$4:AC660))/AB660,0),"")</f>
        <v>0</v>
      </c>
      <c r="W660" s="24" t="str">
        <f t="shared" si="87"/>
        <v/>
      </c>
      <c r="X660" s="25" t="str">
        <f t="shared" si="86"/>
        <v/>
      </c>
      <c r="Y660" s="10" t="str">
        <f>IF(S661&lt;&gt;eRRSP_Tx_Table[[#This Row],[Year]],SUMIFS($W$4:$W660,$S$4:$S660,eRRSP_Tx_Table[[#This Row],[Year]],$W$4:$W660,"&gt;0"),"")</f>
        <v/>
      </c>
      <c r="Z660" s="10" t="str">
        <f>IF(S661&lt;&gt;eRRSP_Tx_Table[[#This Row],[Year]],SUMIFS($W$4:$W660,$S$4:$S660,eRRSP_Tx_Table[[#This Row],[Year]],$W$4:$W660,"&lt;0"),"")</f>
        <v/>
      </c>
      <c r="AA660" s="3">
        <f>(SUMIF($U$4:$U660,CONCATENATE("Buy",$C660),$N$4:$N660)+SUMIF($U$4:$U660,CONCATENATE("ReinvDiv",$C660),$N$4:$N660))</f>
        <v>0</v>
      </c>
      <c r="AB660">
        <f>(SUMIF($U$4:$U660,CONCATENATE("Buy",$C660),$F$4:$F660)+SUMIF($U$4:$U660,CONCATENATE("ReinvDiv",$C660),$F$4:$F660)+SUMIF($U$4:$U660,CONCATENATE("StkSplit",$C660),$F$4:$F660)-SUMIF($U$4:$U660,CONCATENATE("Sell",$C660),$F$4:$F660))</f>
        <v>0</v>
      </c>
      <c r="AC660" s="3">
        <f>IF(B660="Sell",F660*INDEX(V:V,LOOKUP(2,1/(X$4:X659=CONCATENATE(C660,"_ACB")),ROW(V$4:V659))),0)</f>
        <v>0</v>
      </c>
    </row>
    <row r="661" spans="1:29" x14ac:dyDescent="0.25">
      <c r="A661" s="20">
        <v>40329</v>
      </c>
      <c r="B661" t="s">
        <v>42</v>
      </c>
      <c r="C661" t="s">
        <v>47</v>
      </c>
      <c r="D661" s="3">
        <v>0.76</v>
      </c>
      <c r="J661">
        <v>-6000</v>
      </c>
      <c r="M661" s="21">
        <f t="shared" si="81"/>
        <v>0.76</v>
      </c>
      <c r="N661" s="8">
        <f t="shared" si="88"/>
        <v>0.76</v>
      </c>
      <c r="O661" s="25">
        <f t="shared" si="85"/>
        <v>22932.669999999944</v>
      </c>
      <c r="P661" s="8">
        <f t="shared" si="82"/>
        <v>0</v>
      </c>
      <c r="Q661" s="4">
        <f>IF(AND(S661&gt;=[1]eRRSP_Rpt!$C$6,S661&lt;=[1]eRRSP_Rpt!$C$7),1,0)</f>
        <v>1</v>
      </c>
      <c r="R661" s="4"/>
      <c r="S661" s="4">
        <f t="shared" ref="S661:S728" si="89">YEAR(A661)</f>
        <v>2010</v>
      </c>
      <c r="T661" s="4"/>
      <c r="U661" s="4" t="str">
        <f t="shared" si="83"/>
        <v>DivBombardier</v>
      </c>
      <c r="V661" s="23">
        <f>IFERROR(IF(AND(AB661&gt;0,B661&lt;&gt;"Sell"),(AA661-SUMIF(C$4:C660,C661,AC$4:AC661))/AB661,0),"")</f>
        <v>-23.216666666666665</v>
      </c>
      <c r="W661" s="24" t="str">
        <f t="shared" si="87"/>
        <v/>
      </c>
      <c r="X661" s="25" t="str">
        <f t="shared" si="86"/>
        <v>Bombardier_ACB</v>
      </c>
      <c r="Y661" s="10" t="str">
        <f>IF(S662&lt;&gt;eRRSP_Tx_Table[[#This Row],[Year]],SUMIFS($W$4:$W661,$S$4:$S661,eRRSP_Tx_Table[[#This Row],[Year]],$W$4:$W661,"&gt;0"),"")</f>
        <v/>
      </c>
      <c r="Z661" s="10" t="str">
        <f>IF(S662&lt;&gt;eRRSP_Tx_Table[[#This Row],[Year]],SUMIFS($W$4:$W661,$S$4:$S661,eRRSP_Tx_Table[[#This Row],[Year]],$W$4:$W661,"&lt;0"),"")</f>
        <v/>
      </c>
      <c r="AA661" s="3">
        <f>(SUMIF($U$4:$U661,CONCATENATE("Buy",$C661),$N$4:$N661)+SUMIF($U$4:$U661,CONCATENATE("ReinvDiv",$C661),$N$4:$N661))</f>
        <v>-696.5</v>
      </c>
      <c r="AB661">
        <f>(SUMIF($U$4:$U661,CONCATENATE("Buy",$C661),$F$4:$F661)+SUMIF($U$4:$U661,CONCATENATE("ReinvDiv",$C661),$F$4:$F661)+SUMIF($U$4:$U661,CONCATENATE("StkSplit",$C661),$F$4:$F661)-SUMIF($U$4:$U661,CONCATENATE("Sell",$C661),$F$4:$F661))</f>
        <v>30</v>
      </c>
      <c r="AC661" s="3">
        <f>IF(B661="Sell",F661*INDEX(V:V,LOOKUP(2,1/(X$4:X660=CONCATENATE(C661,"_ACB")),ROW(V$4:V660))),0)</f>
        <v>0</v>
      </c>
    </row>
    <row r="662" spans="1:29" x14ac:dyDescent="0.25">
      <c r="A662" s="20">
        <v>40330</v>
      </c>
      <c r="B662" t="s">
        <v>42</v>
      </c>
      <c r="C662" t="s">
        <v>33</v>
      </c>
      <c r="D662" s="3">
        <v>73.52</v>
      </c>
      <c r="J662">
        <v>41.68</v>
      </c>
      <c r="M662" s="21">
        <f t="shared" si="81"/>
        <v>73.52</v>
      </c>
      <c r="N662" s="8">
        <f t="shared" si="88"/>
        <v>73.52</v>
      </c>
      <c r="O662" s="25">
        <f t="shared" si="85"/>
        <v>23006.189999999944</v>
      </c>
      <c r="P662" s="8">
        <f t="shared" si="82"/>
        <v>0</v>
      </c>
      <c r="Q662" s="4">
        <f>IF(AND(S662&gt;=[1]eRRSP_Rpt!$C$6,S662&lt;=[1]eRRSP_Rpt!$C$7),1,0)</f>
        <v>1</v>
      </c>
      <c r="R662" s="4"/>
      <c r="S662" s="4">
        <f t="shared" si="89"/>
        <v>2010</v>
      </c>
      <c r="T662" s="4"/>
      <c r="U662" s="4" t="str">
        <f t="shared" si="83"/>
        <v>DivEnbridge</v>
      </c>
      <c r="V662" s="23">
        <f>IFERROR(IF(AND(AB662&gt;0,B662&lt;&gt;"Sell"),(AA662-SUMIF(C$4:C661,C662,AC$4:AC662))/AB662,0),"")</f>
        <v>-33.963578195247266</v>
      </c>
      <c r="W662" s="24" t="str">
        <f t="shared" si="87"/>
        <v/>
      </c>
      <c r="X662" s="25" t="str">
        <f t="shared" si="86"/>
        <v>Enbridge_ACB</v>
      </c>
      <c r="Y662" s="10" t="str">
        <f>IF(S663&lt;&gt;eRRSP_Tx_Table[[#This Row],[Year]],SUMIFS($W$4:$W662,$S$4:$S662,eRRSP_Tx_Table[[#This Row],[Year]],$W$4:$W662,"&gt;0"),"")</f>
        <v/>
      </c>
      <c r="Z662" s="10" t="str">
        <f>IF(S663&lt;&gt;eRRSP_Tx_Table[[#This Row],[Year]],SUMIFS($W$4:$W662,$S$4:$S662,eRRSP_Tx_Table[[#This Row],[Year]],$W$4:$W662,"&lt;0"),"")</f>
        <v/>
      </c>
      <c r="AA662" s="3">
        <f>(SUMIF($U$4:$U662,CONCATENATE("Buy",$C662),$N$4:$N662)+SUMIF($U$4:$U662,CONCATENATE("ReinvDiv",$C662),$N$4:$N662))</f>
        <v>-6788.69</v>
      </c>
      <c r="AB662">
        <f>(SUMIF($U$4:$U662,CONCATENATE("Buy",$C662),$F$4:$F662)+SUMIF($U$4:$U662,CONCATENATE("ReinvDiv",$C662),$F$4:$F662)+SUMIF($U$4:$U662,CONCATENATE("StkSplit",$C662),$F$4:$F662)-SUMIF($U$4:$U662,CONCATENATE("Sell",$C662),$F$4:$F662))</f>
        <v>173</v>
      </c>
      <c r="AC662" s="3">
        <f>IF(B662="Sell",F662*INDEX(V:V,LOOKUP(2,1/(X$4:X661=CONCATENATE(C662,"_ACB")),ROW(V$4:V661))),0)</f>
        <v>0</v>
      </c>
    </row>
    <row r="663" spans="1:29" x14ac:dyDescent="0.25">
      <c r="A663" s="20">
        <v>40331</v>
      </c>
      <c r="B663" t="s">
        <v>32</v>
      </c>
      <c r="C663" t="s">
        <v>58</v>
      </c>
      <c r="D663" s="3">
        <v>6000</v>
      </c>
      <c r="E663">
        <v>7.09</v>
      </c>
      <c r="F663" s="3">
        <v>846.26199999999994</v>
      </c>
      <c r="J663">
        <v>0.43</v>
      </c>
      <c r="M663" s="21">
        <f t="shared" si="81"/>
        <v>6000</v>
      </c>
      <c r="N663" s="8">
        <f t="shared" si="88"/>
        <v>-6000</v>
      </c>
      <c r="O663" s="25">
        <f t="shared" si="85"/>
        <v>17006.189999999944</v>
      </c>
      <c r="P663" s="8">
        <f t="shared" si="82"/>
        <v>0</v>
      </c>
      <c r="Q663" s="4">
        <f>IF(AND(S663&gt;=[1]eRRSP_Rpt!$C$6,S663&lt;=[1]eRRSP_Rpt!$C$7),1,0)</f>
        <v>1</v>
      </c>
      <c r="R663" s="4"/>
      <c r="S663" s="4">
        <f t="shared" si="89"/>
        <v>2010</v>
      </c>
      <c r="T663" s="4"/>
      <c r="U663" s="4" t="str">
        <f t="shared" si="83"/>
        <v>BuyTD DJIA Index</v>
      </c>
      <c r="V663" s="23">
        <f>IFERROR(IF(AND(AB663&gt;0,B663&lt;&gt;"Sell"),(AA663-SUMIF(C$4:C662,C663,AC$4:AC663))/AB663,0),"")</f>
        <v>-7.2320171386564036</v>
      </c>
      <c r="W663" s="24" t="str">
        <f t="shared" si="87"/>
        <v/>
      </c>
      <c r="X663" s="25" t="str">
        <f t="shared" si="86"/>
        <v>TD DJIA Index_ACB</v>
      </c>
      <c r="Y663" s="10" t="str">
        <f>IF(S664&lt;&gt;eRRSP_Tx_Table[[#This Row],[Year]],SUMIFS($W$4:$W663,$S$4:$S663,eRRSP_Tx_Table[[#This Row],[Year]],$W$4:$W663,"&gt;0"),"")</f>
        <v/>
      </c>
      <c r="Z663" s="10" t="str">
        <f>IF(S664&lt;&gt;eRRSP_Tx_Table[[#This Row],[Year]],SUMIFS($W$4:$W663,$S$4:$S663,eRRSP_Tx_Table[[#This Row],[Year]],$W$4:$W663,"&lt;0"),"")</f>
        <v/>
      </c>
      <c r="AA663" s="3">
        <f>(SUMIF($U$4:$U663,CONCATENATE("Buy",$C663),$N$4:$N663)+SUMIF($U$4:$U663,CONCATENATE("ReinvDiv",$C663),$N$4:$N663))</f>
        <v>-17112.5</v>
      </c>
      <c r="AB663">
        <f>(SUMIF($U$4:$U663,CONCATENATE("Buy",$C663),$F$4:$F663)+SUMIF($U$4:$U663,CONCATENATE("ReinvDiv",$C663),$F$4:$F663)+SUMIF($U$4:$U663,CONCATENATE("StkSplit",$C663),$F$4:$F663)-SUMIF($U$4:$U663,CONCATENATE("Sell",$C663),$F$4:$F663))</f>
        <v>2212.3779999999997</v>
      </c>
      <c r="AC663" s="3">
        <f>IF(B663="Sell",F663*INDEX(V:V,LOOKUP(2,1/(X$4:X662=CONCATENATE(C663,"_ACB")),ROW(V$4:V662))),0)</f>
        <v>0</v>
      </c>
    </row>
    <row r="664" spans="1:29" x14ac:dyDescent="0.25">
      <c r="A664" s="20">
        <v>40340</v>
      </c>
      <c r="B664" t="s">
        <v>42</v>
      </c>
      <c r="C664" t="s">
        <v>87</v>
      </c>
      <c r="D664" s="3">
        <v>41.68</v>
      </c>
      <c r="J664">
        <v>306.02999999999997</v>
      </c>
      <c r="M664" s="21">
        <f t="shared" si="81"/>
        <v>41.68</v>
      </c>
      <c r="N664" s="8">
        <f t="shared" si="88"/>
        <v>41.68</v>
      </c>
      <c r="O664" s="25">
        <f t="shared" si="85"/>
        <v>17047.869999999944</v>
      </c>
      <c r="P664" s="8">
        <f t="shared" si="82"/>
        <v>0</v>
      </c>
      <c r="Q664" s="4">
        <f>IF(AND(S664&gt;=[1]eRRSP_Rpt!$C$6,S664&lt;=[1]eRRSP_Rpt!$C$7),1,0)</f>
        <v>1</v>
      </c>
      <c r="R664" s="4"/>
      <c r="S664" s="4">
        <f t="shared" si="89"/>
        <v>2010</v>
      </c>
      <c r="T664" s="4"/>
      <c r="U664" s="4" t="str">
        <f t="shared" si="83"/>
        <v>DivAberdeen Asia Pacific Income Fund</v>
      </c>
      <c r="V664" s="23">
        <f>IFERROR(IF(AND(AB664&gt;0,B664&lt;&gt;"Sell"),(AA664-SUMIF(C$4:C663,C664,AC$4:AC664))/AB664,0),"")</f>
        <v>-7.4694020797227028</v>
      </c>
      <c r="W664" s="24" t="str">
        <f t="shared" si="87"/>
        <v/>
      </c>
      <c r="X664" s="25" t="str">
        <f t="shared" si="86"/>
        <v>Aberdeen Asia Pacific Income Fund_ACB</v>
      </c>
      <c r="Y664" s="10" t="str">
        <f>IF(S665&lt;&gt;eRRSP_Tx_Table[[#This Row],[Year]],SUMIFS($W$4:$W664,$S$4:$S664,eRRSP_Tx_Table[[#This Row],[Year]],$W$4:$W664,"&gt;0"),"")</f>
        <v/>
      </c>
      <c r="Z664" s="10" t="str">
        <f>IF(S665&lt;&gt;eRRSP_Tx_Table[[#This Row],[Year]],SUMIFS($W$4:$W664,$S$4:$S664,eRRSP_Tx_Table[[#This Row],[Year]],$W$4:$W664,"&lt;0"),"")</f>
        <v/>
      </c>
      <c r="AA664" s="3">
        <f>(SUMIF($U$4:$U664,CONCATENATE("Buy",$C664),$N$4:$N664)+SUMIF($U$4:$U664,CONCATENATE("ReinvDiv",$C664),$N$4:$N664))</f>
        <v>-8619.6899999999987</v>
      </c>
      <c r="AB664">
        <f>(SUMIF($U$4:$U664,CONCATENATE("Buy",$C664),$F$4:$F664)+SUMIF($U$4:$U664,CONCATENATE("ReinvDiv",$C664),$F$4:$F664)+SUMIF($U$4:$U664,CONCATENATE("StkSplit",$C664),$F$4:$F664)-SUMIF($U$4:$U664,CONCATENATE("Sell",$C664),$F$4:$F664))</f>
        <v>1154</v>
      </c>
      <c r="AC664" s="3">
        <f>IF(B664="Sell",F664*INDEX(V:V,LOOKUP(2,1/(X$4:X663=CONCATENATE(C664,"_ACB")),ROW(V$4:V663))),0)</f>
        <v>0</v>
      </c>
    </row>
    <row r="665" spans="1:29" x14ac:dyDescent="0.25">
      <c r="A665" s="20">
        <v>40345</v>
      </c>
      <c r="B665" t="s">
        <v>43</v>
      </c>
      <c r="C665" t="s">
        <v>36</v>
      </c>
      <c r="D665" s="3">
        <v>0.43</v>
      </c>
      <c r="J665">
        <v>72.19</v>
      </c>
      <c r="M665" s="21">
        <f t="shared" si="81"/>
        <v>0.43</v>
      </c>
      <c r="N665" s="8">
        <f t="shared" si="88"/>
        <v>0.43</v>
      </c>
      <c r="O665" s="25">
        <f t="shared" si="85"/>
        <v>17048.299999999945</v>
      </c>
      <c r="P665" s="8">
        <f t="shared" si="82"/>
        <v>0</v>
      </c>
      <c r="Q665" s="4">
        <f>IF(AND(S665&gt;=[1]eRRSP_Rpt!$C$6,S665&lt;=[1]eRRSP_Rpt!$C$7),1,0)</f>
        <v>1</v>
      </c>
      <c r="R665" s="4"/>
      <c r="S665" s="4">
        <f t="shared" si="89"/>
        <v>2010</v>
      </c>
      <c r="T665" s="4"/>
      <c r="U665" s="4" t="str">
        <f t="shared" si="83"/>
        <v>IntIncTDW</v>
      </c>
      <c r="V665" s="23">
        <f>IFERROR(IF(AND(AB665&gt;0,B665&lt;&gt;"Sell"),(AA665-SUMIF(C$4:C664,C665,AC$4:AC665))/AB665,0),"")</f>
        <v>0</v>
      </c>
      <c r="W665" s="24" t="str">
        <f t="shared" si="87"/>
        <v/>
      </c>
      <c r="X665" s="25" t="str">
        <f t="shared" si="86"/>
        <v/>
      </c>
      <c r="Y665" s="10" t="str">
        <f>IF(S666&lt;&gt;eRRSP_Tx_Table[[#This Row],[Year]],SUMIFS($W$4:$W665,$S$4:$S665,eRRSP_Tx_Table[[#This Row],[Year]],$W$4:$W665,"&gt;0"),"")</f>
        <v/>
      </c>
      <c r="Z665" s="10" t="str">
        <f>IF(S666&lt;&gt;eRRSP_Tx_Table[[#This Row],[Year]],SUMIFS($W$4:$W665,$S$4:$S665,eRRSP_Tx_Table[[#This Row],[Year]],$W$4:$W665,"&lt;0"),"")</f>
        <v/>
      </c>
      <c r="AA665" s="3">
        <f>(SUMIF($U$4:$U665,CONCATENATE("Buy",$C665),$N$4:$N665)+SUMIF($U$4:$U665,CONCATENATE("ReinvDiv",$C665),$N$4:$N665))</f>
        <v>0</v>
      </c>
      <c r="AB665">
        <f>(SUMIF($U$4:$U665,CONCATENATE("Buy",$C665),$F$4:$F665)+SUMIF($U$4:$U665,CONCATENATE("ReinvDiv",$C665),$F$4:$F665)+SUMIF($U$4:$U665,CONCATENATE("StkSplit",$C665),$F$4:$F665)-SUMIF($U$4:$U665,CONCATENATE("Sell",$C665),$F$4:$F665))</f>
        <v>0</v>
      </c>
      <c r="AC665" s="3">
        <f>IF(B665="Sell",F665*INDEX(V:V,LOOKUP(2,1/(X$4:X664=CONCATENATE(C665,"_ACB")),ROW(V$4:V664))),0)</f>
        <v>0</v>
      </c>
    </row>
    <row r="666" spans="1:29" x14ac:dyDescent="0.25">
      <c r="A666" s="20">
        <v>40358</v>
      </c>
      <c r="B666" t="s">
        <v>41</v>
      </c>
      <c r="C666" t="s">
        <v>97</v>
      </c>
      <c r="D666" s="3">
        <v>306.02999999999997</v>
      </c>
      <c r="E666">
        <f>eRRSP_Tx_Table[[#This Row],[Amount]]/eRRSP_Tx_Table[[#This Row],[Quantity]]</f>
        <v>7.8400881282984063</v>
      </c>
      <c r="F666" s="3">
        <v>39.033999999999999</v>
      </c>
      <c r="J666">
        <v>17.28</v>
      </c>
      <c r="M666" s="21">
        <f t="shared" si="81"/>
        <v>306.02999999999997</v>
      </c>
      <c r="N666" s="8">
        <f t="shared" si="88"/>
        <v>-306.02999999999997</v>
      </c>
      <c r="O666" s="25">
        <f t="shared" si="85"/>
        <v>17048.299999999945</v>
      </c>
      <c r="P666" s="8">
        <f t="shared" si="82"/>
        <v>0</v>
      </c>
      <c r="Q666" s="4">
        <f>IF(AND(S666&gt;=[1]eRRSP_Rpt!$C$6,S666&lt;=[1]eRRSP_Rpt!$C$7),1,0)</f>
        <v>1</v>
      </c>
      <c r="R666" s="4"/>
      <c r="S666" s="4">
        <f t="shared" si="89"/>
        <v>2010</v>
      </c>
      <c r="T666" s="4"/>
      <c r="U666" s="4" t="str">
        <f t="shared" si="83"/>
        <v>ReinvDivTD International Index - e</v>
      </c>
      <c r="V666" s="23">
        <f>IFERROR(IF(AND(AB666&gt;0,B666&lt;&gt;"Sell"),(AA666-SUMIF(C$4:C665,C666,AC$4:AC666))/AB666,0),"")</f>
        <v>-8.3339271479611945</v>
      </c>
      <c r="W666" s="24" t="str">
        <f t="shared" si="87"/>
        <v/>
      </c>
      <c r="X666" s="25" t="str">
        <f t="shared" si="86"/>
        <v>TD International Index - e_ACB</v>
      </c>
      <c r="Y666" s="10" t="str">
        <f>IF(S667&lt;&gt;eRRSP_Tx_Table[[#This Row],[Year]],SUMIFS($W$4:$W666,$S$4:$S666,eRRSP_Tx_Table[[#This Row],[Year]],$W$4:$W666,"&gt;0"),"")</f>
        <v/>
      </c>
      <c r="Z666" s="10" t="str">
        <f>IF(S667&lt;&gt;eRRSP_Tx_Table[[#This Row],[Year]],SUMIFS($W$4:$W666,$S$4:$S666,eRRSP_Tx_Table[[#This Row],[Year]],$W$4:$W666,"&lt;0"),"")</f>
        <v/>
      </c>
      <c r="AA666" s="3">
        <f>(SUMIF($U$4:$U666,CONCATENATE("Buy",$C666),$N$4:$N666)+SUMIF($U$4:$U666,CONCATENATE("ReinvDiv",$C666),$N$4:$N666))</f>
        <v>-26806.01</v>
      </c>
      <c r="AB666">
        <f>(SUMIF($U$4:$U666,CONCATENATE("Buy",$C666),$F$4:$F666)+SUMIF($U$4:$U666,CONCATENATE("ReinvDiv",$C666),$F$4:$F666)+SUMIF($U$4:$U666,CONCATENATE("StkSplit",$C666),$F$4:$F666)-SUMIF($U$4:$U666,CONCATENATE("Sell",$C666),$F$4:$F666))</f>
        <v>3216.4920000000002</v>
      </c>
      <c r="AC666" s="3">
        <f>IF(B666="Sell",F666*INDEX(V:V,LOOKUP(2,1/(X$4:X665=CONCATENATE(C666,"_ACB")),ROW(V$4:V665))),0)</f>
        <v>0</v>
      </c>
    </row>
    <row r="667" spans="1:29" x14ac:dyDescent="0.25">
      <c r="A667" s="20">
        <v>40358</v>
      </c>
      <c r="B667" t="s">
        <v>41</v>
      </c>
      <c r="C667" t="s">
        <v>62</v>
      </c>
      <c r="D667" s="3">
        <v>72.19</v>
      </c>
      <c r="E667">
        <v>15.7689</v>
      </c>
      <c r="F667" s="3">
        <v>4.5780000000000003</v>
      </c>
      <c r="J667">
        <v>0.35</v>
      </c>
      <c r="M667" s="21">
        <f t="shared" ref="M667:M732" si="90">ROUND(IF(OR(B667="Buy",B667="Sell"),E667*F667,D667),2)</f>
        <v>72.19</v>
      </c>
      <c r="N667" s="8">
        <f t="shared" si="88"/>
        <v>-72.19</v>
      </c>
      <c r="O667" s="25">
        <f t="shared" si="85"/>
        <v>17048.299999999945</v>
      </c>
      <c r="P667" s="8">
        <f t="shared" ref="P667:P732" si="91">IF(OR($B667="Cash"),$N667,0)</f>
        <v>0</v>
      </c>
      <c r="Q667" s="4">
        <f>IF(AND(S667&gt;=[1]eRRSP_Rpt!$C$6,S667&lt;=[1]eRRSP_Rpt!$C$7),1,0)</f>
        <v>1</v>
      </c>
      <c r="R667" s="4"/>
      <c r="S667" s="4">
        <f t="shared" si="89"/>
        <v>2010</v>
      </c>
      <c r="T667" s="4"/>
      <c r="U667" s="4" t="str">
        <f t="shared" ref="U667:U732" si="92">CONCATENATE(B667,C667)</f>
        <v>ReinvDivTD RR Bond</v>
      </c>
      <c r="V667" s="23">
        <f>IFERROR(IF(AND(AB667&gt;0,B667&lt;&gt;"Sell"),(AA667-SUMIF(C$4:C666,C667,AC$4:AC667))/AB667,0),"")</f>
        <v>-14.253591469616795</v>
      </c>
      <c r="W667" s="24" t="str">
        <f t="shared" si="87"/>
        <v/>
      </c>
      <c r="X667" s="25" t="str">
        <f t="shared" si="86"/>
        <v>TD RR Bond_ACB</v>
      </c>
      <c r="Y667" s="10" t="str">
        <f>IF(S668&lt;&gt;eRRSP_Tx_Table[[#This Row],[Year]],SUMIFS($W$4:$W667,$S$4:$S667,eRRSP_Tx_Table[[#This Row],[Year]],$W$4:$W667,"&gt;0"),"")</f>
        <v/>
      </c>
      <c r="Z667" s="10" t="str">
        <f>IF(S668&lt;&gt;eRRSP_Tx_Table[[#This Row],[Year]],SUMIFS($W$4:$W667,$S$4:$S667,eRRSP_Tx_Table[[#This Row],[Year]],$W$4:$W667,"&lt;0"),"")</f>
        <v/>
      </c>
      <c r="AA667" s="3">
        <f>(SUMIF($U$4:$U667,CONCATENATE("Buy",$C667),$N$4:$N667)+SUMIF($U$4:$U667,CONCATENATE("ReinvDiv",$C667),$N$4:$N667))</f>
        <v>-9977.4</v>
      </c>
      <c r="AB667">
        <f>(SUMIF($U$4:$U667,CONCATENATE("Buy",$C667),$F$4:$F667)+SUMIF($U$4:$U667,CONCATENATE("ReinvDiv",$C667),$F$4:$F667)+SUMIF($U$4:$U667,CONCATENATE("StkSplit",$C667),$F$4:$F667)-SUMIF($U$4:$U667,CONCATENATE("Sell",$C667),$F$4:$F667))</f>
        <v>699.99199999999996</v>
      </c>
      <c r="AC667" s="3">
        <f>IF(B667="Sell",F667*INDEX(V:V,LOOKUP(2,1/(X$4:X666=CONCATENATE(C667,"_ACB")),ROW(V$4:V666))),0)</f>
        <v>0</v>
      </c>
    </row>
    <row r="668" spans="1:29" x14ac:dyDescent="0.25">
      <c r="A668" s="20">
        <v>40359</v>
      </c>
      <c r="B668" t="s">
        <v>42</v>
      </c>
      <c r="C668" t="s">
        <v>90</v>
      </c>
      <c r="D668" s="3">
        <v>17.28</v>
      </c>
      <c r="J668">
        <v>42.04</v>
      </c>
      <c r="M668" s="21">
        <f t="shared" si="90"/>
        <v>17.28</v>
      </c>
      <c r="N668" s="8">
        <f t="shared" si="88"/>
        <v>17.28</v>
      </c>
      <c r="O668" s="25">
        <f t="shared" si="85"/>
        <v>17065.579999999944</v>
      </c>
      <c r="P668" s="8">
        <f t="shared" si="91"/>
        <v>0</v>
      </c>
      <c r="Q668" s="4">
        <f>IF(AND(S668&gt;=[1]eRRSP_Rpt!$C$6,S668&lt;=[1]eRRSP_Rpt!$C$7),1,0)</f>
        <v>1</v>
      </c>
      <c r="R668" s="4"/>
      <c r="S668" s="4">
        <f t="shared" si="89"/>
        <v>2010</v>
      </c>
      <c r="T668" s="4"/>
      <c r="U668" s="4" t="str">
        <f t="shared" si="92"/>
        <v>DivVanguard Large Cap ETF</v>
      </c>
      <c r="V668" s="23">
        <f>IFERROR(IF(AND(AB668&gt;0,B668&lt;&gt;"Sell"),(AA668-SUMIF(C$4:C667,C668,AC$4:AC668))/AB668,0),"")</f>
        <v>-74.401142857142858</v>
      </c>
      <c r="W668" s="24" t="str">
        <f t="shared" si="87"/>
        <v/>
      </c>
      <c r="X668" s="25" t="str">
        <f t="shared" si="86"/>
        <v>Vanguard Large Cap ETF_ACB</v>
      </c>
      <c r="Y668" s="10" t="str">
        <f>IF(S669&lt;&gt;eRRSP_Tx_Table[[#This Row],[Year]],SUMIFS($W$4:$W668,$S$4:$S668,eRRSP_Tx_Table[[#This Row],[Year]],$W$4:$W668,"&gt;0"),"")</f>
        <v/>
      </c>
      <c r="Z668" s="10" t="str">
        <f>IF(S669&lt;&gt;eRRSP_Tx_Table[[#This Row],[Year]],SUMIFS($W$4:$W668,$S$4:$S668,eRRSP_Tx_Table[[#This Row],[Year]],$W$4:$W668,"&lt;0"),"")</f>
        <v/>
      </c>
      <c r="AA668" s="3">
        <f>(SUMIF($U$4:$U668,CONCATENATE("Buy",$C668),$N$4:$N668)+SUMIF($U$4:$U668,CONCATENATE("ReinvDiv",$C668),$N$4:$N668))</f>
        <v>-5208.08</v>
      </c>
      <c r="AB668">
        <f>(SUMIF($U$4:$U668,CONCATENATE("Buy",$C668),$F$4:$F668)+SUMIF($U$4:$U668,CONCATENATE("ReinvDiv",$C668),$F$4:$F668)+SUMIF($U$4:$U668,CONCATENATE("StkSplit",$C668),$F$4:$F668)-SUMIF($U$4:$U668,CONCATENATE("Sell",$C668),$F$4:$F668))</f>
        <v>70</v>
      </c>
      <c r="AC668" s="3">
        <f>IF(B668="Sell",F668*INDEX(V:V,LOOKUP(2,1/(X$4:X667=CONCATENATE(C668,"_ACB")),ROW(V$4:V667))),0)</f>
        <v>0</v>
      </c>
    </row>
    <row r="669" spans="1:29" x14ac:dyDescent="0.25">
      <c r="A669" s="20">
        <v>40375</v>
      </c>
      <c r="B669" t="s">
        <v>43</v>
      </c>
      <c r="C669" t="s">
        <v>36</v>
      </c>
      <c r="D669" s="3">
        <v>0.35</v>
      </c>
      <c r="J669">
        <v>486.5</v>
      </c>
      <c r="M669" s="21">
        <f t="shared" si="90"/>
        <v>0.35</v>
      </c>
      <c r="N669" s="8">
        <f t="shared" si="88"/>
        <v>0.35</v>
      </c>
      <c r="O669" s="25">
        <f t="shared" si="85"/>
        <v>17065.929999999942</v>
      </c>
      <c r="P669" s="8">
        <f t="shared" si="91"/>
        <v>0</v>
      </c>
      <c r="Q669" s="4">
        <f>IF(AND(S669&gt;=[1]eRRSP_Rpt!$C$6,S669&lt;=[1]eRRSP_Rpt!$C$7),1,0)</f>
        <v>1</v>
      </c>
      <c r="R669" s="4"/>
      <c r="S669" s="4">
        <f t="shared" si="89"/>
        <v>2010</v>
      </c>
      <c r="T669" s="4"/>
      <c r="U669" s="4" t="str">
        <f t="shared" si="92"/>
        <v>IntIncTDW</v>
      </c>
      <c r="V669" s="23">
        <f>IFERROR(IF(AND(AB669&gt;0,B669&lt;&gt;"Sell"),(AA669-SUMIF(C$4:C668,C669,AC$4:AC669))/AB669,0),"")</f>
        <v>0</v>
      </c>
      <c r="W669" s="24" t="str">
        <f t="shared" si="87"/>
        <v/>
      </c>
      <c r="X669" s="25" t="str">
        <f t="shared" si="86"/>
        <v/>
      </c>
      <c r="Y669" s="10" t="str">
        <f>IF(S670&lt;&gt;eRRSP_Tx_Table[[#This Row],[Year]],SUMIFS($W$4:$W669,$S$4:$S669,eRRSP_Tx_Table[[#This Row],[Year]],$W$4:$W669,"&gt;0"),"")</f>
        <v/>
      </c>
      <c r="Z669" s="10" t="str">
        <f>IF(S670&lt;&gt;eRRSP_Tx_Table[[#This Row],[Year]],SUMIFS($W$4:$W669,$S$4:$S669,eRRSP_Tx_Table[[#This Row],[Year]],$W$4:$W669,"&lt;0"),"")</f>
        <v/>
      </c>
      <c r="AA669" s="3">
        <f>(SUMIF($U$4:$U669,CONCATENATE("Buy",$C669),$N$4:$N669)+SUMIF($U$4:$U669,CONCATENATE("ReinvDiv",$C669),$N$4:$N669))</f>
        <v>0</v>
      </c>
      <c r="AB669">
        <f>(SUMIF($U$4:$U669,CONCATENATE("Buy",$C669),$F$4:$F669)+SUMIF($U$4:$U669,CONCATENATE("ReinvDiv",$C669),$F$4:$F669)+SUMIF($U$4:$U669,CONCATENATE("StkSplit",$C669),$F$4:$F669)-SUMIF($U$4:$U669,CONCATENATE("Sell",$C669),$F$4:$F669))</f>
        <v>0</v>
      </c>
      <c r="AC669" s="3">
        <f>IF(B669="Sell",F669*INDEX(V:V,LOOKUP(2,1/(X$4:X668=CONCATENATE(C669,"_ACB")),ROW(V$4:V668))),0)</f>
        <v>0</v>
      </c>
    </row>
    <row r="670" spans="1:29" x14ac:dyDescent="0.25">
      <c r="A670" s="20">
        <v>40375</v>
      </c>
      <c r="B670" t="s">
        <v>42</v>
      </c>
      <c r="C670" t="s">
        <v>87</v>
      </c>
      <c r="D670" s="3">
        <v>42.04</v>
      </c>
      <c r="J670">
        <v>0.76</v>
      </c>
      <c r="M670" s="21">
        <f t="shared" si="90"/>
        <v>42.04</v>
      </c>
      <c r="N670" s="8">
        <f t="shared" si="88"/>
        <v>42.04</v>
      </c>
      <c r="O670" s="25">
        <f t="shared" si="85"/>
        <v>17107.969999999943</v>
      </c>
      <c r="P670" s="8">
        <f t="shared" si="91"/>
        <v>0</v>
      </c>
      <c r="Q670" s="4">
        <f>IF(AND(S670&gt;=[1]eRRSP_Rpt!$C$6,S670&lt;=[1]eRRSP_Rpt!$C$7),1,0)</f>
        <v>1</v>
      </c>
      <c r="R670" s="4"/>
      <c r="S670" s="4">
        <f t="shared" si="89"/>
        <v>2010</v>
      </c>
      <c r="T670" s="4"/>
      <c r="U670" s="4" t="str">
        <f t="shared" si="92"/>
        <v>DivAberdeen Asia Pacific Income Fund</v>
      </c>
      <c r="V670" s="23">
        <f>IFERROR(IF(AND(AB670&gt;0,B670&lt;&gt;"Sell"),(AA670-SUMIF(C$4:C669,C670,AC$4:AC670))/AB670,0),"")</f>
        <v>-7.4694020797227028</v>
      </c>
      <c r="W670" s="24" t="str">
        <f t="shared" si="87"/>
        <v/>
      </c>
      <c r="X670" s="25" t="str">
        <f t="shared" si="86"/>
        <v>Aberdeen Asia Pacific Income Fund_ACB</v>
      </c>
      <c r="Y670" s="10" t="str">
        <f>IF(S671&lt;&gt;eRRSP_Tx_Table[[#This Row],[Year]],SUMIFS($W$4:$W670,$S$4:$S670,eRRSP_Tx_Table[[#This Row],[Year]],$W$4:$W670,"&gt;0"),"")</f>
        <v/>
      </c>
      <c r="Z670" s="10" t="str">
        <f>IF(S671&lt;&gt;eRRSP_Tx_Table[[#This Row],[Year]],SUMIFS($W$4:$W670,$S$4:$S670,eRRSP_Tx_Table[[#This Row],[Year]],$W$4:$W670,"&lt;0"),"")</f>
        <v/>
      </c>
      <c r="AA670" s="3">
        <f>(SUMIF($U$4:$U670,CONCATENATE("Buy",$C670),$N$4:$N670)+SUMIF($U$4:$U670,CONCATENATE("ReinvDiv",$C670),$N$4:$N670))</f>
        <v>-8619.6899999999987</v>
      </c>
      <c r="AB670">
        <f>(SUMIF($U$4:$U670,CONCATENATE("Buy",$C670),$F$4:$F670)+SUMIF($U$4:$U670,CONCATENATE("ReinvDiv",$C670),$F$4:$F670)+SUMIF($U$4:$U670,CONCATENATE("StkSplit",$C670),$F$4:$F670)-SUMIF($U$4:$U670,CONCATENATE("Sell",$C670),$F$4:$F670))</f>
        <v>1154</v>
      </c>
      <c r="AC670" s="3">
        <f>IF(B670="Sell",F670*INDEX(V:V,LOOKUP(2,1/(X$4:X669=CONCATENATE(C670,"_ACB")),ROW(V$4:V669))),0)</f>
        <v>0</v>
      </c>
    </row>
    <row r="671" spans="1:29" x14ac:dyDescent="0.25">
      <c r="A671" s="20">
        <v>40385</v>
      </c>
      <c r="B671" t="s">
        <v>43</v>
      </c>
      <c r="C671" t="s">
        <v>94</v>
      </c>
      <c r="D671" s="3">
        <v>486.5</v>
      </c>
      <c r="J671">
        <v>12.2</v>
      </c>
      <c r="M671" s="21">
        <f t="shared" si="90"/>
        <v>486.5</v>
      </c>
      <c r="N671" s="8">
        <f t="shared" si="88"/>
        <v>486.5</v>
      </c>
      <c r="O671" s="25">
        <f t="shared" si="85"/>
        <v>17594.469999999943</v>
      </c>
      <c r="P671" s="8">
        <f t="shared" si="91"/>
        <v>0</v>
      </c>
      <c r="Q671" s="4">
        <f>IF(AND(S671&gt;=[1]eRRSP_Rpt!$C$6,S671&lt;=[1]eRRSP_Rpt!$C$7),1,0)</f>
        <v>1</v>
      </c>
      <c r="R671" s="4"/>
      <c r="S671" s="4">
        <f t="shared" si="89"/>
        <v>2010</v>
      </c>
      <c r="T671" s="4"/>
      <c r="U671" s="4" t="str">
        <f t="shared" si="92"/>
        <v>IntIncAIMIA SER-3  6.95% 26JA17</v>
      </c>
      <c r="V671" s="23">
        <f>IFERROR(IF(AND(AB671&gt;0,B671&lt;&gt;"Sell"),(AA671-SUMIF(C$4:C670,C671,AC$4:AC671))/AB671,0),"")</f>
        <v>-1.0346899999999999</v>
      </c>
      <c r="W671" s="24" t="str">
        <f t="shared" si="87"/>
        <v/>
      </c>
      <c r="X671" s="25" t="str">
        <f t="shared" si="86"/>
        <v>AIMIA SER-3  6.95% 26JA17_ACB</v>
      </c>
      <c r="Y671" s="10" t="str">
        <f>IF(S672&lt;&gt;eRRSP_Tx_Table[[#This Row],[Year]],SUMIFS($W$4:$W671,$S$4:$S671,eRRSP_Tx_Table[[#This Row],[Year]],$W$4:$W671,"&gt;0"),"")</f>
        <v/>
      </c>
      <c r="Z671" s="10" t="str">
        <f>IF(S672&lt;&gt;eRRSP_Tx_Table[[#This Row],[Year]],SUMIFS($W$4:$W671,$S$4:$S671,eRRSP_Tx_Table[[#This Row],[Year]],$W$4:$W671,"&lt;0"),"")</f>
        <v/>
      </c>
      <c r="AA671" s="3">
        <f>(SUMIF($U$4:$U671,CONCATENATE("Buy",$C671),$N$4:$N671)+SUMIF($U$4:$U671,CONCATENATE("ReinvDiv",$C671),$N$4:$N671))</f>
        <v>-14485.66</v>
      </c>
      <c r="AB671">
        <f>(SUMIF($U$4:$U671,CONCATENATE("Buy",$C671),$F$4:$F671)+SUMIF($U$4:$U671,CONCATENATE("ReinvDiv",$C671),$F$4:$F671)+SUMIF($U$4:$U671,CONCATENATE("StkSplit",$C671),$F$4:$F671)-SUMIF($U$4:$U671,CONCATENATE("Sell",$C671),$F$4:$F671))</f>
        <v>14000</v>
      </c>
      <c r="AC671" s="3">
        <f>IF(B671="Sell",F671*INDEX(V:V,LOOKUP(2,1/(X$4:X670=CONCATENATE(C671,"_ACB")),ROW(V$4:V670))),0)</f>
        <v>0</v>
      </c>
    </row>
    <row r="672" spans="1:29" x14ac:dyDescent="0.25">
      <c r="A672" s="20">
        <v>40390</v>
      </c>
      <c r="B672" t="s">
        <v>42</v>
      </c>
      <c r="C672" t="s">
        <v>47</v>
      </c>
      <c r="D672" s="3">
        <v>0.76</v>
      </c>
      <c r="J672">
        <v>42.18</v>
      </c>
      <c r="M672" s="21">
        <f t="shared" si="90"/>
        <v>0.76</v>
      </c>
      <c r="N672" s="8">
        <f t="shared" si="88"/>
        <v>0.76</v>
      </c>
      <c r="O672" s="25">
        <f t="shared" si="85"/>
        <v>17595.229999999941</v>
      </c>
      <c r="P672" s="8">
        <f t="shared" si="91"/>
        <v>0</v>
      </c>
      <c r="Q672" s="4">
        <f>IF(AND(S672&gt;=[1]eRRSP_Rpt!$C$6,S672&lt;=[1]eRRSP_Rpt!$C$7),1,0)</f>
        <v>1</v>
      </c>
      <c r="R672" s="4"/>
      <c r="S672" s="4">
        <f t="shared" si="89"/>
        <v>2010</v>
      </c>
      <c r="T672" s="4"/>
      <c r="U672" s="4" t="str">
        <f t="shared" si="92"/>
        <v>DivBombardier</v>
      </c>
      <c r="V672" s="23">
        <f>IFERROR(IF(AND(AB672&gt;0,B672&lt;&gt;"Sell"),(AA672-SUMIF(C$4:C671,C672,AC$4:AC672))/AB672,0),"")</f>
        <v>-23.216666666666665</v>
      </c>
      <c r="W672" s="24" t="str">
        <f t="shared" si="87"/>
        <v/>
      </c>
      <c r="X672" s="25" t="str">
        <f t="shared" si="86"/>
        <v>Bombardier_ACB</v>
      </c>
      <c r="Y672" s="10" t="str">
        <f>IF(S673&lt;&gt;eRRSP_Tx_Table[[#This Row],[Year]],SUMIFS($W$4:$W672,$S$4:$S672,eRRSP_Tx_Table[[#This Row],[Year]],$W$4:$W672,"&gt;0"),"")</f>
        <v/>
      </c>
      <c r="Z672" s="10" t="str">
        <f>IF(S673&lt;&gt;eRRSP_Tx_Table[[#This Row],[Year]],SUMIFS($W$4:$W672,$S$4:$S672,eRRSP_Tx_Table[[#This Row],[Year]],$W$4:$W672,"&lt;0"),"")</f>
        <v/>
      </c>
      <c r="AA672" s="3">
        <f>(SUMIF($U$4:$U672,CONCATENATE("Buy",$C672),$N$4:$N672)+SUMIF($U$4:$U672,CONCATENATE("ReinvDiv",$C672),$N$4:$N672))</f>
        <v>-696.5</v>
      </c>
      <c r="AB672">
        <f>(SUMIF($U$4:$U672,CONCATENATE("Buy",$C672),$F$4:$F672)+SUMIF($U$4:$U672,CONCATENATE("ReinvDiv",$C672),$F$4:$F672)+SUMIF($U$4:$U672,CONCATENATE("StkSplit",$C672),$F$4:$F672)-SUMIF($U$4:$U672,CONCATENATE("Sell",$C672),$F$4:$F672))</f>
        <v>30</v>
      </c>
      <c r="AC672" s="3">
        <f>IF(B672="Sell",F672*INDEX(V:V,LOOKUP(2,1/(X$4:X671=CONCATENATE(C672,"_ACB")),ROW(V$4:V671))),0)</f>
        <v>0</v>
      </c>
    </row>
    <row r="673" spans="1:29" x14ac:dyDescent="0.25">
      <c r="A673" s="20">
        <v>40390</v>
      </c>
      <c r="B673" t="s">
        <v>42</v>
      </c>
      <c r="C673" t="s">
        <v>45</v>
      </c>
      <c r="D673" s="3">
        <v>12.2</v>
      </c>
      <c r="J673">
        <v>0.37</v>
      </c>
      <c r="M673" s="21">
        <f t="shared" si="90"/>
        <v>12.2</v>
      </c>
      <c r="N673" s="8">
        <f t="shared" si="88"/>
        <v>12.2</v>
      </c>
      <c r="O673" s="25">
        <f t="shared" si="85"/>
        <v>17607.429999999942</v>
      </c>
      <c r="P673" s="8">
        <f t="shared" si="91"/>
        <v>0</v>
      </c>
      <c r="Q673" s="4">
        <f>IF(AND(S673&gt;=[1]eRRSP_Rpt!$C$6,S673&lt;=[1]eRRSP_Rpt!$C$7),1,0)</f>
        <v>1</v>
      </c>
      <c r="R673" s="4"/>
      <c r="S673" s="4">
        <f t="shared" si="89"/>
        <v>2010</v>
      </c>
      <c r="T673" s="4"/>
      <c r="U673" s="4" t="str">
        <f t="shared" si="92"/>
        <v>DivTD Bank</v>
      </c>
      <c r="V673" s="23">
        <f>IFERROR(IF(AND(AB673&gt;0,B673&lt;&gt;"Sell"),(AA673-SUMIF(C$4:C672,C673,AC$4:AC673))/AB673,0),"")</f>
        <v>-44.29</v>
      </c>
      <c r="W673" s="24" t="str">
        <f t="shared" si="87"/>
        <v/>
      </c>
      <c r="X673" s="25" t="str">
        <f t="shared" si="86"/>
        <v>TD Bank_ACB</v>
      </c>
      <c r="Y673" s="10" t="str">
        <f>IF(S674&lt;&gt;eRRSP_Tx_Table[[#This Row],[Year]],SUMIFS($W$4:$W673,$S$4:$S673,eRRSP_Tx_Table[[#This Row],[Year]],$W$4:$W673,"&gt;0"),"")</f>
        <v/>
      </c>
      <c r="Z673" s="10" t="str">
        <f>IF(S674&lt;&gt;eRRSP_Tx_Table[[#This Row],[Year]],SUMIFS($W$4:$W673,$S$4:$S673,eRRSP_Tx_Table[[#This Row],[Year]],$W$4:$W673,"&lt;0"),"")</f>
        <v/>
      </c>
      <c r="AA673" s="3">
        <f>(SUMIF($U$4:$U673,CONCATENATE("Buy",$C673),$N$4:$N673)+SUMIF($U$4:$U673,CONCATENATE("ReinvDiv",$C673),$N$4:$N673))</f>
        <v>-885.8</v>
      </c>
      <c r="AB673">
        <f>(SUMIF($U$4:$U673,CONCATENATE("Buy",$C673),$F$4:$F673)+SUMIF($U$4:$U673,CONCATENATE("ReinvDiv",$C673),$F$4:$F673)+SUMIF($U$4:$U673,CONCATENATE("StkSplit",$C673),$F$4:$F673)-SUMIF($U$4:$U673,CONCATENATE("Sell",$C673),$F$4:$F673))</f>
        <v>20</v>
      </c>
      <c r="AC673" s="3">
        <f>IF(B673="Sell",F673*INDEX(V:V,LOOKUP(2,1/(X$4:X672=CONCATENATE(C673,"_ACB")),ROW(V$4:V672))),0)</f>
        <v>0</v>
      </c>
    </row>
    <row r="674" spans="1:29" x14ac:dyDescent="0.25">
      <c r="A674" s="20">
        <v>40403</v>
      </c>
      <c r="B674" t="s">
        <v>42</v>
      </c>
      <c r="C674" t="s">
        <v>87</v>
      </c>
      <c r="D674" s="3">
        <v>42.18</v>
      </c>
      <c r="J674">
        <v>73.52</v>
      </c>
      <c r="M674" s="21">
        <f t="shared" si="90"/>
        <v>42.18</v>
      </c>
      <c r="N674" s="8">
        <f t="shared" si="88"/>
        <v>42.18</v>
      </c>
      <c r="O674" s="25">
        <f t="shared" si="85"/>
        <v>17649.609999999942</v>
      </c>
      <c r="P674" s="8">
        <f t="shared" si="91"/>
        <v>0</v>
      </c>
      <c r="Q674" s="4">
        <f>IF(AND(S674&gt;=[1]eRRSP_Rpt!$C$6,S674&lt;=[1]eRRSP_Rpt!$C$7),1,0)</f>
        <v>1</v>
      </c>
      <c r="R674" s="4"/>
      <c r="S674" s="4">
        <f t="shared" si="89"/>
        <v>2010</v>
      </c>
      <c r="T674" s="4"/>
      <c r="U674" s="4" t="str">
        <f t="shared" si="92"/>
        <v>DivAberdeen Asia Pacific Income Fund</v>
      </c>
      <c r="V674" s="23">
        <f>IFERROR(IF(AND(AB674&gt;0,B674&lt;&gt;"Sell"),(AA674-SUMIF(C$4:C673,C674,AC$4:AC674))/AB674,0),"")</f>
        <v>-7.4694020797227028</v>
      </c>
      <c r="W674" s="24" t="str">
        <f t="shared" si="87"/>
        <v/>
      </c>
      <c r="X674" s="25" t="str">
        <f t="shared" si="86"/>
        <v>Aberdeen Asia Pacific Income Fund_ACB</v>
      </c>
      <c r="Y674" s="10" t="str">
        <f>IF(S675&lt;&gt;eRRSP_Tx_Table[[#This Row],[Year]],SUMIFS($W$4:$W674,$S$4:$S674,eRRSP_Tx_Table[[#This Row],[Year]],$W$4:$W674,"&gt;0"),"")</f>
        <v/>
      </c>
      <c r="Z674" s="10" t="str">
        <f>IF(S675&lt;&gt;eRRSP_Tx_Table[[#This Row],[Year]],SUMIFS($W$4:$W674,$S$4:$S674,eRRSP_Tx_Table[[#This Row],[Year]],$W$4:$W674,"&lt;0"),"")</f>
        <v/>
      </c>
      <c r="AA674" s="3">
        <f>(SUMIF($U$4:$U674,CONCATENATE("Buy",$C674),$N$4:$N674)+SUMIF($U$4:$U674,CONCATENATE("ReinvDiv",$C674),$N$4:$N674))</f>
        <v>-8619.6899999999987</v>
      </c>
      <c r="AB674">
        <f>(SUMIF($U$4:$U674,CONCATENATE("Buy",$C674),$F$4:$F674)+SUMIF($U$4:$U674,CONCATENATE("ReinvDiv",$C674),$F$4:$F674)+SUMIF($U$4:$U674,CONCATENATE("StkSplit",$C674),$F$4:$F674)-SUMIF($U$4:$U674,CONCATENATE("Sell",$C674),$F$4:$F674))</f>
        <v>1154</v>
      </c>
      <c r="AC674" s="3">
        <f>IF(B674="Sell",F674*INDEX(V:V,LOOKUP(2,1/(X$4:X673=CONCATENATE(C674,"_ACB")),ROW(V$4:V673))),0)</f>
        <v>0</v>
      </c>
    </row>
    <row r="675" spans="1:29" x14ac:dyDescent="0.25">
      <c r="A675" s="20">
        <v>40406</v>
      </c>
      <c r="B675" t="s">
        <v>43</v>
      </c>
      <c r="C675" t="s">
        <v>36</v>
      </c>
      <c r="D675" s="3">
        <v>0.37</v>
      </c>
      <c r="J675">
        <v>41.78</v>
      </c>
      <c r="M675" s="21">
        <f t="shared" si="90"/>
        <v>0.37</v>
      </c>
      <c r="N675" s="8">
        <f t="shared" si="88"/>
        <v>0.37</v>
      </c>
      <c r="O675" s="25">
        <f t="shared" si="85"/>
        <v>17649.979999999941</v>
      </c>
      <c r="P675" s="8">
        <f t="shared" si="91"/>
        <v>0</v>
      </c>
      <c r="Q675" s="4">
        <f>IF(AND(S675&gt;=[1]eRRSP_Rpt!$C$6,S675&lt;=[1]eRRSP_Rpt!$C$7),1,0)</f>
        <v>1</v>
      </c>
      <c r="R675" s="4"/>
      <c r="S675" s="4">
        <f t="shared" si="89"/>
        <v>2010</v>
      </c>
      <c r="T675" s="4"/>
      <c r="U675" s="4" t="str">
        <f t="shared" si="92"/>
        <v>IntIncTDW</v>
      </c>
      <c r="V675" s="23">
        <f>IFERROR(IF(AND(AB675&gt;0,B675&lt;&gt;"Sell"),(AA675-SUMIF(C$4:C674,C675,AC$4:AC675))/AB675,0),"")</f>
        <v>0</v>
      </c>
      <c r="W675" s="24" t="str">
        <f t="shared" si="87"/>
        <v/>
      </c>
      <c r="X675" s="25" t="str">
        <f t="shared" si="86"/>
        <v/>
      </c>
      <c r="Y675" s="10" t="str">
        <f>IF(S676&lt;&gt;eRRSP_Tx_Table[[#This Row],[Year]],SUMIFS($W$4:$W675,$S$4:$S675,eRRSP_Tx_Table[[#This Row],[Year]],$W$4:$W675,"&gt;0"),"")</f>
        <v/>
      </c>
      <c r="Z675" s="10" t="str">
        <f>IF(S676&lt;&gt;eRRSP_Tx_Table[[#This Row],[Year]],SUMIFS($W$4:$W675,$S$4:$S675,eRRSP_Tx_Table[[#This Row],[Year]],$W$4:$W675,"&lt;0"),"")</f>
        <v/>
      </c>
      <c r="AA675" s="3">
        <f>(SUMIF($U$4:$U675,CONCATENATE("Buy",$C675),$N$4:$N675)+SUMIF($U$4:$U675,CONCATENATE("ReinvDiv",$C675),$N$4:$N675))</f>
        <v>0</v>
      </c>
      <c r="AB675">
        <f>(SUMIF($U$4:$U675,CONCATENATE("Buy",$C675),$F$4:$F675)+SUMIF($U$4:$U675,CONCATENATE("ReinvDiv",$C675),$F$4:$F675)+SUMIF($U$4:$U675,CONCATENATE("StkSplit",$C675),$F$4:$F675)-SUMIF($U$4:$U675,CONCATENATE("Sell",$C675),$F$4:$F675))</f>
        <v>0</v>
      </c>
      <c r="AC675" s="3">
        <f>IF(B675="Sell",F675*INDEX(V:V,LOOKUP(2,1/(X$4:X674=CONCATENATE(C675,"_ACB")),ROW(V$4:V674))),0)</f>
        <v>0</v>
      </c>
    </row>
    <row r="676" spans="1:29" x14ac:dyDescent="0.25">
      <c r="A676" s="20">
        <v>40422</v>
      </c>
      <c r="B676" t="s">
        <v>42</v>
      </c>
      <c r="C676" t="s">
        <v>33</v>
      </c>
      <c r="D676" s="3">
        <v>73.52</v>
      </c>
      <c r="J676">
        <v>0.37</v>
      </c>
      <c r="M676" s="21">
        <f t="shared" si="90"/>
        <v>73.52</v>
      </c>
      <c r="N676" s="8">
        <f t="shared" si="88"/>
        <v>73.52</v>
      </c>
      <c r="O676" s="25">
        <f t="shared" si="85"/>
        <v>17723.499999999942</v>
      </c>
      <c r="P676" s="8">
        <f t="shared" si="91"/>
        <v>0</v>
      </c>
      <c r="Q676" s="4">
        <f>IF(AND(S676&gt;=[1]eRRSP_Rpt!$C$6,S676&lt;=[1]eRRSP_Rpt!$C$7),1,0)</f>
        <v>1</v>
      </c>
      <c r="R676" s="4"/>
      <c r="S676" s="4">
        <f t="shared" si="89"/>
        <v>2010</v>
      </c>
      <c r="T676" s="4"/>
      <c r="U676" s="4" t="str">
        <f t="shared" si="92"/>
        <v>DivEnbridge</v>
      </c>
      <c r="V676" s="23">
        <f>IFERROR(IF(AND(AB676&gt;0,B676&lt;&gt;"Sell"),(AA676-SUMIF(C$4:C675,C676,AC$4:AC676))/AB676,0),"")</f>
        <v>-33.963578195247266</v>
      </c>
      <c r="W676" s="24" t="str">
        <f t="shared" si="87"/>
        <v/>
      </c>
      <c r="X676" s="25" t="str">
        <f t="shared" si="86"/>
        <v>Enbridge_ACB</v>
      </c>
      <c r="Y676" s="10" t="str">
        <f>IF(S677&lt;&gt;eRRSP_Tx_Table[[#This Row],[Year]],SUMIFS($W$4:$W676,$S$4:$S676,eRRSP_Tx_Table[[#This Row],[Year]],$W$4:$W676,"&gt;0"),"")</f>
        <v/>
      </c>
      <c r="Z676" s="10" t="str">
        <f>IF(S677&lt;&gt;eRRSP_Tx_Table[[#This Row],[Year]],SUMIFS($W$4:$W676,$S$4:$S676,eRRSP_Tx_Table[[#This Row],[Year]],$W$4:$W676,"&lt;0"),"")</f>
        <v/>
      </c>
      <c r="AA676" s="3">
        <f>(SUMIF($U$4:$U676,CONCATENATE("Buy",$C676),$N$4:$N676)+SUMIF($U$4:$U676,CONCATENATE("ReinvDiv",$C676),$N$4:$N676))</f>
        <v>-6788.69</v>
      </c>
      <c r="AB676">
        <f>(SUMIF($U$4:$U676,CONCATENATE("Buy",$C676),$F$4:$F676)+SUMIF($U$4:$U676,CONCATENATE("ReinvDiv",$C676),$F$4:$F676)+SUMIF($U$4:$U676,CONCATENATE("StkSplit",$C676),$F$4:$F676)-SUMIF($U$4:$U676,CONCATENATE("Sell",$C676),$F$4:$F676))</f>
        <v>173</v>
      </c>
      <c r="AC676" s="3">
        <f>IF(B676="Sell",F676*INDEX(V:V,LOOKUP(2,1/(X$4:X675=CONCATENATE(C676,"_ACB")),ROW(V$4:V675))),0)</f>
        <v>0</v>
      </c>
    </row>
    <row r="677" spans="1:29" x14ac:dyDescent="0.25">
      <c r="A677" s="20">
        <v>40431</v>
      </c>
      <c r="B677" t="s">
        <v>42</v>
      </c>
      <c r="C677" t="s">
        <v>87</v>
      </c>
      <c r="D677" s="3">
        <v>41.78</v>
      </c>
      <c r="J677">
        <v>144.91999999999999</v>
      </c>
      <c r="M677" s="21">
        <f t="shared" si="90"/>
        <v>41.78</v>
      </c>
      <c r="N677" s="8">
        <f t="shared" si="88"/>
        <v>41.78</v>
      </c>
      <c r="O677" s="25">
        <f t="shared" si="85"/>
        <v>17765.279999999941</v>
      </c>
      <c r="P677" s="8">
        <f t="shared" si="91"/>
        <v>0</v>
      </c>
      <c r="Q677" s="4">
        <f>IF(AND(S677&gt;=[1]eRRSP_Rpt!$C$6,S677&lt;=[1]eRRSP_Rpt!$C$7),1,0)</f>
        <v>1</v>
      </c>
      <c r="R677" s="4"/>
      <c r="S677" s="4">
        <f t="shared" si="89"/>
        <v>2010</v>
      </c>
      <c r="T677" s="4"/>
      <c r="U677" s="4" t="str">
        <f t="shared" si="92"/>
        <v>DivAberdeen Asia Pacific Income Fund</v>
      </c>
      <c r="V677" s="23">
        <f>IFERROR(IF(AND(AB677&gt;0,B677&lt;&gt;"Sell"),(AA677-SUMIF(C$4:C676,C677,AC$4:AC677))/AB677,0),"")</f>
        <v>-7.4694020797227028</v>
      </c>
      <c r="W677" s="24" t="str">
        <f t="shared" si="87"/>
        <v/>
      </c>
      <c r="X677" s="25" t="str">
        <f t="shared" si="86"/>
        <v>Aberdeen Asia Pacific Income Fund_ACB</v>
      </c>
      <c r="Y677" s="10" t="str">
        <f>IF(S678&lt;&gt;eRRSP_Tx_Table[[#This Row],[Year]],SUMIFS($W$4:$W677,$S$4:$S677,eRRSP_Tx_Table[[#This Row],[Year]],$W$4:$W677,"&gt;0"),"")</f>
        <v/>
      </c>
      <c r="Z677" s="10" t="str">
        <f>IF(S678&lt;&gt;eRRSP_Tx_Table[[#This Row],[Year]],SUMIFS($W$4:$W677,$S$4:$S677,eRRSP_Tx_Table[[#This Row],[Year]],$W$4:$W677,"&lt;0"),"")</f>
        <v/>
      </c>
      <c r="AA677" s="3">
        <f>(SUMIF($U$4:$U677,CONCATENATE("Buy",$C677),$N$4:$N677)+SUMIF($U$4:$U677,CONCATENATE("ReinvDiv",$C677),$N$4:$N677))</f>
        <v>-8619.6899999999987</v>
      </c>
      <c r="AB677">
        <f>(SUMIF($U$4:$U677,CONCATENATE("Buy",$C677),$F$4:$F677)+SUMIF($U$4:$U677,CONCATENATE("ReinvDiv",$C677),$F$4:$F677)+SUMIF($U$4:$U677,CONCATENATE("StkSplit",$C677),$F$4:$F677)-SUMIF($U$4:$U677,CONCATENATE("Sell",$C677),$F$4:$F677))</f>
        <v>1154</v>
      </c>
      <c r="AC677" s="3">
        <f>IF(B677="Sell",F677*INDEX(V:V,LOOKUP(2,1/(X$4:X676=CONCATENATE(C677,"_ACB")),ROW(V$4:V676))),0)</f>
        <v>0</v>
      </c>
    </row>
    <row r="678" spans="1:29" x14ac:dyDescent="0.25">
      <c r="A678" s="20">
        <v>40437</v>
      </c>
      <c r="B678" t="s">
        <v>43</v>
      </c>
      <c r="C678" t="s">
        <v>36</v>
      </c>
      <c r="D678" s="3">
        <v>0.37</v>
      </c>
      <c r="J678">
        <v>71.489999999999995</v>
      </c>
      <c r="M678" s="21">
        <f t="shared" si="90"/>
        <v>0.37</v>
      </c>
      <c r="N678" s="8">
        <f t="shared" si="88"/>
        <v>0.37</v>
      </c>
      <c r="O678" s="25">
        <f t="shared" si="85"/>
        <v>17765.64999999994</v>
      </c>
      <c r="P678" s="8">
        <f t="shared" si="91"/>
        <v>0</v>
      </c>
      <c r="Q678" s="4">
        <f>IF(AND(S678&gt;=[1]eRRSP_Rpt!$C$6,S678&lt;=[1]eRRSP_Rpt!$C$7),1,0)</f>
        <v>1</v>
      </c>
      <c r="R678" s="4"/>
      <c r="S678" s="4">
        <f t="shared" si="89"/>
        <v>2010</v>
      </c>
      <c r="T678" s="4"/>
      <c r="U678" s="4" t="str">
        <f t="shared" si="92"/>
        <v>IntIncTDW</v>
      </c>
      <c r="V678" s="23">
        <f>IFERROR(IF(AND(AB678&gt;0,B678&lt;&gt;"Sell"),(AA678-SUMIF(C$4:C677,C678,AC$4:AC678))/AB678,0),"")</f>
        <v>0</v>
      </c>
      <c r="W678" s="24" t="str">
        <f t="shared" si="87"/>
        <v/>
      </c>
      <c r="X678" s="25" t="str">
        <f t="shared" si="86"/>
        <v/>
      </c>
      <c r="Y678" s="10" t="str">
        <f>IF(S679&lt;&gt;eRRSP_Tx_Table[[#This Row],[Year]],SUMIFS($W$4:$W678,$S$4:$S678,eRRSP_Tx_Table[[#This Row],[Year]],$W$4:$W678,"&gt;0"),"")</f>
        <v/>
      </c>
      <c r="Z678" s="10" t="str">
        <f>IF(S679&lt;&gt;eRRSP_Tx_Table[[#This Row],[Year]],SUMIFS($W$4:$W678,$S$4:$S678,eRRSP_Tx_Table[[#This Row],[Year]],$W$4:$W678,"&lt;0"),"")</f>
        <v/>
      </c>
      <c r="AA678" s="3">
        <f>(SUMIF($U$4:$U678,CONCATENATE("Buy",$C678),$N$4:$N678)+SUMIF($U$4:$U678,CONCATENATE("ReinvDiv",$C678),$N$4:$N678))</f>
        <v>0</v>
      </c>
      <c r="AB678">
        <f>(SUMIF($U$4:$U678,CONCATENATE("Buy",$C678),$F$4:$F678)+SUMIF($U$4:$U678,CONCATENATE("ReinvDiv",$C678),$F$4:$F678)+SUMIF($U$4:$U678,CONCATENATE("StkSplit",$C678),$F$4:$F678)-SUMIF($U$4:$U678,CONCATENATE("Sell",$C678),$F$4:$F678))</f>
        <v>0</v>
      </c>
      <c r="AC678" s="3">
        <f>IF(B678="Sell",F678*INDEX(V:V,LOOKUP(2,1/(X$4:X677=CONCATENATE(C678,"_ACB")),ROW(V$4:V677))),0)</f>
        <v>0</v>
      </c>
    </row>
    <row r="679" spans="1:29" x14ac:dyDescent="0.25">
      <c r="A679" s="20">
        <v>40450</v>
      </c>
      <c r="B679" t="s">
        <v>41</v>
      </c>
      <c r="C679" t="s">
        <v>97</v>
      </c>
      <c r="D679" s="3">
        <v>144.91999999999999</v>
      </c>
      <c r="E679">
        <f>eRRSP_Tx_Table[[#This Row],[Amount]]/eRRSP_Tx_Table[[#This Row],[Quantity]]</f>
        <v>8.8301242992931996</v>
      </c>
      <c r="F679" s="3">
        <v>16.411999999999999</v>
      </c>
      <c r="J679">
        <v>19.21</v>
      </c>
      <c r="M679" s="21">
        <f t="shared" si="90"/>
        <v>144.91999999999999</v>
      </c>
      <c r="N679" s="8">
        <f t="shared" si="88"/>
        <v>-144.91999999999999</v>
      </c>
      <c r="O679" s="25">
        <f t="shared" si="85"/>
        <v>17765.64999999994</v>
      </c>
      <c r="P679" s="8">
        <f t="shared" si="91"/>
        <v>0</v>
      </c>
      <c r="Q679" s="4">
        <f>IF(AND(S679&gt;=[1]eRRSP_Rpt!$C$6,S679&lt;=[1]eRRSP_Rpt!$C$7),1,0)</f>
        <v>1</v>
      </c>
      <c r="R679" s="4"/>
      <c r="S679" s="4">
        <f t="shared" si="89"/>
        <v>2010</v>
      </c>
      <c r="T679" s="4"/>
      <c r="U679" s="4" t="str">
        <f t="shared" si="92"/>
        <v>ReinvDivTD International Index - e</v>
      </c>
      <c r="V679" s="23">
        <f>IFERROR(IF(AND(AB679&gt;0,B679&lt;&gt;"Sell"),(AA679-SUMIF(C$4:C678,C679,AC$4:AC679))/AB679,0),"")</f>
        <v>-8.3364461177937859</v>
      </c>
      <c r="W679" s="24" t="str">
        <f t="shared" si="87"/>
        <v/>
      </c>
      <c r="X679" s="25" t="str">
        <f t="shared" si="86"/>
        <v>TD International Index - e_ACB</v>
      </c>
      <c r="Y679" s="10" t="str">
        <f>IF(S680&lt;&gt;eRRSP_Tx_Table[[#This Row],[Year]],SUMIFS($W$4:$W679,$S$4:$S679,eRRSP_Tx_Table[[#This Row],[Year]],$W$4:$W679,"&gt;0"),"")</f>
        <v/>
      </c>
      <c r="Z679" s="10" t="str">
        <f>IF(S680&lt;&gt;eRRSP_Tx_Table[[#This Row],[Year]],SUMIFS($W$4:$W679,$S$4:$S679,eRRSP_Tx_Table[[#This Row],[Year]],$W$4:$W679,"&lt;0"),"")</f>
        <v/>
      </c>
      <c r="AA679" s="3">
        <f>(SUMIF($U$4:$U679,CONCATENATE("Buy",$C679),$N$4:$N679)+SUMIF($U$4:$U679,CONCATENATE("ReinvDiv",$C679),$N$4:$N679))</f>
        <v>-26950.93</v>
      </c>
      <c r="AB679">
        <f>(SUMIF($U$4:$U679,CONCATENATE("Buy",$C679),$F$4:$F679)+SUMIF($U$4:$U679,CONCATENATE("ReinvDiv",$C679),$F$4:$F679)+SUMIF($U$4:$U679,CONCATENATE("StkSplit",$C679),$F$4:$F679)-SUMIF($U$4:$U679,CONCATENATE("Sell",$C679),$F$4:$F679))</f>
        <v>3232.904</v>
      </c>
      <c r="AC679" s="3">
        <f>IF(B679="Sell",F679*INDEX(V:V,LOOKUP(2,1/(X$4:X678=CONCATENATE(C679,"_ACB")),ROW(V$4:V678))),0)</f>
        <v>0</v>
      </c>
    </row>
    <row r="680" spans="1:29" x14ac:dyDescent="0.25">
      <c r="A680" s="20">
        <v>40450</v>
      </c>
      <c r="B680" t="s">
        <v>41</v>
      </c>
      <c r="C680" t="s">
        <v>62</v>
      </c>
      <c r="D680" s="3">
        <v>71.489999999999995</v>
      </c>
      <c r="E680">
        <v>16.389299999999999</v>
      </c>
      <c r="F680" s="3">
        <v>4.3620000000000001</v>
      </c>
      <c r="J680">
        <v>40.630000000000003</v>
      </c>
      <c r="M680" s="21">
        <f t="shared" si="90"/>
        <v>71.489999999999995</v>
      </c>
      <c r="N680" s="8">
        <f t="shared" si="88"/>
        <v>-71.489999999999995</v>
      </c>
      <c r="O680" s="25">
        <f t="shared" si="85"/>
        <v>17765.64999999994</v>
      </c>
      <c r="P680" s="8">
        <f t="shared" si="91"/>
        <v>0</v>
      </c>
      <c r="Q680" s="4">
        <f>IF(AND(S680&gt;=[1]eRRSP_Rpt!$C$6,S680&lt;=[1]eRRSP_Rpt!$C$7),1,0)</f>
        <v>1</v>
      </c>
      <c r="R680" s="4"/>
      <c r="S680" s="4">
        <f t="shared" si="89"/>
        <v>2010</v>
      </c>
      <c r="T680" s="4"/>
      <c r="U680" s="4" t="str">
        <f t="shared" si="92"/>
        <v>ReinvDivTD RR Bond</v>
      </c>
      <c r="V680" s="23">
        <f>IFERROR(IF(AND(AB680&gt;0,B680&lt;&gt;"Sell"),(AA680-SUMIF(C$4:C679,C680,AC$4:AC680))/AB680,0),"")</f>
        <v>-14.266817537772198</v>
      </c>
      <c r="W680" s="24" t="str">
        <f t="shared" si="87"/>
        <v/>
      </c>
      <c r="X680" s="25" t="str">
        <f t="shared" si="86"/>
        <v>TD RR Bond_ACB</v>
      </c>
      <c r="Y680" s="10" t="str">
        <f>IF(S681&lt;&gt;eRRSP_Tx_Table[[#This Row],[Year]],SUMIFS($W$4:$W680,$S$4:$S680,eRRSP_Tx_Table[[#This Row],[Year]],$W$4:$W680,"&gt;0"),"")</f>
        <v/>
      </c>
      <c r="Z680" s="10" t="str">
        <f>IF(S681&lt;&gt;eRRSP_Tx_Table[[#This Row],[Year]],SUMIFS($W$4:$W680,$S$4:$S680,eRRSP_Tx_Table[[#This Row],[Year]],$W$4:$W680,"&lt;0"),"")</f>
        <v/>
      </c>
      <c r="AA680" s="3">
        <f>(SUMIF($U$4:$U680,CONCATENATE("Buy",$C680),$N$4:$N680)+SUMIF($U$4:$U680,CONCATENATE("ReinvDiv",$C680),$N$4:$N680))</f>
        <v>-10048.89</v>
      </c>
      <c r="AB680">
        <f>(SUMIF($U$4:$U680,CONCATENATE("Buy",$C680),$F$4:$F680)+SUMIF($U$4:$U680,CONCATENATE("ReinvDiv",$C680),$F$4:$F680)+SUMIF($U$4:$U680,CONCATENATE("StkSplit",$C680),$F$4:$F680)-SUMIF($U$4:$U680,CONCATENATE("Sell",$C680),$F$4:$F680))</f>
        <v>704.35400000000004</v>
      </c>
      <c r="AC680" s="3">
        <f>IF(B680="Sell",F680*INDEX(V:V,LOOKUP(2,1/(X$4:X679=CONCATENATE(C680,"_ACB")),ROW(V$4:V679))),0)</f>
        <v>0</v>
      </c>
    </row>
    <row r="681" spans="1:29" x14ac:dyDescent="0.25">
      <c r="A681" s="20">
        <v>40451</v>
      </c>
      <c r="B681" t="s">
        <v>42</v>
      </c>
      <c r="C681" t="s">
        <v>90</v>
      </c>
      <c r="D681" s="3">
        <v>19.21</v>
      </c>
      <c r="J681">
        <v>0.36</v>
      </c>
      <c r="M681" s="21">
        <f t="shared" si="90"/>
        <v>19.21</v>
      </c>
      <c r="N681" s="8">
        <f t="shared" si="88"/>
        <v>19.21</v>
      </c>
      <c r="O681" s="25">
        <f t="shared" si="85"/>
        <v>17784.859999999939</v>
      </c>
      <c r="P681" s="8">
        <f t="shared" si="91"/>
        <v>0</v>
      </c>
      <c r="Q681" s="4">
        <f>IF(AND(S681&gt;=[1]eRRSP_Rpt!$C$6,S681&lt;=[1]eRRSP_Rpt!$C$7),1,0)</f>
        <v>1</v>
      </c>
      <c r="R681" s="4"/>
      <c r="S681" s="4">
        <f t="shared" si="89"/>
        <v>2010</v>
      </c>
      <c r="T681" s="4"/>
      <c r="U681" s="4" t="str">
        <f t="shared" si="92"/>
        <v>DivVanguard Large Cap ETF</v>
      </c>
      <c r="V681" s="23">
        <f>IFERROR(IF(AND(AB681&gt;0,B681&lt;&gt;"Sell"),(AA681-SUMIF(C$4:C680,C681,AC$4:AC681))/AB681,0),"")</f>
        <v>-74.401142857142858</v>
      </c>
      <c r="W681" s="24" t="str">
        <f t="shared" si="87"/>
        <v/>
      </c>
      <c r="X681" s="25" t="str">
        <f t="shared" si="86"/>
        <v>Vanguard Large Cap ETF_ACB</v>
      </c>
      <c r="Y681" s="10" t="str">
        <f>IF(S682&lt;&gt;eRRSP_Tx_Table[[#This Row],[Year]],SUMIFS($W$4:$W681,$S$4:$S681,eRRSP_Tx_Table[[#This Row],[Year]],$W$4:$W681,"&gt;0"),"")</f>
        <v/>
      </c>
      <c r="Z681" s="10" t="str">
        <f>IF(S682&lt;&gt;eRRSP_Tx_Table[[#This Row],[Year]],SUMIFS($W$4:$W681,$S$4:$S681,eRRSP_Tx_Table[[#This Row],[Year]],$W$4:$W681,"&lt;0"),"")</f>
        <v/>
      </c>
      <c r="AA681" s="3">
        <f>(SUMIF($U$4:$U681,CONCATENATE("Buy",$C681),$N$4:$N681)+SUMIF($U$4:$U681,CONCATENATE("ReinvDiv",$C681),$N$4:$N681))</f>
        <v>-5208.08</v>
      </c>
      <c r="AB681">
        <f>(SUMIF($U$4:$U681,CONCATENATE("Buy",$C681),$F$4:$F681)+SUMIF($U$4:$U681,CONCATENATE("ReinvDiv",$C681),$F$4:$F681)+SUMIF($U$4:$U681,CONCATENATE("StkSplit",$C681),$F$4:$F681)-SUMIF($U$4:$U681,CONCATENATE("Sell",$C681),$F$4:$F681))</f>
        <v>70</v>
      </c>
      <c r="AC681" s="3">
        <f>IF(B681="Sell",F681*INDEX(V:V,LOOKUP(2,1/(X$4:X680=CONCATENATE(C681,"_ACB")),ROW(V$4:V680))),0)</f>
        <v>0</v>
      </c>
    </row>
    <row r="682" spans="1:29" x14ac:dyDescent="0.25">
      <c r="A682" s="20">
        <v>40466</v>
      </c>
      <c r="B682" t="s">
        <v>42</v>
      </c>
      <c r="C682" t="s">
        <v>87</v>
      </c>
      <c r="D682" s="3">
        <v>40.630000000000003</v>
      </c>
      <c r="J682">
        <v>0.76</v>
      </c>
      <c r="M682" s="21">
        <f t="shared" si="90"/>
        <v>40.630000000000003</v>
      </c>
      <c r="N682" s="8">
        <f t="shared" si="88"/>
        <v>40.630000000000003</v>
      </c>
      <c r="O682" s="25">
        <f t="shared" si="85"/>
        <v>17825.48999999994</v>
      </c>
      <c r="P682" s="8">
        <f t="shared" si="91"/>
        <v>0</v>
      </c>
      <c r="Q682" s="4">
        <f>IF(AND(S682&gt;=[1]eRRSP_Rpt!$C$6,S682&lt;=[1]eRRSP_Rpt!$C$7),1,0)</f>
        <v>1</v>
      </c>
      <c r="R682" s="4"/>
      <c r="S682" s="4">
        <f t="shared" si="89"/>
        <v>2010</v>
      </c>
      <c r="T682" s="4"/>
      <c r="U682" s="4" t="str">
        <f t="shared" si="92"/>
        <v>DivAberdeen Asia Pacific Income Fund</v>
      </c>
      <c r="V682" s="23">
        <f>IFERROR(IF(AND(AB682&gt;0,B682&lt;&gt;"Sell"),(AA682-SUMIF(C$4:C681,C682,AC$4:AC682))/AB682,0),"")</f>
        <v>-7.4694020797227028</v>
      </c>
      <c r="W682" s="24" t="str">
        <f t="shared" si="87"/>
        <v/>
      </c>
      <c r="X682" s="25" t="str">
        <f t="shared" si="86"/>
        <v>Aberdeen Asia Pacific Income Fund_ACB</v>
      </c>
      <c r="Y682" s="10" t="str">
        <f>IF(S683&lt;&gt;eRRSP_Tx_Table[[#This Row],[Year]],SUMIFS($W$4:$W682,$S$4:$S682,eRRSP_Tx_Table[[#This Row],[Year]],$W$4:$W682,"&gt;0"),"")</f>
        <v/>
      </c>
      <c r="Z682" s="10" t="str">
        <f>IF(S683&lt;&gt;eRRSP_Tx_Table[[#This Row],[Year]],SUMIFS($W$4:$W682,$S$4:$S682,eRRSP_Tx_Table[[#This Row],[Year]],$W$4:$W682,"&lt;0"),"")</f>
        <v/>
      </c>
      <c r="AA682" s="3">
        <f>(SUMIF($U$4:$U682,CONCATENATE("Buy",$C682),$N$4:$N682)+SUMIF($U$4:$U682,CONCATENATE("ReinvDiv",$C682),$N$4:$N682))</f>
        <v>-8619.6899999999987</v>
      </c>
      <c r="AB682">
        <f>(SUMIF($U$4:$U682,CONCATENATE("Buy",$C682),$F$4:$F682)+SUMIF($U$4:$U682,CONCATENATE("ReinvDiv",$C682),$F$4:$F682)+SUMIF($U$4:$U682,CONCATENATE("StkSplit",$C682),$F$4:$F682)-SUMIF($U$4:$U682,CONCATENATE("Sell",$C682),$F$4:$F682))</f>
        <v>1154</v>
      </c>
      <c r="AC682" s="3">
        <f>IF(B682="Sell",F682*INDEX(V:V,LOOKUP(2,1/(X$4:X681=CONCATENATE(C682,"_ACB")),ROW(V$4:V681))),0)</f>
        <v>0</v>
      </c>
    </row>
    <row r="683" spans="1:29" x14ac:dyDescent="0.25">
      <c r="A683" s="20">
        <v>40467</v>
      </c>
      <c r="B683" t="s">
        <v>43</v>
      </c>
      <c r="C683" t="s">
        <v>36</v>
      </c>
      <c r="D683" s="3">
        <v>0.36</v>
      </c>
      <c r="J683">
        <v>12.2</v>
      </c>
      <c r="M683" s="21">
        <f t="shared" si="90"/>
        <v>0.36</v>
      </c>
      <c r="N683" s="8">
        <f t="shared" si="88"/>
        <v>0.36</v>
      </c>
      <c r="O683" s="25">
        <f t="shared" si="85"/>
        <v>17825.84999999994</v>
      </c>
      <c r="P683" s="8">
        <f t="shared" si="91"/>
        <v>0</v>
      </c>
      <c r="Q683" s="4">
        <f>IF(AND(S683&gt;=[1]eRRSP_Rpt!$C$6,S683&lt;=[1]eRRSP_Rpt!$C$7),1,0)</f>
        <v>1</v>
      </c>
      <c r="R683" s="4"/>
      <c r="S683" s="4">
        <f t="shared" si="89"/>
        <v>2010</v>
      </c>
      <c r="T683" s="4"/>
      <c r="U683" s="4" t="str">
        <f t="shared" si="92"/>
        <v>IntIncTDW</v>
      </c>
      <c r="V683" s="23">
        <f>IFERROR(IF(AND(AB683&gt;0,B683&lt;&gt;"Sell"),(AA683-SUMIF(C$4:C682,C683,AC$4:AC683))/AB683,0),"")</f>
        <v>0</v>
      </c>
      <c r="W683" s="24" t="str">
        <f t="shared" si="87"/>
        <v/>
      </c>
      <c r="X683" s="25" t="str">
        <f t="shared" si="86"/>
        <v/>
      </c>
      <c r="Y683" s="10" t="str">
        <f>IF(S684&lt;&gt;eRRSP_Tx_Table[[#This Row],[Year]],SUMIFS($W$4:$W683,$S$4:$S683,eRRSP_Tx_Table[[#This Row],[Year]],$W$4:$W683,"&gt;0"),"")</f>
        <v/>
      </c>
      <c r="Z683" s="10" t="str">
        <f>IF(S684&lt;&gt;eRRSP_Tx_Table[[#This Row],[Year]],SUMIFS($W$4:$W683,$S$4:$S683,eRRSP_Tx_Table[[#This Row],[Year]],$W$4:$W683,"&lt;0"),"")</f>
        <v/>
      </c>
      <c r="AA683" s="3">
        <f>(SUMIF($U$4:$U683,CONCATENATE("Buy",$C683),$N$4:$N683)+SUMIF($U$4:$U683,CONCATENATE("ReinvDiv",$C683),$N$4:$N683))</f>
        <v>0</v>
      </c>
      <c r="AB683">
        <f>(SUMIF($U$4:$U683,CONCATENATE("Buy",$C683),$F$4:$F683)+SUMIF($U$4:$U683,CONCATENATE("ReinvDiv",$C683),$F$4:$F683)+SUMIF($U$4:$U683,CONCATENATE("StkSplit",$C683),$F$4:$F683)-SUMIF($U$4:$U683,CONCATENATE("Sell",$C683),$F$4:$F683))</f>
        <v>0</v>
      </c>
      <c r="AC683" s="3">
        <f>IF(B683="Sell",F683*INDEX(V:V,LOOKUP(2,1/(X$4:X682=CONCATENATE(C683,"_ACB")),ROW(V$4:V682))),0)</f>
        <v>0</v>
      </c>
    </row>
    <row r="684" spans="1:29" x14ac:dyDescent="0.25">
      <c r="A684" s="20">
        <v>40482</v>
      </c>
      <c r="B684" t="s">
        <v>42</v>
      </c>
      <c r="C684" t="s">
        <v>47</v>
      </c>
      <c r="D684" s="3">
        <v>0.76</v>
      </c>
      <c r="J684">
        <v>40.53</v>
      </c>
      <c r="M684" s="21">
        <f t="shared" si="90"/>
        <v>0.76</v>
      </c>
      <c r="N684" s="8">
        <f t="shared" si="88"/>
        <v>0.76</v>
      </c>
      <c r="O684" s="25">
        <f t="shared" si="85"/>
        <v>17826.609999999939</v>
      </c>
      <c r="P684" s="8">
        <f t="shared" si="91"/>
        <v>0</v>
      </c>
      <c r="Q684" s="4">
        <f>IF(AND(S684&gt;=[1]eRRSP_Rpt!$C$6,S684&lt;=[1]eRRSP_Rpt!$C$7),1,0)</f>
        <v>1</v>
      </c>
      <c r="R684" s="4"/>
      <c r="S684" s="4">
        <f t="shared" si="89"/>
        <v>2010</v>
      </c>
      <c r="T684" s="4"/>
      <c r="U684" s="4" t="str">
        <f t="shared" si="92"/>
        <v>DivBombardier</v>
      </c>
      <c r="V684" s="23">
        <f>IFERROR(IF(AND(AB684&gt;0,B684&lt;&gt;"Sell"),(AA684-SUMIF(C$4:C683,C684,AC$4:AC684))/AB684,0),"")</f>
        <v>-23.216666666666665</v>
      </c>
      <c r="W684" s="24" t="str">
        <f t="shared" si="87"/>
        <v/>
      </c>
      <c r="X684" s="25" t="str">
        <f t="shared" si="86"/>
        <v>Bombardier_ACB</v>
      </c>
      <c r="Y684" s="10" t="str">
        <f>IF(S685&lt;&gt;eRRSP_Tx_Table[[#This Row],[Year]],SUMIFS($W$4:$W684,$S$4:$S684,eRRSP_Tx_Table[[#This Row],[Year]],$W$4:$W684,"&gt;0"),"")</f>
        <v/>
      </c>
      <c r="Z684" s="10" t="str">
        <f>IF(S685&lt;&gt;eRRSP_Tx_Table[[#This Row],[Year]],SUMIFS($W$4:$W684,$S$4:$S684,eRRSP_Tx_Table[[#This Row],[Year]],$W$4:$W684,"&lt;0"),"")</f>
        <v/>
      </c>
      <c r="AA684" s="3">
        <f>(SUMIF($U$4:$U684,CONCATENATE("Buy",$C684),$N$4:$N684)+SUMIF($U$4:$U684,CONCATENATE("ReinvDiv",$C684),$N$4:$N684))</f>
        <v>-696.5</v>
      </c>
      <c r="AB684">
        <f>(SUMIF($U$4:$U684,CONCATENATE("Buy",$C684),$F$4:$F684)+SUMIF($U$4:$U684,CONCATENATE("ReinvDiv",$C684),$F$4:$F684)+SUMIF($U$4:$U684,CONCATENATE("StkSplit",$C684),$F$4:$F684)-SUMIF($U$4:$U684,CONCATENATE("Sell",$C684),$F$4:$F684))</f>
        <v>30</v>
      </c>
      <c r="AC684" s="3">
        <f>IF(B684="Sell",F684*INDEX(V:V,LOOKUP(2,1/(X$4:X683=CONCATENATE(C684,"_ACB")),ROW(V$4:V683))),0)</f>
        <v>0</v>
      </c>
    </row>
    <row r="685" spans="1:29" x14ac:dyDescent="0.25">
      <c r="A685" s="20">
        <v>40482</v>
      </c>
      <c r="B685" t="s">
        <v>42</v>
      </c>
      <c r="C685" t="s">
        <v>45</v>
      </c>
      <c r="D685" s="3">
        <v>12.2</v>
      </c>
      <c r="J685">
        <v>2.25</v>
      </c>
      <c r="M685" s="21">
        <f t="shared" si="90"/>
        <v>12.2</v>
      </c>
      <c r="N685" s="8">
        <f t="shared" si="88"/>
        <v>12.2</v>
      </c>
      <c r="O685" s="25">
        <f t="shared" si="85"/>
        <v>17838.809999999939</v>
      </c>
      <c r="P685" s="8">
        <f t="shared" si="91"/>
        <v>0</v>
      </c>
      <c r="Q685" s="4">
        <f>IF(AND(S685&gt;=[1]eRRSP_Rpt!$C$6,S685&lt;=[1]eRRSP_Rpt!$C$7),1,0)</f>
        <v>1</v>
      </c>
      <c r="R685" s="4"/>
      <c r="S685" s="4">
        <f t="shared" si="89"/>
        <v>2010</v>
      </c>
      <c r="T685" s="4"/>
      <c r="U685" s="4" t="str">
        <f t="shared" si="92"/>
        <v>DivTD Bank</v>
      </c>
      <c r="V685" s="23">
        <f>IFERROR(IF(AND(AB685&gt;0,B685&lt;&gt;"Sell"),(AA685-SUMIF(C$4:C684,C685,AC$4:AC685))/AB685,0),"")</f>
        <v>-44.29</v>
      </c>
      <c r="W685" s="24" t="str">
        <f t="shared" si="87"/>
        <v/>
      </c>
      <c r="X685" s="25" t="str">
        <f t="shared" si="86"/>
        <v>TD Bank_ACB</v>
      </c>
      <c r="Y685" s="10" t="str">
        <f>IF(S686&lt;&gt;eRRSP_Tx_Table[[#This Row],[Year]],SUMIFS($W$4:$W685,$S$4:$S685,eRRSP_Tx_Table[[#This Row],[Year]],$W$4:$W685,"&gt;0"),"")</f>
        <v/>
      </c>
      <c r="Z685" s="10" t="str">
        <f>IF(S686&lt;&gt;eRRSP_Tx_Table[[#This Row],[Year]],SUMIFS($W$4:$W685,$S$4:$S685,eRRSP_Tx_Table[[#This Row],[Year]],$W$4:$W685,"&lt;0"),"")</f>
        <v/>
      </c>
      <c r="AA685" s="3">
        <f>(SUMIF($U$4:$U685,CONCATENATE("Buy",$C685),$N$4:$N685)+SUMIF($U$4:$U685,CONCATENATE("ReinvDiv",$C685),$N$4:$N685))</f>
        <v>-885.8</v>
      </c>
      <c r="AB685">
        <f>(SUMIF($U$4:$U685,CONCATENATE("Buy",$C685),$F$4:$F685)+SUMIF($U$4:$U685,CONCATENATE("ReinvDiv",$C685),$F$4:$F685)+SUMIF($U$4:$U685,CONCATENATE("StkSplit",$C685),$F$4:$F685)-SUMIF($U$4:$U685,CONCATENATE("Sell",$C685),$F$4:$F685))</f>
        <v>20</v>
      </c>
      <c r="AC685" s="3">
        <f>IF(B685="Sell",F685*INDEX(V:V,LOOKUP(2,1/(X$4:X684=CONCATENATE(C685,"_ACB")),ROW(V$4:V684))),0)</f>
        <v>0</v>
      </c>
    </row>
    <row r="686" spans="1:29" x14ac:dyDescent="0.25">
      <c r="A686" s="20">
        <v>40494</v>
      </c>
      <c r="B686" t="s">
        <v>42</v>
      </c>
      <c r="C686" t="s">
        <v>87</v>
      </c>
      <c r="D686" s="3">
        <v>40.53</v>
      </c>
      <c r="J686">
        <v>0.37</v>
      </c>
      <c r="M686" s="21">
        <f t="shared" si="90"/>
        <v>40.53</v>
      </c>
      <c r="N686" s="8">
        <f t="shared" si="88"/>
        <v>40.53</v>
      </c>
      <c r="O686" s="25">
        <f t="shared" si="85"/>
        <v>17879.339999999938</v>
      </c>
      <c r="P686" s="8">
        <f t="shared" si="91"/>
        <v>0</v>
      </c>
      <c r="Q686" s="4">
        <f>IF(AND(S686&gt;=[1]eRRSP_Rpt!$C$6,S686&lt;=[1]eRRSP_Rpt!$C$7),1,0)</f>
        <v>1</v>
      </c>
      <c r="R686" s="4"/>
      <c r="S686" s="4">
        <f t="shared" si="89"/>
        <v>2010</v>
      </c>
      <c r="T686" s="4"/>
      <c r="U686" s="4" t="str">
        <f t="shared" si="92"/>
        <v>DivAberdeen Asia Pacific Income Fund</v>
      </c>
      <c r="V686" s="23">
        <f>IFERROR(IF(AND(AB686&gt;0,B686&lt;&gt;"Sell"),(AA686-SUMIF(C$4:C685,C686,AC$4:AC686))/AB686,0),"")</f>
        <v>-7.4694020797227028</v>
      </c>
      <c r="W686" s="24" t="str">
        <f t="shared" si="87"/>
        <v/>
      </c>
      <c r="X686" s="25" t="str">
        <f t="shared" si="86"/>
        <v>Aberdeen Asia Pacific Income Fund_ACB</v>
      </c>
      <c r="Y686" s="10" t="str">
        <f>IF(S687&lt;&gt;eRRSP_Tx_Table[[#This Row],[Year]],SUMIFS($W$4:$W686,$S$4:$S686,eRRSP_Tx_Table[[#This Row],[Year]],$W$4:$W686,"&gt;0"),"")</f>
        <v/>
      </c>
      <c r="Z686" s="10" t="str">
        <f>IF(S687&lt;&gt;eRRSP_Tx_Table[[#This Row],[Year]],SUMIFS($W$4:$W686,$S$4:$S686,eRRSP_Tx_Table[[#This Row],[Year]],$W$4:$W686,"&lt;0"),"")</f>
        <v/>
      </c>
      <c r="AA686" s="3">
        <f>(SUMIF($U$4:$U686,CONCATENATE("Buy",$C686),$N$4:$N686)+SUMIF($U$4:$U686,CONCATENATE("ReinvDiv",$C686),$N$4:$N686))</f>
        <v>-8619.6899999999987</v>
      </c>
      <c r="AB686">
        <f>(SUMIF($U$4:$U686,CONCATENATE("Buy",$C686),$F$4:$F686)+SUMIF($U$4:$U686,CONCATENATE("ReinvDiv",$C686),$F$4:$F686)+SUMIF($U$4:$U686,CONCATENATE("StkSplit",$C686),$F$4:$F686)-SUMIF($U$4:$U686,CONCATENATE("Sell",$C686),$F$4:$F686))</f>
        <v>1154</v>
      </c>
      <c r="AC686" s="3">
        <f>IF(B686="Sell",F686*INDEX(V:V,LOOKUP(2,1/(X$4:X685=CONCATENATE(C686,"_ACB")),ROW(V$4:V685))),0)</f>
        <v>0</v>
      </c>
    </row>
    <row r="687" spans="1:29" x14ac:dyDescent="0.25">
      <c r="A687" s="20">
        <v>40494</v>
      </c>
      <c r="B687" t="s">
        <v>42</v>
      </c>
      <c r="C687" t="s">
        <v>79</v>
      </c>
      <c r="D687" s="3">
        <v>2.25</v>
      </c>
      <c r="J687">
        <v>73.52</v>
      </c>
      <c r="M687" s="21">
        <f t="shared" si="90"/>
        <v>2.25</v>
      </c>
      <c r="N687" s="8">
        <f t="shared" si="88"/>
        <v>2.25</v>
      </c>
      <c r="O687" s="25">
        <f t="shared" si="85"/>
        <v>17881.589999999938</v>
      </c>
      <c r="P687" s="8">
        <f t="shared" si="91"/>
        <v>0</v>
      </c>
      <c r="Q687" s="4">
        <f>IF(AND(S687&gt;=[1]eRRSP_Rpt!$C$6,S687&lt;=[1]eRRSP_Rpt!$C$7),1,0)</f>
        <v>1</v>
      </c>
      <c r="R687" s="4"/>
      <c r="S687" s="4">
        <f t="shared" si="89"/>
        <v>2010</v>
      </c>
      <c r="T687" s="4"/>
      <c r="U687" s="4" t="str">
        <f t="shared" si="92"/>
        <v>DivCentral Fund of Canada</v>
      </c>
      <c r="V687" s="23">
        <f>IFERROR(IF(AND(AB687&gt;0,B687&lt;&gt;"Sell"),(AA687-SUMIF(C$4:C686,C687,AC$4:AC687))/AB687,0),"")</f>
        <v>-10.243200000000002</v>
      </c>
      <c r="W687" s="24" t="str">
        <f t="shared" si="87"/>
        <v/>
      </c>
      <c r="X687" s="25" t="str">
        <f t="shared" si="86"/>
        <v>Central Fund of Canada_ACB</v>
      </c>
      <c r="Y687" s="10" t="str">
        <f>IF(S688&lt;&gt;eRRSP_Tx_Table[[#This Row],[Year]],SUMIFS($W$4:$W687,$S$4:$S687,eRRSP_Tx_Table[[#This Row],[Year]],$W$4:$W687,"&gt;0"),"")</f>
        <v/>
      </c>
      <c r="Z687" s="10" t="str">
        <f>IF(S688&lt;&gt;eRRSP_Tx_Table[[#This Row],[Year]],SUMIFS($W$4:$W687,$S$4:$S687,eRRSP_Tx_Table[[#This Row],[Year]],$W$4:$W687,"&lt;0"),"")</f>
        <v/>
      </c>
      <c r="AA687" s="3">
        <f>(SUMIF($U$4:$U687,CONCATENATE("Buy",$C687),$N$4:$N687)+SUMIF($U$4:$U687,CONCATENATE("ReinvDiv",$C687),$N$4:$N687))</f>
        <v>-2304.7200000000003</v>
      </c>
      <c r="AB687">
        <f>(SUMIF($U$4:$U687,CONCATENATE("Buy",$C687),$F$4:$F687)+SUMIF($U$4:$U687,CONCATENATE("ReinvDiv",$C687),$F$4:$F687)+SUMIF($U$4:$U687,CONCATENATE("StkSplit",$C687),$F$4:$F687)-SUMIF($U$4:$U687,CONCATENATE("Sell",$C687),$F$4:$F687))</f>
        <v>225</v>
      </c>
      <c r="AC687" s="3">
        <f>IF(B687="Sell",F687*INDEX(V:V,LOOKUP(2,1/(X$4:X686=CONCATENATE(C687,"_ACB")),ROW(V$4:V686))),0)</f>
        <v>0</v>
      </c>
    </row>
    <row r="688" spans="1:29" x14ac:dyDescent="0.25">
      <c r="A688" s="20">
        <v>40498</v>
      </c>
      <c r="B688" t="s">
        <v>43</v>
      </c>
      <c r="C688" t="s">
        <v>36</v>
      </c>
      <c r="D688" s="3">
        <v>0.37</v>
      </c>
      <c r="J688">
        <v>40.75</v>
      </c>
      <c r="M688" s="21">
        <f t="shared" si="90"/>
        <v>0.37</v>
      </c>
      <c r="N688" s="8">
        <f t="shared" si="88"/>
        <v>0.37</v>
      </c>
      <c r="O688" s="25">
        <f t="shared" si="85"/>
        <v>17881.959999999937</v>
      </c>
      <c r="P688" s="8">
        <f t="shared" si="91"/>
        <v>0</v>
      </c>
      <c r="Q688" s="4">
        <f>IF(AND(S688&gt;=[1]eRRSP_Rpt!$C$6,S688&lt;=[1]eRRSP_Rpt!$C$7),1,0)</f>
        <v>1</v>
      </c>
      <c r="R688" s="4"/>
      <c r="S688" s="4">
        <f t="shared" si="89"/>
        <v>2010</v>
      </c>
      <c r="T688" s="4"/>
      <c r="U688" s="4" t="str">
        <f t="shared" si="92"/>
        <v>IntIncTDW</v>
      </c>
      <c r="V688" s="23">
        <f>IFERROR(IF(AND(AB688&gt;0,B688&lt;&gt;"Sell"),(AA688-SUMIF(C$4:C687,C688,AC$4:AC688))/AB688,0),"")</f>
        <v>0</v>
      </c>
      <c r="W688" s="24" t="str">
        <f t="shared" si="87"/>
        <v/>
      </c>
      <c r="X688" s="25" t="str">
        <f t="shared" si="86"/>
        <v/>
      </c>
      <c r="Y688" s="10" t="str">
        <f>IF(S689&lt;&gt;eRRSP_Tx_Table[[#This Row],[Year]],SUMIFS($W$4:$W688,$S$4:$S688,eRRSP_Tx_Table[[#This Row],[Year]],$W$4:$W688,"&gt;0"),"")</f>
        <v/>
      </c>
      <c r="Z688" s="10" t="str">
        <f>IF(S689&lt;&gt;eRRSP_Tx_Table[[#This Row],[Year]],SUMIFS($W$4:$W688,$S$4:$S688,eRRSP_Tx_Table[[#This Row],[Year]],$W$4:$W688,"&lt;0"),"")</f>
        <v/>
      </c>
      <c r="AA688" s="3">
        <f>(SUMIF($U$4:$U688,CONCATENATE("Buy",$C688),$N$4:$N688)+SUMIF($U$4:$U688,CONCATENATE("ReinvDiv",$C688),$N$4:$N688))</f>
        <v>0</v>
      </c>
      <c r="AB688">
        <f>(SUMIF($U$4:$U688,CONCATENATE("Buy",$C688),$F$4:$F688)+SUMIF($U$4:$U688,CONCATENATE("ReinvDiv",$C688),$F$4:$F688)+SUMIF($U$4:$U688,CONCATENATE("StkSplit",$C688),$F$4:$F688)-SUMIF($U$4:$U688,CONCATENATE("Sell",$C688),$F$4:$F688))</f>
        <v>0</v>
      </c>
      <c r="AC688" s="3">
        <f>IF(B688="Sell",F688*INDEX(V:V,LOOKUP(2,1/(X$4:X687=CONCATENATE(C688,"_ACB")),ROW(V$4:V687))),0)</f>
        <v>0</v>
      </c>
    </row>
    <row r="689" spans="1:29" x14ac:dyDescent="0.25">
      <c r="A689" s="20">
        <v>40513</v>
      </c>
      <c r="B689" t="s">
        <v>42</v>
      </c>
      <c r="C689" t="s">
        <v>33</v>
      </c>
      <c r="D689" s="3">
        <v>73.52</v>
      </c>
      <c r="J689">
        <v>0.36</v>
      </c>
      <c r="M689" s="21">
        <f t="shared" si="90"/>
        <v>73.52</v>
      </c>
      <c r="N689" s="8">
        <f t="shared" si="88"/>
        <v>73.52</v>
      </c>
      <c r="O689" s="25">
        <f t="shared" si="85"/>
        <v>17955.479999999938</v>
      </c>
      <c r="P689" s="8">
        <f t="shared" si="91"/>
        <v>0</v>
      </c>
      <c r="Q689" s="4">
        <f>IF(AND(S689&gt;=[1]eRRSP_Rpt!$C$6,S689&lt;=[1]eRRSP_Rpt!$C$7),1,0)</f>
        <v>1</v>
      </c>
      <c r="R689" s="4"/>
      <c r="S689" s="4">
        <f t="shared" si="89"/>
        <v>2010</v>
      </c>
      <c r="T689" s="4"/>
      <c r="U689" s="4" t="str">
        <f t="shared" si="92"/>
        <v>DivEnbridge</v>
      </c>
      <c r="V689" s="23">
        <f>IFERROR(IF(AND(AB689&gt;0,B689&lt;&gt;"Sell"),(AA689-SUMIF(C$4:C688,C689,AC$4:AC689))/AB689,0),"")</f>
        <v>-33.963578195247266</v>
      </c>
      <c r="W689" s="24" t="str">
        <f t="shared" si="87"/>
        <v/>
      </c>
      <c r="X689" s="25" t="str">
        <f t="shared" si="86"/>
        <v>Enbridge_ACB</v>
      </c>
      <c r="Y689" s="10" t="str">
        <f>IF(S690&lt;&gt;eRRSP_Tx_Table[[#This Row],[Year]],SUMIFS($W$4:$W689,$S$4:$S689,eRRSP_Tx_Table[[#This Row],[Year]],$W$4:$W689,"&gt;0"),"")</f>
        <v/>
      </c>
      <c r="Z689" s="10" t="str">
        <f>IF(S690&lt;&gt;eRRSP_Tx_Table[[#This Row],[Year]],SUMIFS($W$4:$W689,$S$4:$S689,eRRSP_Tx_Table[[#This Row],[Year]],$W$4:$W689,"&lt;0"),"")</f>
        <v/>
      </c>
      <c r="AA689" s="3">
        <f>(SUMIF($U$4:$U689,CONCATENATE("Buy",$C689),$N$4:$N689)+SUMIF($U$4:$U689,CONCATENATE("ReinvDiv",$C689),$N$4:$N689))</f>
        <v>-6788.69</v>
      </c>
      <c r="AB689">
        <f>(SUMIF($U$4:$U689,CONCATENATE("Buy",$C689),$F$4:$F689)+SUMIF($U$4:$U689,CONCATENATE("ReinvDiv",$C689),$F$4:$F689)+SUMIF($U$4:$U689,CONCATENATE("StkSplit",$C689),$F$4:$F689)-SUMIF($U$4:$U689,CONCATENATE("Sell",$C689),$F$4:$F689))</f>
        <v>173</v>
      </c>
      <c r="AC689" s="3">
        <f>IF(B689="Sell",F689*INDEX(V:V,LOOKUP(2,1/(X$4:X688=CONCATENATE(C689,"_ACB")),ROW(V$4:V688))),0)</f>
        <v>0</v>
      </c>
    </row>
    <row r="690" spans="1:29" x14ac:dyDescent="0.25">
      <c r="A690" s="20">
        <v>40522</v>
      </c>
      <c r="B690" t="s">
        <v>42</v>
      </c>
      <c r="C690" t="s">
        <v>87</v>
      </c>
      <c r="D690" s="3">
        <v>40.75</v>
      </c>
      <c r="J690">
        <v>301.88</v>
      </c>
      <c r="M690" s="21">
        <f t="shared" si="90"/>
        <v>40.75</v>
      </c>
      <c r="N690" s="8">
        <f t="shared" si="88"/>
        <v>40.75</v>
      </c>
      <c r="O690" s="25">
        <f t="shared" si="85"/>
        <v>17996.229999999938</v>
      </c>
      <c r="P690" s="8">
        <f t="shared" si="91"/>
        <v>0</v>
      </c>
      <c r="Q690" s="4">
        <f>IF(AND(S690&gt;=[1]eRRSP_Rpt!$C$6,S690&lt;=[1]eRRSP_Rpt!$C$7),1,0)</f>
        <v>1</v>
      </c>
      <c r="R690" s="4"/>
      <c r="S690" s="4">
        <f t="shared" si="89"/>
        <v>2010</v>
      </c>
      <c r="T690" s="4"/>
      <c r="U690" s="4" t="str">
        <f t="shared" si="92"/>
        <v>DivAberdeen Asia Pacific Income Fund</v>
      </c>
      <c r="V690" s="23">
        <f>IFERROR(IF(AND(AB690&gt;0,B690&lt;&gt;"Sell"),(AA690-SUMIF(C$4:C689,C690,AC$4:AC690))/AB690,0),"")</f>
        <v>-7.4694020797227028</v>
      </c>
      <c r="W690" s="24" t="str">
        <f t="shared" si="87"/>
        <v/>
      </c>
      <c r="X690" s="25" t="str">
        <f t="shared" si="86"/>
        <v>Aberdeen Asia Pacific Income Fund_ACB</v>
      </c>
      <c r="Y690" s="10" t="str">
        <f>IF(S691&lt;&gt;eRRSP_Tx_Table[[#This Row],[Year]],SUMIFS($W$4:$W690,$S$4:$S690,eRRSP_Tx_Table[[#This Row],[Year]],$W$4:$W690,"&gt;0"),"")</f>
        <v/>
      </c>
      <c r="Z690" s="10" t="str">
        <f>IF(S691&lt;&gt;eRRSP_Tx_Table[[#This Row],[Year]],SUMIFS($W$4:$W690,$S$4:$S690,eRRSP_Tx_Table[[#This Row],[Year]],$W$4:$W690,"&lt;0"),"")</f>
        <v/>
      </c>
      <c r="AA690" s="3">
        <f>(SUMIF($U$4:$U690,CONCATENATE("Buy",$C690),$N$4:$N690)+SUMIF($U$4:$U690,CONCATENATE("ReinvDiv",$C690),$N$4:$N690))</f>
        <v>-8619.6899999999987</v>
      </c>
      <c r="AB690">
        <f>(SUMIF($U$4:$U690,CONCATENATE("Buy",$C690),$F$4:$F690)+SUMIF($U$4:$U690,CONCATENATE("ReinvDiv",$C690),$F$4:$F690)+SUMIF($U$4:$U690,CONCATENATE("StkSplit",$C690),$F$4:$F690)-SUMIF($U$4:$U690,CONCATENATE("Sell",$C690),$F$4:$F690))</f>
        <v>1154</v>
      </c>
      <c r="AC690" s="3">
        <f>IF(B690="Sell",F690*INDEX(V:V,LOOKUP(2,1/(X$4:X689=CONCATENATE(C690,"_ACB")),ROW(V$4:V689))),0)</f>
        <v>0</v>
      </c>
    </row>
    <row r="691" spans="1:29" x14ac:dyDescent="0.25">
      <c r="A691" s="20">
        <v>40528</v>
      </c>
      <c r="B691" t="s">
        <v>43</v>
      </c>
      <c r="C691" t="s">
        <v>36</v>
      </c>
      <c r="D691" s="3">
        <v>0.36</v>
      </c>
      <c r="J691">
        <v>303.64</v>
      </c>
      <c r="M691" s="21">
        <f t="shared" si="90"/>
        <v>0.36</v>
      </c>
      <c r="N691" s="8">
        <f t="shared" si="88"/>
        <v>0.36</v>
      </c>
      <c r="O691" s="25">
        <f t="shared" si="85"/>
        <v>17996.589999999938</v>
      </c>
      <c r="P691" s="8">
        <f t="shared" si="91"/>
        <v>0</v>
      </c>
      <c r="Q691" s="4">
        <f>IF(AND(S691&gt;=[1]eRRSP_Rpt!$C$6,S691&lt;=[1]eRRSP_Rpt!$C$7),1,0)</f>
        <v>1</v>
      </c>
      <c r="R691" s="4"/>
      <c r="S691" s="4">
        <f t="shared" si="89"/>
        <v>2010</v>
      </c>
      <c r="T691" s="4"/>
      <c r="U691" s="4" t="str">
        <f t="shared" si="92"/>
        <v>IntIncTDW</v>
      </c>
      <c r="V691" s="23">
        <f>IFERROR(IF(AND(AB691&gt;0,B691&lt;&gt;"Sell"),(AA691-SUMIF(C$4:C690,C691,AC$4:AC691))/AB691,0),"")</f>
        <v>0</v>
      </c>
      <c r="W691" s="24" t="str">
        <f t="shared" si="87"/>
        <v/>
      </c>
      <c r="X691" s="25" t="str">
        <f t="shared" si="86"/>
        <v/>
      </c>
      <c r="Y691" s="10" t="str">
        <f>IF(S692&lt;&gt;eRRSP_Tx_Table[[#This Row],[Year]],SUMIFS($W$4:$W691,$S$4:$S691,eRRSP_Tx_Table[[#This Row],[Year]],$W$4:$W691,"&gt;0"),"")</f>
        <v/>
      </c>
      <c r="Z691" s="10" t="str">
        <f>IF(S692&lt;&gt;eRRSP_Tx_Table[[#This Row],[Year]],SUMIFS($W$4:$W691,$S$4:$S691,eRRSP_Tx_Table[[#This Row],[Year]],$W$4:$W691,"&lt;0"),"")</f>
        <v/>
      </c>
      <c r="AA691" s="3">
        <f>(SUMIF($U$4:$U691,CONCATENATE("Buy",$C691),$N$4:$N691)+SUMIF($U$4:$U691,CONCATENATE("ReinvDiv",$C691),$N$4:$N691))</f>
        <v>0</v>
      </c>
      <c r="AB691">
        <f>(SUMIF($U$4:$U691,CONCATENATE("Buy",$C691),$F$4:$F691)+SUMIF($U$4:$U691,CONCATENATE("ReinvDiv",$C691),$F$4:$F691)+SUMIF($U$4:$U691,CONCATENATE("StkSplit",$C691),$F$4:$F691)-SUMIF($U$4:$U691,CONCATENATE("Sell",$C691),$F$4:$F691))</f>
        <v>0</v>
      </c>
      <c r="AC691" s="3">
        <f>IF(B691="Sell",F691*INDEX(V:V,LOOKUP(2,1/(X$4:X690=CONCATENATE(C691,"_ACB")),ROW(V$4:V690))),0)</f>
        <v>0</v>
      </c>
    </row>
    <row r="692" spans="1:29" x14ac:dyDescent="0.25">
      <c r="A692" s="20">
        <v>40528</v>
      </c>
      <c r="B692" t="s">
        <v>41</v>
      </c>
      <c r="C692" t="s">
        <v>96</v>
      </c>
      <c r="D692" s="3">
        <v>301.88</v>
      </c>
      <c r="E692">
        <v>21.000299999999999</v>
      </c>
      <c r="F692" s="3">
        <v>14.375</v>
      </c>
      <c r="J692">
        <v>162.4</v>
      </c>
      <c r="M692" s="21">
        <f t="shared" si="90"/>
        <v>301.88</v>
      </c>
      <c r="N692" s="8">
        <f t="shared" si="88"/>
        <v>-301.88</v>
      </c>
      <c r="O692" s="25">
        <f t="shared" si="85"/>
        <v>17996.589999999938</v>
      </c>
      <c r="P692" s="8">
        <f t="shared" si="91"/>
        <v>0</v>
      </c>
      <c r="Q692" s="4">
        <f>IF(AND(S692&gt;=[1]eRRSP_Rpt!$C$6,S692&lt;=[1]eRRSP_Rpt!$C$7),1,0)</f>
        <v>1</v>
      </c>
      <c r="R692" s="4"/>
      <c r="S692" s="4">
        <f t="shared" si="89"/>
        <v>2010</v>
      </c>
      <c r="T692" s="4"/>
      <c r="U692" s="4" t="str">
        <f t="shared" si="92"/>
        <v>ReinvDivTD Canadian Index - e</v>
      </c>
      <c r="V692" s="23">
        <f>IFERROR(IF(AND(AB692&gt;0,B692&lt;&gt;"Sell"),(AA692-SUMIF(C$4:C691,C692,AC$4:AC692))/AB692,0),"")</f>
        <v>-19.517704081632651</v>
      </c>
      <c r="W692" s="24" t="str">
        <f t="shared" si="87"/>
        <v/>
      </c>
      <c r="X692" s="25" t="str">
        <f t="shared" si="86"/>
        <v>TD Canadian Index - e_ACB</v>
      </c>
      <c r="Y692" s="10" t="str">
        <f>IF(S693&lt;&gt;eRRSP_Tx_Table[[#This Row],[Year]],SUMIFS($W$4:$W692,$S$4:$S692,eRRSP_Tx_Table[[#This Row],[Year]],$W$4:$W692,"&gt;0"),"")</f>
        <v/>
      </c>
      <c r="Z692" s="10" t="str">
        <f>IF(S693&lt;&gt;eRRSP_Tx_Table[[#This Row],[Year]],SUMIFS($W$4:$W692,$S$4:$S692,eRRSP_Tx_Table[[#This Row],[Year]],$W$4:$W692,"&lt;0"),"")</f>
        <v/>
      </c>
      <c r="AA692" s="3">
        <f>(SUMIF($U$4:$U692,CONCATENATE("Buy",$C692),$N$4:$N692)+SUMIF($U$4:$U692,CONCATENATE("ReinvDiv",$C692),$N$4:$N692))</f>
        <v>-15301.88</v>
      </c>
      <c r="AB692">
        <f>(SUMIF($U$4:$U692,CONCATENATE("Buy",$C692),$F$4:$F692)+SUMIF($U$4:$U692,CONCATENATE("ReinvDiv",$C692),$F$4:$F692)+SUMIF($U$4:$U692,CONCATENATE("StkSplit",$C692),$F$4:$F692)-SUMIF($U$4:$U692,CONCATENATE("Sell",$C692),$F$4:$F692))</f>
        <v>784</v>
      </c>
      <c r="AC692" s="3">
        <f>IF(B692="Sell",F692*INDEX(V:V,LOOKUP(2,1/(X$4:X691=CONCATENATE(C692,"_ACB")),ROW(V$4:V691))),0)</f>
        <v>0</v>
      </c>
    </row>
    <row r="693" spans="1:29" x14ac:dyDescent="0.25">
      <c r="A693" s="20">
        <v>40528</v>
      </c>
      <c r="B693" t="s">
        <v>41</v>
      </c>
      <c r="C693" t="s">
        <v>58</v>
      </c>
      <c r="D693" s="3">
        <v>303.64</v>
      </c>
      <c r="E693">
        <v>7.67</v>
      </c>
      <c r="F693" s="3">
        <v>39.588000000000001</v>
      </c>
      <c r="J693">
        <v>91.96</v>
      </c>
      <c r="M693" s="21">
        <f t="shared" si="90"/>
        <v>303.64</v>
      </c>
      <c r="N693" s="8">
        <f t="shared" si="88"/>
        <v>-303.64</v>
      </c>
      <c r="O693" s="25">
        <f t="shared" si="85"/>
        <v>17996.589999999938</v>
      </c>
      <c r="P693" s="8">
        <f t="shared" si="91"/>
        <v>0</v>
      </c>
      <c r="Q693" s="4">
        <f>IF(AND(S693&gt;=[1]eRRSP_Rpt!$C$6,S693&lt;=[1]eRRSP_Rpt!$C$7),1,0)</f>
        <v>1</v>
      </c>
      <c r="R693" s="4"/>
      <c r="S693" s="4">
        <f t="shared" si="89"/>
        <v>2010</v>
      </c>
      <c r="T693" s="4"/>
      <c r="U693" s="4" t="str">
        <f t="shared" si="92"/>
        <v>ReinvDivTD DJIA Index</v>
      </c>
      <c r="V693" s="23">
        <f>IFERROR(IF(AND(AB693&gt;0,B693&lt;&gt;"Sell"),(AA693-SUMIF(C$4:C692,C693,AC$4:AC693))/AB693,0),"")</f>
        <v>-7.2397165912746351</v>
      </c>
      <c r="W693" s="24" t="str">
        <f t="shared" si="87"/>
        <v/>
      </c>
      <c r="X693" s="25" t="str">
        <f t="shared" si="86"/>
        <v>TD DJIA Index_ACB</v>
      </c>
      <c r="Y693" s="10" t="str">
        <f>IF(S694&lt;&gt;eRRSP_Tx_Table[[#This Row],[Year]],SUMIFS($W$4:$W693,$S$4:$S693,eRRSP_Tx_Table[[#This Row],[Year]],$W$4:$W693,"&gt;0"),"")</f>
        <v/>
      </c>
      <c r="Z693" s="10" t="str">
        <f>IF(S694&lt;&gt;eRRSP_Tx_Table[[#This Row],[Year]],SUMIFS($W$4:$W693,$S$4:$S693,eRRSP_Tx_Table[[#This Row],[Year]],$W$4:$W693,"&lt;0"),"")</f>
        <v/>
      </c>
      <c r="AA693" s="3">
        <f>(SUMIF($U$4:$U693,CONCATENATE("Buy",$C693),$N$4:$N693)+SUMIF($U$4:$U693,CONCATENATE("ReinvDiv",$C693),$N$4:$N693))</f>
        <v>-17416.14</v>
      </c>
      <c r="AB693">
        <f>(SUMIF($U$4:$U693,CONCATENATE("Buy",$C693),$F$4:$F693)+SUMIF($U$4:$U693,CONCATENATE("ReinvDiv",$C693),$F$4:$F693)+SUMIF($U$4:$U693,CONCATENATE("StkSplit",$C693),$F$4:$F693)-SUMIF($U$4:$U693,CONCATENATE("Sell",$C693),$F$4:$F693))</f>
        <v>2251.9659999999999</v>
      </c>
      <c r="AC693" s="3">
        <f>IF(B693="Sell",F693*INDEX(V:V,LOOKUP(2,1/(X$4:X692=CONCATENATE(C693,"_ACB")),ROW(V$4:V692))),0)</f>
        <v>0</v>
      </c>
    </row>
    <row r="694" spans="1:29" x14ac:dyDescent="0.25">
      <c r="A694" s="20">
        <v>40528</v>
      </c>
      <c r="B694" t="s">
        <v>41</v>
      </c>
      <c r="C694" t="s">
        <v>97</v>
      </c>
      <c r="D694" s="3">
        <v>162.4</v>
      </c>
      <c r="E694">
        <f>eRRSP_Tx_Table[[#This Row],[Amount]]/eRRSP_Tx_Table[[#This Row],[Quantity]]</f>
        <v>9.010208610741234</v>
      </c>
      <c r="F694" s="3">
        <v>18.024000000000001</v>
      </c>
      <c r="J694">
        <v>21.71</v>
      </c>
      <c r="M694" s="21">
        <f t="shared" si="90"/>
        <v>162.4</v>
      </c>
      <c r="N694" s="8">
        <f t="shared" si="88"/>
        <v>-162.4</v>
      </c>
      <c r="O694" s="25">
        <f t="shared" si="85"/>
        <v>17996.589999999938</v>
      </c>
      <c r="P694" s="8">
        <f t="shared" si="91"/>
        <v>0</v>
      </c>
      <c r="Q694" s="4">
        <f>IF(AND(S694&gt;=[1]eRRSP_Rpt!$C$6,S694&lt;=[1]eRRSP_Rpt!$C$7),1,0)</f>
        <v>1</v>
      </c>
      <c r="R694" s="4"/>
      <c r="S694" s="4">
        <f t="shared" si="89"/>
        <v>2010</v>
      </c>
      <c r="T694" s="4"/>
      <c r="U694" s="4" t="str">
        <f t="shared" si="92"/>
        <v>ReinvDivTD International Index - e</v>
      </c>
      <c r="V694" s="23">
        <f>IFERROR(IF(AND(AB694&gt;0,B694&lt;&gt;"Sell"),(AA694-SUMIF(C$4:C693,C694,AC$4:AC694))/AB694,0),"")</f>
        <v>-8.3401816342902695</v>
      </c>
      <c r="W694" s="24" t="str">
        <f t="shared" si="87"/>
        <v/>
      </c>
      <c r="X694" s="25" t="str">
        <f t="shared" si="86"/>
        <v>TD International Index - e_ACB</v>
      </c>
      <c r="Y694" s="10" t="str">
        <f>IF(S695&lt;&gt;eRRSP_Tx_Table[[#This Row],[Year]],SUMIFS($W$4:$W694,$S$4:$S694,eRRSP_Tx_Table[[#This Row],[Year]],$W$4:$W694,"&gt;0"),"")</f>
        <v/>
      </c>
      <c r="Z694" s="10" t="str">
        <f>IF(S695&lt;&gt;eRRSP_Tx_Table[[#This Row],[Year]],SUMIFS($W$4:$W694,$S$4:$S694,eRRSP_Tx_Table[[#This Row],[Year]],$W$4:$W694,"&lt;0"),"")</f>
        <v/>
      </c>
      <c r="AA694" s="3">
        <f>(SUMIF($U$4:$U694,CONCATENATE("Buy",$C694),$N$4:$N694)+SUMIF($U$4:$U694,CONCATENATE("ReinvDiv",$C694),$N$4:$N694))</f>
        <v>-27113.329999999998</v>
      </c>
      <c r="AB694">
        <f>(SUMIF($U$4:$U694,CONCATENATE("Buy",$C694),$F$4:$F694)+SUMIF($U$4:$U694,CONCATENATE("ReinvDiv",$C694),$F$4:$F694)+SUMIF($U$4:$U694,CONCATENATE("StkSplit",$C694),$F$4:$F694)-SUMIF($U$4:$U694,CONCATENATE("Sell",$C694),$F$4:$F694))</f>
        <v>3250.9279999999999</v>
      </c>
      <c r="AC694" s="3">
        <f>IF(B694="Sell",F694*INDEX(V:V,LOOKUP(2,1/(X$4:X693=CONCATENATE(C694,"_ACB")),ROW(V$4:V693))),0)</f>
        <v>0</v>
      </c>
    </row>
    <row r="695" spans="1:29" x14ac:dyDescent="0.25">
      <c r="A695" s="20">
        <v>40528</v>
      </c>
      <c r="B695" t="s">
        <v>41</v>
      </c>
      <c r="C695" t="s">
        <v>62</v>
      </c>
      <c r="D695" s="3">
        <v>91.96</v>
      </c>
      <c r="E695">
        <v>16.190100000000001</v>
      </c>
      <c r="F695" s="3">
        <v>5.68</v>
      </c>
      <c r="J695">
        <v>39.94</v>
      </c>
      <c r="M695" s="21">
        <f t="shared" si="90"/>
        <v>91.96</v>
      </c>
      <c r="N695" s="8">
        <f t="shared" si="88"/>
        <v>-91.96</v>
      </c>
      <c r="O695" s="25">
        <f t="shared" si="85"/>
        <v>17996.589999999938</v>
      </c>
      <c r="P695" s="8">
        <f t="shared" si="91"/>
        <v>0</v>
      </c>
      <c r="Q695" s="4">
        <f>IF(AND(S695&gt;=[1]eRRSP_Rpt!$C$6,S695&lt;=[1]eRRSP_Rpt!$C$7),1,0)</f>
        <v>1</v>
      </c>
      <c r="R695" s="4"/>
      <c r="S695" s="4">
        <f t="shared" si="89"/>
        <v>2010</v>
      </c>
      <c r="T695" s="4"/>
      <c r="U695" s="4" t="str">
        <f t="shared" si="92"/>
        <v>ReinvDivTD RR Bond</v>
      </c>
      <c r="V695" s="23">
        <f>IFERROR(IF(AND(AB695&gt;0,B695&lt;&gt;"Sell"),(AA695-SUMIF(C$4:C694,C695,AC$4:AC695))/AB695,0),"")</f>
        <v>-14.282203387443419</v>
      </c>
      <c r="W695" s="24" t="str">
        <f t="shared" si="87"/>
        <v/>
      </c>
      <c r="X695" s="25" t="str">
        <f t="shared" si="86"/>
        <v>TD RR Bond_ACB</v>
      </c>
      <c r="Y695" s="10" t="str">
        <f>IF(S696&lt;&gt;eRRSP_Tx_Table[[#This Row],[Year]],SUMIFS($W$4:$W695,$S$4:$S695,eRRSP_Tx_Table[[#This Row],[Year]],$W$4:$W695,"&gt;0"),"")</f>
        <v/>
      </c>
      <c r="Z695" s="10" t="str">
        <f>IF(S696&lt;&gt;eRRSP_Tx_Table[[#This Row],[Year]],SUMIFS($W$4:$W695,$S$4:$S695,eRRSP_Tx_Table[[#This Row],[Year]],$W$4:$W695,"&lt;0"),"")</f>
        <v/>
      </c>
      <c r="AA695" s="3">
        <f>(SUMIF($U$4:$U695,CONCATENATE("Buy",$C695),$N$4:$N695)+SUMIF($U$4:$U695,CONCATENATE("ReinvDiv",$C695),$N$4:$N695))</f>
        <v>-10140.85</v>
      </c>
      <c r="AB695">
        <f>(SUMIF($U$4:$U695,CONCATENATE("Buy",$C695),$F$4:$F695)+SUMIF($U$4:$U695,CONCATENATE("ReinvDiv",$C695),$F$4:$F695)+SUMIF($U$4:$U695,CONCATENATE("StkSplit",$C695),$F$4:$F695)-SUMIF($U$4:$U695,CONCATENATE("Sell",$C695),$F$4:$F695))</f>
        <v>710.03399999999999</v>
      </c>
      <c r="AC695" s="3">
        <f>IF(B695="Sell",F695*INDEX(V:V,LOOKUP(2,1/(X$4:X694=CONCATENATE(C695,"_ACB")),ROW(V$4:V694))),0)</f>
        <v>0</v>
      </c>
    </row>
    <row r="696" spans="1:29" x14ac:dyDescent="0.25">
      <c r="A696" s="20">
        <v>40543</v>
      </c>
      <c r="B696" t="s">
        <v>42</v>
      </c>
      <c r="C696" t="s">
        <v>90</v>
      </c>
      <c r="D696" s="3">
        <v>21.71</v>
      </c>
      <c r="J696">
        <v>0.38</v>
      </c>
      <c r="M696" s="21">
        <f t="shared" si="90"/>
        <v>21.71</v>
      </c>
      <c r="N696" s="8">
        <f t="shared" si="88"/>
        <v>21.71</v>
      </c>
      <c r="O696" s="25">
        <f t="shared" si="85"/>
        <v>18018.299999999937</v>
      </c>
      <c r="P696" s="8">
        <f t="shared" si="91"/>
        <v>0</v>
      </c>
      <c r="Q696" s="4">
        <f>IF(AND(S696&gt;=[1]eRRSP_Rpt!$C$6,S696&lt;=[1]eRRSP_Rpt!$C$7),1,0)</f>
        <v>1</v>
      </c>
      <c r="R696" s="4"/>
      <c r="S696" s="4">
        <f t="shared" si="89"/>
        <v>2010</v>
      </c>
      <c r="T696" s="4"/>
      <c r="U696" s="4" t="str">
        <f t="shared" si="92"/>
        <v>DivVanguard Large Cap ETF</v>
      </c>
      <c r="V696" s="23">
        <f>IFERROR(IF(AND(AB696&gt;0,B696&lt;&gt;"Sell"),(AA696-SUMIF(C$4:C695,C696,AC$4:AC696))/AB696,0),"")</f>
        <v>-74.401142857142858</v>
      </c>
      <c r="W696" s="24" t="str">
        <f t="shared" si="87"/>
        <v/>
      </c>
      <c r="X696" s="25" t="str">
        <f t="shared" si="86"/>
        <v>Vanguard Large Cap ETF_ACB</v>
      </c>
      <c r="Y696" s="10" t="str">
        <f>IF(S697&lt;&gt;eRRSP_Tx_Table[[#This Row],[Year]],SUMIFS($W$4:$W696,$S$4:$S696,eRRSP_Tx_Table[[#This Row],[Year]],$W$4:$W696,"&gt;0"),"")</f>
        <v/>
      </c>
      <c r="Z696" s="10" t="str">
        <f>IF(S697&lt;&gt;eRRSP_Tx_Table[[#This Row],[Year]],SUMIFS($W$4:$W696,$S$4:$S696,eRRSP_Tx_Table[[#This Row],[Year]],$W$4:$W696,"&lt;0"),"")</f>
        <v/>
      </c>
      <c r="AA696" s="3">
        <f>(SUMIF($U$4:$U696,CONCATENATE("Buy",$C696),$N$4:$N696)+SUMIF($U$4:$U696,CONCATENATE("ReinvDiv",$C696),$N$4:$N696))</f>
        <v>-5208.08</v>
      </c>
      <c r="AB696">
        <f>(SUMIF($U$4:$U696,CONCATENATE("Buy",$C696),$F$4:$F696)+SUMIF($U$4:$U696,CONCATENATE("ReinvDiv",$C696),$F$4:$F696)+SUMIF($U$4:$U696,CONCATENATE("StkSplit",$C696),$F$4:$F696)-SUMIF($U$4:$U696,CONCATENATE("Sell",$C696),$F$4:$F696))</f>
        <v>70</v>
      </c>
      <c r="AC696" s="3">
        <f>IF(B696="Sell",F696*INDEX(V:V,LOOKUP(2,1/(X$4:X695=CONCATENATE(C696,"_ACB")),ROW(V$4:V695))),0)</f>
        <v>0</v>
      </c>
    </row>
    <row r="697" spans="1:29" ht="13.5" customHeight="1" x14ac:dyDescent="0.25">
      <c r="A697" s="32">
        <f>A635+364</f>
        <v>40543</v>
      </c>
      <c r="B697" s="33"/>
      <c r="C697" s="33"/>
      <c r="D697" s="34"/>
      <c r="E697" s="33"/>
      <c r="F697" s="34"/>
      <c r="G697" s="33"/>
      <c r="H697" s="33"/>
      <c r="I697" s="33"/>
      <c r="J697" s="33"/>
      <c r="K697" s="33"/>
      <c r="L697" s="33"/>
      <c r="M697" s="35"/>
      <c r="N697" s="8">
        <f t="shared" si="88"/>
        <v>0</v>
      </c>
      <c r="O697" s="36"/>
      <c r="P697" s="37">
        <v>-135233.73000000001</v>
      </c>
      <c r="Q697" s="4">
        <f>IF(AND(S697&gt;=[1]eRRSP_Rpt!$C$6,S697&lt;=[1]eRRSP_Rpt!$C$7),1,0)</f>
        <v>1</v>
      </c>
      <c r="R697" s="4" t="s">
        <v>34</v>
      </c>
      <c r="S697" s="4">
        <f>YEAR(A697)</f>
        <v>2010</v>
      </c>
      <c r="T697" s="22"/>
      <c r="U697" s="4"/>
      <c r="V697" s="23">
        <f>IFERROR(IF(AND(AB697&gt;0,B697&lt;&gt;"Sell"),(AA697-SUMIF(C$4:C696,C697,AC$4:AC697))/AB697,0),"")</f>
        <v>0</v>
      </c>
      <c r="W697" s="24" t="str">
        <f t="shared" si="87"/>
        <v/>
      </c>
      <c r="X697" s="25" t="str">
        <f t="shared" si="86"/>
        <v/>
      </c>
      <c r="Y697" s="10">
        <f>IF(S698&lt;&gt;eRRSP_Tx_Table[[#This Row],[Year]],SUMIFS($W$4:$W697,$S$4:$S697,eRRSP_Tx_Table[[#This Row],[Year]],$W$4:$W697,"&gt;0"),"")</f>
        <v>0</v>
      </c>
      <c r="Z697" s="10">
        <f>IF(S698&lt;&gt;eRRSP_Tx_Table[[#This Row],[Year]],SUMIFS($W$4:$W697,$S$4:$S697,eRRSP_Tx_Table[[#This Row],[Year]],$W$4:$W697,"&lt;0"),"")</f>
        <v>-2675.41</v>
      </c>
      <c r="AA697" s="3">
        <f>(SUMIF($U$4:$U697,CONCATENATE("Buy",$C697),$N$4:$N697)+SUMIF($U$4:$U697,CONCATENATE("ReinvDiv",$C697),$N$4:$N697))</f>
        <v>0</v>
      </c>
      <c r="AB697">
        <f>(SUMIF($U$4:$U697,CONCATENATE("Buy",$C697),$F$4:$F697)+SUMIF($U$4:$U697,CONCATENATE("ReinvDiv",$C697),$F$4:$F697)+SUMIF($U$4:$U697,CONCATENATE("StkSplit",$C697),$F$4:$F697)-SUMIF($U$4:$U697,CONCATENATE("Sell",$C697),$F$4:$F697))</f>
        <v>0</v>
      </c>
      <c r="AC697" s="3">
        <f>IF(B697="Sell",F697*INDEX(V:V,LOOKUP(2,1/(X$4:X696=CONCATENATE(C697,"_ACB")),ROW(V$4:V696))),0)</f>
        <v>0</v>
      </c>
    </row>
    <row r="698" spans="1:29" ht="13.5" customHeight="1" x14ac:dyDescent="0.25">
      <c r="A698" s="32">
        <f>A697+1</f>
        <v>40544</v>
      </c>
      <c r="B698" s="33"/>
      <c r="C698" s="33"/>
      <c r="D698" s="34"/>
      <c r="E698" s="33"/>
      <c r="F698" s="34"/>
      <c r="G698" s="33"/>
      <c r="H698" s="33"/>
      <c r="I698" s="33"/>
      <c r="J698" s="33"/>
      <c r="K698" s="33"/>
      <c r="L698" s="33"/>
      <c r="M698" s="35"/>
      <c r="N698" s="8">
        <f t="shared" si="88"/>
        <v>0</v>
      </c>
      <c r="O698" s="36"/>
      <c r="P698" s="37">
        <f>-P697</f>
        <v>135233.73000000001</v>
      </c>
      <c r="Q698" s="4">
        <f>IF(AND(S698&gt;=[1]eRRSP_Rpt!$C$6,S698&lt;=[1]eRRSP_Rpt!$C$7),1,0)</f>
        <v>1</v>
      </c>
      <c r="R698" s="4" t="s">
        <v>34</v>
      </c>
      <c r="S698" s="4">
        <f>YEAR(A698)</f>
        <v>2011</v>
      </c>
      <c r="T698" s="22"/>
      <c r="U698" s="4"/>
      <c r="V698" s="23">
        <f>IFERROR(IF(AND(AB698&gt;0,B698&lt;&gt;"Sell"),(AA698-SUMIF(C$4:C697,C698,AC$4:AC698))/AB698,0),"")</f>
        <v>0</v>
      </c>
      <c r="W698" s="24" t="str">
        <f t="shared" si="87"/>
        <v/>
      </c>
      <c r="X698" s="25" t="str">
        <f t="shared" si="86"/>
        <v/>
      </c>
      <c r="Y698" s="10" t="str">
        <f>IF(S699&lt;&gt;eRRSP_Tx_Table[[#This Row],[Year]],SUMIFS($W$4:$W698,$S$4:$S698,eRRSP_Tx_Table[[#This Row],[Year]],$W$4:$W698,"&gt;0"),"")</f>
        <v/>
      </c>
      <c r="Z698" s="10" t="str">
        <f>IF(S699&lt;&gt;eRRSP_Tx_Table[[#This Row],[Year]],SUMIFS($W$4:$W698,$S$4:$S698,eRRSP_Tx_Table[[#This Row],[Year]],$W$4:$W698,"&lt;0"),"")</f>
        <v/>
      </c>
      <c r="AA698" s="3">
        <f>(SUMIF($U$4:$U698,CONCATENATE("Buy",$C698),$N$4:$N698)+SUMIF($U$4:$U698,CONCATENATE("ReinvDiv",$C698),$N$4:$N698))</f>
        <v>0</v>
      </c>
      <c r="AB698">
        <f>(SUMIF($U$4:$U698,CONCATENATE("Buy",$C698),$F$4:$F698)+SUMIF($U$4:$U698,CONCATENATE("ReinvDiv",$C698),$F$4:$F698)+SUMIF($U$4:$U698,CONCATENATE("StkSplit",$C698),$F$4:$F698)-SUMIF($U$4:$U698,CONCATENATE("Sell",$C698),$F$4:$F698))</f>
        <v>0</v>
      </c>
      <c r="AC698" s="3">
        <f>IF(B698="Sell",F698*INDEX(V:V,LOOKUP(2,1/(X$4:X697=CONCATENATE(C698,"_ACB")),ROW(V$4:V697))),0)</f>
        <v>0</v>
      </c>
    </row>
    <row r="699" spans="1:29" x14ac:dyDescent="0.25">
      <c r="A699" s="20">
        <v>40557</v>
      </c>
      <c r="B699" t="s">
        <v>42</v>
      </c>
      <c r="C699" t="s">
        <v>87</v>
      </c>
      <c r="D699" s="3">
        <v>39.94</v>
      </c>
      <c r="J699">
        <v>486.5</v>
      </c>
      <c r="M699" s="21">
        <f t="shared" si="90"/>
        <v>39.94</v>
      </c>
      <c r="N699" s="8">
        <f t="shared" si="88"/>
        <v>39.94</v>
      </c>
      <c r="O699" s="25">
        <f>O696+IF(OR(B699="Cash",B699="Buy",B699="Sell",B699="Div",B699="Rebate",B699="Fees",B699="IntInc",B699="Tax",B699="Distr"),N699,0)</f>
        <v>18058.239999999936</v>
      </c>
      <c r="P699" s="8">
        <f t="shared" si="91"/>
        <v>0</v>
      </c>
      <c r="Q699" s="4">
        <f>IF(AND(S699&gt;=[1]eRRSP_Rpt!$C$6,S699&lt;=[1]eRRSP_Rpt!$C$7),1,0)</f>
        <v>1</v>
      </c>
      <c r="R699" s="4"/>
      <c r="S699" s="4">
        <f t="shared" si="89"/>
        <v>2011</v>
      </c>
      <c r="T699" s="4"/>
      <c r="U699" s="4" t="str">
        <f t="shared" si="92"/>
        <v>DivAberdeen Asia Pacific Income Fund</v>
      </c>
      <c r="V699" s="23">
        <f>IFERROR(IF(AND(AB699&gt;0,B699&lt;&gt;"Sell"),(AA699-SUMIF(C$4:C698,C699,AC$4:AC699))/AB699,0),"")</f>
        <v>-7.4694020797227028</v>
      </c>
      <c r="W699" s="24" t="str">
        <f t="shared" si="87"/>
        <v/>
      </c>
      <c r="X699" s="25" t="str">
        <f t="shared" si="86"/>
        <v>Aberdeen Asia Pacific Income Fund_ACB</v>
      </c>
      <c r="Y699" s="10" t="str">
        <f>IF(S700&lt;&gt;eRRSP_Tx_Table[[#This Row],[Year]],SUMIFS($W$4:$W699,$S$4:$S699,eRRSP_Tx_Table[[#This Row],[Year]],$W$4:$W699,"&gt;0"),"")</f>
        <v/>
      </c>
      <c r="Z699" s="10" t="str">
        <f>IF(S700&lt;&gt;eRRSP_Tx_Table[[#This Row],[Year]],SUMIFS($W$4:$W699,$S$4:$S699,eRRSP_Tx_Table[[#This Row],[Year]],$W$4:$W699,"&lt;0"),"")</f>
        <v/>
      </c>
      <c r="AA699" s="3">
        <f>(SUMIF($U$4:$U699,CONCATENATE("Buy",$C699),$N$4:$N699)+SUMIF($U$4:$U699,CONCATENATE("ReinvDiv",$C699),$N$4:$N699))</f>
        <v>-8619.6899999999987</v>
      </c>
      <c r="AB699">
        <f>(SUMIF($U$4:$U699,CONCATENATE("Buy",$C699),$F$4:$F699)+SUMIF($U$4:$U699,CONCATENATE("ReinvDiv",$C699),$F$4:$F699)+SUMIF($U$4:$U699,CONCATENATE("StkSplit",$C699),$F$4:$F699)-SUMIF($U$4:$U699,CONCATENATE("Sell",$C699),$F$4:$F699))</f>
        <v>1154</v>
      </c>
      <c r="AC699" s="3">
        <f>IF(B699="Sell",F699*INDEX(V:V,LOOKUP(2,1/(X$4:X698=CONCATENATE(C699,"_ACB")),ROW(V$4:V698))),0)</f>
        <v>0</v>
      </c>
    </row>
    <row r="700" spans="1:29" x14ac:dyDescent="0.25">
      <c r="A700" s="20">
        <v>40559</v>
      </c>
      <c r="B700" t="s">
        <v>43</v>
      </c>
      <c r="C700" t="s">
        <v>36</v>
      </c>
      <c r="D700" s="3">
        <v>0.38</v>
      </c>
      <c r="J700">
        <v>0.76</v>
      </c>
      <c r="M700" s="21">
        <f t="shared" si="90"/>
        <v>0.38</v>
      </c>
      <c r="N700" s="8">
        <f t="shared" si="88"/>
        <v>0.38</v>
      </c>
      <c r="O700" s="25">
        <f t="shared" ref="O700:O753" si="93">O699+IF(OR(B700="Cash",B700="Buy",B700="Sell",B700="Div",B700="Rebate",B700="Fees",B700="IntInc",B700="Tax",B700="Distr"),N700,0)</f>
        <v>18058.619999999937</v>
      </c>
      <c r="P700" s="8">
        <f t="shared" si="91"/>
        <v>0</v>
      </c>
      <c r="Q700" s="4">
        <f>IF(AND(S700&gt;=[1]eRRSP_Rpt!$C$6,S700&lt;=[1]eRRSP_Rpt!$C$7),1,0)</f>
        <v>1</v>
      </c>
      <c r="R700" s="4"/>
      <c r="S700" s="4">
        <f t="shared" si="89"/>
        <v>2011</v>
      </c>
      <c r="T700" s="4"/>
      <c r="U700" s="4" t="str">
        <f t="shared" si="92"/>
        <v>IntIncTDW</v>
      </c>
      <c r="V700" s="23">
        <f>IFERROR(IF(AND(AB700&gt;0,B700&lt;&gt;"Sell"),(AA700-SUMIF(C$4:C699,C700,AC$4:AC700))/AB700,0),"")</f>
        <v>0</v>
      </c>
      <c r="W700" s="24" t="str">
        <f t="shared" si="87"/>
        <v/>
      </c>
      <c r="X700" s="25" t="str">
        <f t="shared" si="86"/>
        <v/>
      </c>
      <c r="Y700" s="10" t="str">
        <f>IF(S701&lt;&gt;eRRSP_Tx_Table[[#This Row],[Year]],SUMIFS($W$4:$W700,$S$4:$S700,eRRSP_Tx_Table[[#This Row],[Year]],$W$4:$W700,"&gt;0"),"")</f>
        <v/>
      </c>
      <c r="Z700" s="10" t="str">
        <f>IF(S701&lt;&gt;eRRSP_Tx_Table[[#This Row],[Year]],SUMIFS($W$4:$W700,$S$4:$S700,eRRSP_Tx_Table[[#This Row],[Year]],$W$4:$W700,"&lt;0"),"")</f>
        <v/>
      </c>
      <c r="AA700" s="3">
        <f>(SUMIF($U$4:$U700,CONCATENATE("Buy",$C700),$N$4:$N700)+SUMIF($U$4:$U700,CONCATENATE("ReinvDiv",$C700),$N$4:$N700))</f>
        <v>0</v>
      </c>
      <c r="AB700">
        <f>(SUMIF($U$4:$U700,CONCATENATE("Buy",$C700),$F$4:$F700)+SUMIF($U$4:$U700,CONCATENATE("ReinvDiv",$C700),$F$4:$F700)+SUMIF($U$4:$U700,CONCATENATE("StkSplit",$C700),$F$4:$F700)-SUMIF($U$4:$U700,CONCATENATE("Sell",$C700),$F$4:$F700))</f>
        <v>0</v>
      </c>
      <c r="AC700" s="3">
        <f>IF(B700="Sell",F700*INDEX(V:V,LOOKUP(2,1/(X$4:X699=CONCATENATE(C700,"_ACB")),ROW(V$4:V699))),0)</f>
        <v>0</v>
      </c>
    </row>
    <row r="701" spans="1:29" x14ac:dyDescent="0.25">
      <c r="A701" s="20">
        <v>40569</v>
      </c>
      <c r="B701" t="s">
        <v>43</v>
      </c>
      <c r="C701" t="s">
        <v>94</v>
      </c>
      <c r="D701" s="3">
        <v>486.5</v>
      </c>
      <c r="J701">
        <v>12.2</v>
      </c>
      <c r="M701" s="21">
        <f t="shared" si="90"/>
        <v>486.5</v>
      </c>
      <c r="N701" s="8">
        <f t="shared" si="88"/>
        <v>486.5</v>
      </c>
      <c r="O701" s="25">
        <f t="shared" si="93"/>
        <v>18545.119999999937</v>
      </c>
      <c r="P701" s="8">
        <f t="shared" si="91"/>
        <v>0</v>
      </c>
      <c r="Q701" s="4">
        <f>IF(AND(S701&gt;=[1]eRRSP_Rpt!$C$6,S701&lt;=[1]eRRSP_Rpt!$C$7),1,0)</f>
        <v>1</v>
      </c>
      <c r="R701" s="4"/>
      <c r="S701" s="4">
        <f t="shared" si="89"/>
        <v>2011</v>
      </c>
      <c r="T701" s="4"/>
      <c r="U701" s="4" t="str">
        <f t="shared" si="92"/>
        <v>IntIncAIMIA SER-3  6.95% 26JA17</v>
      </c>
      <c r="V701" s="23">
        <f>IFERROR(IF(AND(AB701&gt;0,B701&lt;&gt;"Sell"),(AA701-SUMIF(C$4:C700,C701,AC$4:AC701))/AB701,0),"")</f>
        <v>-1.0346899999999999</v>
      </c>
      <c r="W701" s="24" t="str">
        <f t="shared" si="87"/>
        <v/>
      </c>
      <c r="X701" s="25" t="str">
        <f t="shared" si="86"/>
        <v>AIMIA SER-3  6.95% 26JA17_ACB</v>
      </c>
      <c r="Y701" s="10" t="str">
        <f>IF(S702&lt;&gt;eRRSP_Tx_Table[[#This Row],[Year]],SUMIFS($W$4:$W701,$S$4:$S701,eRRSP_Tx_Table[[#This Row],[Year]],$W$4:$W701,"&gt;0"),"")</f>
        <v/>
      </c>
      <c r="Z701" s="10" t="str">
        <f>IF(S702&lt;&gt;eRRSP_Tx_Table[[#This Row],[Year]],SUMIFS($W$4:$W701,$S$4:$S701,eRRSP_Tx_Table[[#This Row],[Year]],$W$4:$W701,"&lt;0"),"")</f>
        <v/>
      </c>
      <c r="AA701" s="3">
        <f>(SUMIF($U$4:$U701,CONCATENATE("Buy",$C701),$N$4:$N701)+SUMIF($U$4:$U701,CONCATENATE("ReinvDiv",$C701),$N$4:$N701))</f>
        <v>-14485.66</v>
      </c>
      <c r="AB701">
        <f>(SUMIF($U$4:$U701,CONCATENATE("Buy",$C701),$F$4:$F701)+SUMIF($U$4:$U701,CONCATENATE("ReinvDiv",$C701),$F$4:$F701)+SUMIF($U$4:$U701,CONCATENATE("StkSplit",$C701),$F$4:$F701)-SUMIF($U$4:$U701,CONCATENATE("Sell",$C701),$F$4:$F701))</f>
        <v>14000</v>
      </c>
      <c r="AC701" s="3">
        <f>IF(B701="Sell",F701*INDEX(V:V,LOOKUP(2,1/(X$4:X700=CONCATENATE(C701,"_ACB")),ROW(V$4:V700))),0)</f>
        <v>0</v>
      </c>
    </row>
    <row r="702" spans="1:29" x14ac:dyDescent="0.25">
      <c r="A702" s="20">
        <v>40574</v>
      </c>
      <c r="B702" t="s">
        <v>42</v>
      </c>
      <c r="C702" t="s">
        <v>47</v>
      </c>
      <c r="D702" s="3">
        <v>0.76</v>
      </c>
      <c r="J702">
        <v>40.22</v>
      </c>
      <c r="M702" s="21">
        <f t="shared" si="90"/>
        <v>0.76</v>
      </c>
      <c r="N702" s="8">
        <f t="shared" si="88"/>
        <v>0.76</v>
      </c>
      <c r="O702" s="25">
        <f t="shared" si="93"/>
        <v>18545.879999999936</v>
      </c>
      <c r="P702" s="8">
        <f t="shared" si="91"/>
        <v>0</v>
      </c>
      <c r="Q702" s="4">
        <f>IF(AND(S702&gt;=[1]eRRSP_Rpt!$C$6,S702&lt;=[1]eRRSP_Rpt!$C$7),1,0)</f>
        <v>1</v>
      </c>
      <c r="R702" s="4"/>
      <c r="S702" s="4">
        <f t="shared" si="89"/>
        <v>2011</v>
      </c>
      <c r="T702" s="4"/>
      <c r="U702" s="4" t="str">
        <f t="shared" si="92"/>
        <v>DivBombardier</v>
      </c>
      <c r="V702" s="23">
        <f>IFERROR(IF(AND(AB702&gt;0,B702&lt;&gt;"Sell"),(AA702-SUMIF(C$4:C701,C702,AC$4:AC702))/AB702,0),"")</f>
        <v>-23.216666666666665</v>
      </c>
      <c r="W702" s="24" t="str">
        <f t="shared" si="87"/>
        <v/>
      </c>
      <c r="X702" s="25" t="str">
        <f t="shared" si="86"/>
        <v>Bombardier_ACB</v>
      </c>
      <c r="Y702" s="10" t="str">
        <f>IF(S703&lt;&gt;eRRSP_Tx_Table[[#This Row],[Year]],SUMIFS($W$4:$W702,$S$4:$S702,eRRSP_Tx_Table[[#This Row],[Year]],$W$4:$W702,"&gt;0"),"")</f>
        <v/>
      </c>
      <c r="Z702" s="10" t="str">
        <f>IF(S703&lt;&gt;eRRSP_Tx_Table[[#This Row],[Year]],SUMIFS($W$4:$W702,$S$4:$S702,eRRSP_Tx_Table[[#This Row],[Year]],$W$4:$W702,"&lt;0"),"")</f>
        <v/>
      </c>
      <c r="AA702" s="3">
        <f>(SUMIF($U$4:$U702,CONCATENATE("Buy",$C702),$N$4:$N702)+SUMIF($U$4:$U702,CONCATENATE("ReinvDiv",$C702),$N$4:$N702))</f>
        <v>-696.5</v>
      </c>
      <c r="AB702">
        <f>(SUMIF($U$4:$U702,CONCATENATE("Buy",$C702),$F$4:$F702)+SUMIF($U$4:$U702,CONCATENATE("ReinvDiv",$C702),$F$4:$F702)+SUMIF($U$4:$U702,CONCATENATE("StkSplit",$C702),$F$4:$F702)-SUMIF($U$4:$U702,CONCATENATE("Sell",$C702),$F$4:$F702))</f>
        <v>30</v>
      </c>
      <c r="AC702" s="3">
        <f>IF(B702="Sell",F702*INDEX(V:V,LOOKUP(2,1/(X$4:X701=CONCATENATE(C702,"_ACB")),ROW(V$4:V701))),0)</f>
        <v>0</v>
      </c>
    </row>
    <row r="703" spans="1:29" x14ac:dyDescent="0.25">
      <c r="A703" s="20">
        <v>40574</v>
      </c>
      <c r="B703" t="s">
        <v>42</v>
      </c>
      <c r="C703" t="s">
        <v>45</v>
      </c>
      <c r="D703" s="3">
        <v>12.2</v>
      </c>
      <c r="J703">
        <v>0.39</v>
      </c>
      <c r="M703" s="21">
        <f t="shared" si="90"/>
        <v>12.2</v>
      </c>
      <c r="N703" s="8">
        <f t="shared" si="88"/>
        <v>12.2</v>
      </c>
      <c r="O703" s="25">
        <f t="shared" si="93"/>
        <v>18558.079999999936</v>
      </c>
      <c r="P703" s="8">
        <f t="shared" si="91"/>
        <v>0</v>
      </c>
      <c r="Q703" s="4">
        <f>IF(AND(S703&gt;=[1]eRRSP_Rpt!$C$6,S703&lt;=[1]eRRSP_Rpt!$C$7),1,0)</f>
        <v>1</v>
      </c>
      <c r="R703" s="4"/>
      <c r="S703" s="4">
        <f t="shared" si="89"/>
        <v>2011</v>
      </c>
      <c r="T703" s="4"/>
      <c r="U703" s="4" t="str">
        <f t="shared" si="92"/>
        <v>DivTD Bank</v>
      </c>
      <c r="V703" s="23">
        <f>IFERROR(IF(AND(AB703&gt;0,B703&lt;&gt;"Sell"),(AA703-SUMIF(C$4:C702,C703,AC$4:AC703))/AB703,0),"")</f>
        <v>-44.29</v>
      </c>
      <c r="W703" s="24" t="str">
        <f t="shared" si="87"/>
        <v/>
      </c>
      <c r="X703" s="25" t="str">
        <f t="shared" si="86"/>
        <v>TD Bank_ACB</v>
      </c>
      <c r="Y703" s="10" t="str">
        <f>IF(S704&lt;&gt;eRRSP_Tx_Table[[#This Row],[Year]],SUMIFS($W$4:$W703,$S$4:$S703,eRRSP_Tx_Table[[#This Row],[Year]],$W$4:$W703,"&gt;0"),"")</f>
        <v/>
      </c>
      <c r="Z703" s="10" t="str">
        <f>IF(S704&lt;&gt;eRRSP_Tx_Table[[#This Row],[Year]],SUMIFS($W$4:$W703,$S$4:$S703,eRRSP_Tx_Table[[#This Row],[Year]],$W$4:$W703,"&lt;0"),"")</f>
        <v/>
      </c>
      <c r="AA703" s="3">
        <f>(SUMIF($U$4:$U703,CONCATENATE("Buy",$C703),$N$4:$N703)+SUMIF($U$4:$U703,CONCATENATE("ReinvDiv",$C703),$N$4:$N703))</f>
        <v>-885.8</v>
      </c>
      <c r="AB703">
        <f>(SUMIF($U$4:$U703,CONCATENATE("Buy",$C703),$F$4:$F703)+SUMIF($U$4:$U703,CONCATENATE("ReinvDiv",$C703),$F$4:$F703)+SUMIF($U$4:$U703,CONCATENATE("StkSplit",$C703),$F$4:$F703)-SUMIF($U$4:$U703,CONCATENATE("Sell",$C703),$F$4:$F703))</f>
        <v>20</v>
      </c>
      <c r="AC703" s="3">
        <f>IF(B703="Sell",F703*INDEX(V:V,LOOKUP(2,1/(X$4:X702=CONCATENATE(C703,"_ACB")),ROW(V$4:V702))),0)</f>
        <v>0</v>
      </c>
    </row>
    <row r="704" spans="1:29" x14ac:dyDescent="0.25">
      <c r="A704" s="20">
        <v>40585</v>
      </c>
      <c r="B704" t="s">
        <v>42</v>
      </c>
      <c r="C704" t="s">
        <v>87</v>
      </c>
      <c r="D704" s="3">
        <v>40.22</v>
      </c>
      <c r="J704">
        <v>6204</v>
      </c>
      <c r="M704" s="21">
        <f t="shared" si="90"/>
        <v>40.22</v>
      </c>
      <c r="N704" s="8">
        <f t="shared" si="88"/>
        <v>40.22</v>
      </c>
      <c r="O704" s="25">
        <f t="shared" si="93"/>
        <v>18598.299999999937</v>
      </c>
      <c r="P704" s="8">
        <f t="shared" si="91"/>
        <v>0</v>
      </c>
      <c r="Q704" s="4">
        <f>IF(AND(S704&gt;=[1]eRRSP_Rpt!$C$6,S704&lt;=[1]eRRSP_Rpt!$C$7),1,0)</f>
        <v>1</v>
      </c>
      <c r="R704" s="4"/>
      <c r="S704" s="4">
        <f t="shared" si="89"/>
        <v>2011</v>
      </c>
      <c r="T704" s="4"/>
      <c r="U704" s="4" t="str">
        <f t="shared" si="92"/>
        <v>DivAberdeen Asia Pacific Income Fund</v>
      </c>
      <c r="V704" s="23">
        <f>IFERROR(IF(AND(AB704&gt;0,B704&lt;&gt;"Sell"),(AA704-SUMIF(C$4:C703,C704,AC$4:AC704))/AB704,0),"")</f>
        <v>-7.4694020797227028</v>
      </c>
      <c r="W704" s="24" t="str">
        <f t="shared" si="87"/>
        <v/>
      </c>
      <c r="X704" s="25" t="str">
        <f t="shared" si="86"/>
        <v>Aberdeen Asia Pacific Income Fund_ACB</v>
      </c>
      <c r="Y704" s="10" t="str">
        <f>IF(S705&lt;&gt;eRRSP_Tx_Table[[#This Row],[Year]],SUMIFS($W$4:$W704,$S$4:$S704,eRRSP_Tx_Table[[#This Row],[Year]],$W$4:$W704,"&gt;0"),"")</f>
        <v/>
      </c>
      <c r="Z704" s="10" t="str">
        <f>IF(S705&lt;&gt;eRRSP_Tx_Table[[#This Row],[Year]],SUMIFS($W$4:$W704,$S$4:$S704,eRRSP_Tx_Table[[#This Row],[Year]],$W$4:$W704,"&lt;0"),"")</f>
        <v/>
      </c>
      <c r="AA704" s="3">
        <f>(SUMIF($U$4:$U704,CONCATENATE("Buy",$C704),$N$4:$N704)+SUMIF($U$4:$U704,CONCATENATE("ReinvDiv",$C704),$N$4:$N704))</f>
        <v>-8619.6899999999987</v>
      </c>
      <c r="AB704">
        <f>(SUMIF($U$4:$U704,CONCATENATE("Buy",$C704),$F$4:$F704)+SUMIF($U$4:$U704,CONCATENATE("ReinvDiv",$C704),$F$4:$F704)+SUMIF($U$4:$U704,CONCATENATE("StkSplit",$C704),$F$4:$F704)-SUMIF($U$4:$U704,CONCATENATE("Sell",$C704),$F$4:$F704))</f>
        <v>1154</v>
      </c>
      <c r="AC704" s="3">
        <f>IF(B704="Sell",F704*INDEX(V:V,LOOKUP(2,1/(X$4:X703=CONCATENATE(C704,"_ACB")),ROW(V$4:V703))),0)</f>
        <v>0</v>
      </c>
    </row>
    <row r="705" spans="1:29" x14ac:dyDescent="0.25">
      <c r="A705" s="20">
        <v>40590</v>
      </c>
      <c r="B705" t="s">
        <v>43</v>
      </c>
      <c r="C705" t="s">
        <v>36</v>
      </c>
      <c r="D705" s="3">
        <v>0.39</v>
      </c>
      <c r="J705">
        <v>84.77</v>
      </c>
      <c r="M705" s="21">
        <f t="shared" si="90"/>
        <v>0.39</v>
      </c>
      <c r="N705" s="8">
        <f t="shared" si="88"/>
        <v>0.39</v>
      </c>
      <c r="O705" s="25">
        <f t="shared" si="93"/>
        <v>18598.689999999937</v>
      </c>
      <c r="P705" s="8">
        <f t="shared" si="91"/>
        <v>0</v>
      </c>
      <c r="Q705" s="4">
        <f>IF(AND(S705&gt;=[1]eRRSP_Rpt!$C$6,S705&lt;=[1]eRRSP_Rpt!$C$7),1,0)</f>
        <v>1</v>
      </c>
      <c r="R705" s="4"/>
      <c r="S705" s="4">
        <f t="shared" si="89"/>
        <v>2011</v>
      </c>
      <c r="T705" s="4"/>
      <c r="U705" s="4" t="str">
        <f t="shared" si="92"/>
        <v>IntIncTDW</v>
      </c>
      <c r="V705" s="23">
        <f>IFERROR(IF(AND(AB705&gt;0,B705&lt;&gt;"Sell"),(AA705-SUMIF(C$4:C704,C705,AC$4:AC705))/AB705,0),"")</f>
        <v>0</v>
      </c>
      <c r="W705" s="24" t="str">
        <f t="shared" si="87"/>
        <v/>
      </c>
      <c r="X705" s="25" t="str">
        <f t="shared" si="86"/>
        <v/>
      </c>
      <c r="Y705" s="10" t="str">
        <f>IF(S706&lt;&gt;eRRSP_Tx_Table[[#This Row],[Year]],SUMIFS($W$4:$W705,$S$4:$S705,eRRSP_Tx_Table[[#This Row],[Year]],$W$4:$W705,"&gt;0"),"")</f>
        <v/>
      </c>
      <c r="Z705" s="10" t="str">
        <f>IF(S706&lt;&gt;eRRSP_Tx_Table[[#This Row],[Year]],SUMIFS($W$4:$W705,$S$4:$S705,eRRSP_Tx_Table[[#This Row],[Year]],$W$4:$W705,"&lt;0"),"")</f>
        <v/>
      </c>
      <c r="AA705" s="3">
        <f>(SUMIF($U$4:$U705,CONCATENATE("Buy",$C705),$N$4:$N705)+SUMIF($U$4:$U705,CONCATENATE("ReinvDiv",$C705),$N$4:$N705))</f>
        <v>0</v>
      </c>
      <c r="AB705">
        <f>(SUMIF($U$4:$U705,CONCATENATE("Buy",$C705),$F$4:$F705)+SUMIF($U$4:$U705,CONCATENATE("ReinvDiv",$C705),$F$4:$F705)+SUMIF($U$4:$U705,CONCATENATE("StkSplit",$C705),$F$4:$F705)-SUMIF($U$4:$U705,CONCATENATE("Sell",$C705),$F$4:$F705))</f>
        <v>0</v>
      </c>
      <c r="AC705" s="3">
        <f>IF(B705="Sell",F705*INDEX(V:V,LOOKUP(2,1/(X$4:X704=CONCATENATE(C705,"_ACB")),ROW(V$4:V704))),0)</f>
        <v>0</v>
      </c>
    </row>
    <row r="706" spans="1:29" x14ac:dyDescent="0.25">
      <c r="A706" s="20">
        <v>40599</v>
      </c>
      <c r="B706" t="s">
        <v>30</v>
      </c>
      <c r="C706" t="s">
        <v>31</v>
      </c>
      <c r="D706" s="3">
        <v>6204</v>
      </c>
      <c r="J706">
        <v>0.43</v>
      </c>
      <c r="M706" s="21">
        <f t="shared" si="90"/>
        <v>6204</v>
      </c>
      <c r="N706" s="8">
        <f t="shared" si="88"/>
        <v>6204</v>
      </c>
      <c r="O706" s="25">
        <f t="shared" si="93"/>
        <v>24802.689999999937</v>
      </c>
      <c r="P706" s="8">
        <f t="shared" si="91"/>
        <v>6204</v>
      </c>
      <c r="Q706" s="4">
        <f>IF(AND(S706&gt;=[1]eRRSP_Rpt!$C$6,S706&lt;=[1]eRRSP_Rpt!$C$7),1,0)</f>
        <v>1</v>
      </c>
      <c r="R706" s="4"/>
      <c r="S706" s="4">
        <f t="shared" si="89"/>
        <v>2011</v>
      </c>
      <c r="T706" s="4"/>
      <c r="U706" s="4" t="str">
        <f t="shared" si="92"/>
        <v>CashContribution</v>
      </c>
      <c r="V706" s="23">
        <f>IFERROR(IF(AND(AB706&gt;0,B706&lt;&gt;"Sell"),(AA706-SUMIF(C$4:C705,C706,AC$4:AC706))/AB706,0),"")</f>
        <v>0</v>
      </c>
      <c r="W706" s="24" t="str">
        <f t="shared" si="87"/>
        <v/>
      </c>
      <c r="X706" s="25" t="str">
        <f t="shared" si="86"/>
        <v/>
      </c>
      <c r="Y706" s="10" t="str">
        <f>IF(S707&lt;&gt;eRRSP_Tx_Table[[#This Row],[Year]],SUMIFS($W$4:$W706,$S$4:$S706,eRRSP_Tx_Table[[#This Row],[Year]],$W$4:$W706,"&gt;0"),"")</f>
        <v/>
      </c>
      <c r="Z706" s="10" t="str">
        <f>IF(S707&lt;&gt;eRRSP_Tx_Table[[#This Row],[Year]],SUMIFS($W$4:$W706,$S$4:$S706,eRRSP_Tx_Table[[#This Row],[Year]],$W$4:$W706,"&lt;0"),"")</f>
        <v/>
      </c>
      <c r="AA706" s="3">
        <f>(SUMIF($U$4:$U706,CONCATENATE("Buy",$C706),$N$4:$N706)+SUMIF($U$4:$U706,CONCATENATE("ReinvDiv",$C706),$N$4:$N706))</f>
        <v>0</v>
      </c>
      <c r="AB706">
        <f>(SUMIF($U$4:$U706,CONCATENATE("Buy",$C706),$F$4:$F706)+SUMIF($U$4:$U706,CONCATENATE("ReinvDiv",$C706),$F$4:$F706)+SUMIF($U$4:$U706,CONCATENATE("StkSplit",$C706),$F$4:$F706)-SUMIF($U$4:$U706,CONCATENATE("Sell",$C706),$F$4:$F706))</f>
        <v>0</v>
      </c>
      <c r="AC706" s="3">
        <f>IF(B706="Sell",F706*INDEX(V:V,LOOKUP(2,1/(X$4:X705=CONCATENATE(C706,"_ACB")),ROW(V$4:V705))),0)</f>
        <v>0</v>
      </c>
    </row>
    <row r="707" spans="1:29" x14ac:dyDescent="0.25">
      <c r="A707" s="20">
        <v>40603</v>
      </c>
      <c r="B707" t="s">
        <v>42</v>
      </c>
      <c r="C707" t="s">
        <v>33</v>
      </c>
      <c r="D707" s="3">
        <v>84.77</v>
      </c>
      <c r="J707">
        <v>39.81</v>
      </c>
      <c r="M707" s="21">
        <f t="shared" si="90"/>
        <v>84.77</v>
      </c>
      <c r="N707" s="8">
        <f t="shared" si="88"/>
        <v>84.77</v>
      </c>
      <c r="O707" s="25">
        <f t="shared" si="93"/>
        <v>24887.459999999937</v>
      </c>
      <c r="P707" s="8">
        <f t="shared" si="91"/>
        <v>0</v>
      </c>
      <c r="Q707" s="4">
        <f>IF(AND(S707&gt;=[1]eRRSP_Rpt!$C$6,S707&lt;=[1]eRRSP_Rpt!$C$7),1,0)</f>
        <v>1</v>
      </c>
      <c r="R707" s="4"/>
      <c r="S707" s="4">
        <f t="shared" si="89"/>
        <v>2011</v>
      </c>
      <c r="T707" s="4"/>
      <c r="U707" s="4" t="str">
        <f t="shared" si="92"/>
        <v>DivEnbridge</v>
      </c>
      <c r="V707" s="23">
        <f>IFERROR(IF(AND(AB707&gt;0,B707&lt;&gt;"Sell"),(AA707-SUMIF(C$4:C706,C707,AC$4:AC707))/AB707,0),"")</f>
        <v>-33.963578195247266</v>
      </c>
      <c r="W707" s="24" t="str">
        <f t="shared" si="87"/>
        <v/>
      </c>
      <c r="X707" s="25" t="str">
        <f t="shared" si="86"/>
        <v>Enbridge_ACB</v>
      </c>
      <c r="Y707" s="10" t="str">
        <f>IF(S708&lt;&gt;eRRSP_Tx_Table[[#This Row],[Year]],SUMIFS($W$4:$W707,$S$4:$S707,eRRSP_Tx_Table[[#This Row],[Year]],$W$4:$W707,"&gt;0"),"")</f>
        <v/>
      </c>
      <c r="Z707" s="10" t="str">
        <f>IF(S708&lt;&gt;eRRSP_Tx_Table[[#This Row],[Year]],SUMIFS($W$4:$W707,$S$4:$S707,eRRSP_Tx_Table[[#This Row],[Year]],$W$4:$W707,"&lt;0"),"")</f>
        <v/>
      </c>
      <c r="AA707" s="3">
        <f>(SUMIF($U$4:$U707,CONCATENATE("Buy",$C707),$N$4:$N707)+SUMIF($U$4:$U707,CONCATENATE("ReinvDiv",$C707),$N$4:$N707))</f>
        <v>-6788.69</v>
      </c>
      <c r="AB707">
        <f>(SUMIF($U$4:$U707,CONCATENATE("Buy",$C707),$F$4:$F707)+SUMIF($U$4:$U707,CONCATENATE("ReinvDiv",$C707),$F$4:$F707)+SUMIF($U$4:$U707,CONCATENATE("StkSplit",$C707),$F$4:$F707)-SUMIF($U$4:$U707,CONCATENATE("Sell",$C707),$F$4:$F707))</f>
        <v>173</v>
      </c>
      <c r="AC707" s="3">
        <f>IF(B707="Sell",F707*INDEX(V:V,LOOKUP(2,1/(X$4:X706=CONCATENATE(C707,"_ACB")),ROW(V$4:V706))),0)</f>
        <v>0</v>
      </c>
    </row>
    <row r="708" spans="1:29" x14ac:dyDescent="0.25">
      <c r="A708" s="20">
        <v>40618</v>
      </c>
      <c r="B708" t="s">
        <v>43</v>
      </c>
      <c r="C708" t="s">
        <v>36</v>
      </c>
      <c r="D708" s="3">
        <v>0.43</v>
      </c>
      <c r="J708">
        <v>91.97</v>
      </c>
      <c r="M708" s="21">
        <f t="shared" si="90"/>
        <v>0.43</v>
      </c>
      <c r="N708" s="8">
        <f t="shared" si="88"/>
        <v>0.43</v>
      </c>
      <c r="O708" s="25">
        <f t="shared" si="93"/>
        <v>24887.889999999938</v>
      </c>
      <c r="P708" s="8">
        <f t="shared" si="91"/>
        <v>0</v>
      </c>
      <c r="Q708" s="4">
        <f>IF(AND(S708&gt;=[1]eRRSP_Rpt!$C$6,S708&lt;=[1]eRRSP_Rpt!$C$7),1,0)</f>
        <v>1</v>
      </c>
      <c r="R708" s="4"/>
      <c r="S708" s="4">
        <f t="shared" si="89"/>
        <v>2011</v>
      </c>
      <c r="T708" s="4"/>
      <c r="U708" s="4" t="str">
        <f t="shared" si="92"/>
        <v>IntIncTDW</v>
      </c>
      <c r="V708" s="23">
        <f>IFERROR(IF(AND(AB708&gt;0,B708&lt;&gt;"Sell"),(AA708-SUMIF(C$4:C707,C708,AC$4:AC708))/AB708,0),"")</f>
        <v>0</v>
      </c>
      <c r="W708" s="24" t="str">
        <f t="shared" si="87"/>
        <v/>
      </c>
      <c r="X708" s="25" t="str">
        <f t="shared" ref="X708:X771" si="94">IF(V708,CONCATENATE(C708,"_ACB"),"")</f>
        <v/>
      </c>
      <c r="Y708" s="10" t="str">
        <f>IF(S709&lt;&gt;eRRSP_Tx_Table[[#This Row],[Year]],SUMIFS($W$4:$W708,$S$4:$S708,eRRSP_Tx_Table[[#This Row],[Year]],$W$4:$W708,"&gt;0"),"")</f>
        <v/>
      </c>
      <c r="Z708" s="10" t="str">
        <f>IF(S709&lt;&gt;eRRSP_Tx_Table[[#This Row],[Year]],SUMIFS($W$4:$W708,$S$4:$S708,eRRSP_Tx_Table[[#This Row],[Year]],$W$4:$W708,"&lt;0"),"")</f>
        <v/>
      </c>
      <c r="AA708" s="3">
        <f>(SUMIF($U$4:$U708,CONCATENATE("Buy",$C708),$N$4:$N708)+SUMIF($U$4:$U708,CONCATENATE("ReinvDiv",$C708),$N$4:$N708))</f>
        <v>0</v>
      </c>
      <c r="AB708">
        <f>(SUMIF($U$4:$U708,CONCATENATE("Buy",$C708),$F$4:$F708)+SUMIF($U$4:$U708,CONCATENATE("ReinvDiv",$C708),$F$4:$F708)+SUMIF($U$4:$U708,CONCATENATE("StkSplit",$C708),$F$4:$F708)-SUMIF($U$4:$U708,CONCATENATE("Sell",$C708),$F$4:$F708))</f>
        <v>0</v>
      </c>
      <c r="AC708" s="3">
        <f>IF(B708="Sell",F708*INDEX(V:V,LOOKUP(2,1/(X$4:X707=CONCATENATE(C708,"_ACB")),ROW(V$4:V707))),0)</f>
        <v>0</v>
      </c>
    </row>
    <row r="709" spans="1:29" x14ac:dyDescent="0.25">
      <c r="A709" s="20">
        <v>40620</v>
      </c>
      <c r="B709" t="s">
        <v>42</v>
      </c>
      <c r="C709" t="s">
        <v>87</v>
      </c>
      <c r="D709" s="3">
        <v>39.81</v>
      </c>
      <c r="J709">
        <v>72.02</v>
      </c>
      <c r="M709" s="21">
        <f t="shared" si="90"/>
        <v>39.81</v>
      </c>
      <c r="N709" s="8">
        <f t="shared" si="88"/>
        <v>39.81</v>
      </c>
      <c r="O709" s="25">
        <f t="shared" si="93"/>
        <v>24927.699999999939</v>
      </c>
      <c r="P709" s="8">
        <f t="shared" si="91"/>
        <v>0</v>
      </c>
      <c r="Q709" s="4">
        <f>IF(AND(S709&gt;=[1]eRRSP_Rpt!$C$6,S709&lt;=[1]eRRSP_Rpt!$C$7),1,0)</f>
        <v>1</v>
      </c>
      <c r="R709" s="4"/>
      <c r="S709" s="4">
        <f t="shared" si="89"/>
        <v>2011</v>
      </c>
      <c r="T709" s="4"/>
      <c r="U709" s="4" t="str">
        <f t="shared" si="92"/>
        <v>DivAberdeen Asia Pacific Income Fund</v>
      </c>
      <c r="V709" s="23">
        <f>IFERROR(IF(AND(AB709&gt;0,B709&lt;&gt;"Sell"),(AA709-SUMIF(C$4:C708,C709,AC$4:AC709))/AB709,0),"")</f>
        <v>-7.4694020797227028</v>
      </c>
      <c r="W709" s="24" t="str">
        <f t="shared" ref="W709:W772" si="95">IF(B709="Sell",N709+AC709,"")</f>
        <v/>
      </c>
      <c r="X709" s="25" t="str">
        <f t="shared" si="94"/>
        <v>Aberdeen Asia Pacific Income Fund_ACB</v>
      </c>
      <c r="Y709" s="10" t="str">
        <f>IF(S710&lt;&gt;eRRSP_Tx_Table[[#This Row],[Year]],SUMIFS($W$4:$W709,$S$4:$S709,eRRSP_Tx_Table[[#This Row],[Year]],$W$4:$W709,"&gt;0"),"")</f>
        <v/>
      </c>
      <c r="Z709" s="10" t="str">
        <f>IF(S710&lt;&gt;eRRSP_Tx_Table[[#This Row],[Year]],SUMIFS($W$4:$W709,$S$4:$S709,eRRSP_Tx_Table[[#This Row],[Year]],$W$4:$W709,"&lt;0"),"")</f>
        <v/>
      </c>
      <c r="AA709" s="3">
        <f>(SUMIF($U$4:$U709,CONCATENATE("Buy",$C709),$N$4:$N709)+SUMIF($U$4:$U709,CONCATENATE("ReinvDiv",$C709),$N$4:$N709))</f>
        <v>-8619.6899999999987</v>
      </c>
      <c r="AB709">
        <f>(SUMIF($U$4:$U709,CONCATENATE("Buy",$C709),$F$4:$F709)+SUMIF($U$4:$U709,CONCATENATE("ReinvDiv",$C709),$F$4:$F709)+SUMIF($U$4:$U709,CONCATENATE("StkSplit",$C709),$F$4:$F709)-SUMIF($U$4:$U709,CONCATENATE("Sell",$C709),$F$4:$F709))</f>
        <v>1154</v>
      </c>
      <c r="AC709" s="3">
        <f>IF(B709="Sell",F709*INDEX(V:V,LOOKUP(2,1/(X$4:X708=CONCATENATE(C709,"_ACB")),ROW(V$4:V708))),0)</f>
        <v>0</v>
      </c>
    </row>
    <row r="710" spans="1:29" x14ac:dyDescent="0.25">
      <c r="A710" s="20">
        <v>40632</v>
      </c>
      <c r="B710" t="s">
        <v>41</v>
      </c>
      <c r="C710" t="s">
        <v>97</v>
      </c>
      <c r="D710" s="3">
        <v>91.97</v>
      </c>
      <c r="E710">
        <f>eRRSP_Tx_Table[[#This Row],[Amount]]/eRRSP_Tx_Table[[#This Row],[Quantity]]</f>
        <v>9.0798696811136352</v>
      </c>
      <c r="F710" s="3">
        <v>10.129</v>
      </c>
      <c r="J710">
        <v>16.28</v>
      </c>
      <c r="M710" s="21">
        <f t="shared" si="90"/>
        <v>91.97</v>
      </c>
      <c r="N710" s="8">
        <f t="shared" si="88"/>
        <v>-91.97</v>
      </c>
      <c r="O710" s="25">
        <f t="shared" si="93"/>
        <v>24927.699999999939</v>
      </c>
      <c r="P710" s="8">
        <f t="shared" si="91"/>
        <v>0</v>
      </c>
      <c r="Q710" s="4">
        <f>IF(AND(S710&gt;=[1]eRRSP_Rpt!$C$6,S710&lt;=[1]eRRSP_Rpt!$C$7),1,0)</f>
        <v>1</v>
      </c>
      <c r="R710" s="4"/>
      <c r="S710" s="4">
        <f t="shared" si="89"/>
        <v>2011</v>
      </c>
      <c r="T710" s="4"/>
      <c r="U710" s="4" t="str">
        <f t="shared" si="92"/>
        <v>ReinvDivTD International Index - e</v>
      </c>
      <c r="V710" s="23">
        <f>IFERROR(IF(AND(AB710&gt;0,B710&lt;&gt;"Sell"),(AA710-SUMIF(C$4:C709,C710,AC$4:AC710))/AB710,0),"")</f>
        <v>-8.3424791409656436</v>
      </c>
      <c r="W710" s="24" t="str">
        <f t="shared" si="95"/>
        <v/>
      </c>
      <c r="X710" s="25" t="str">
        <f t="shared" si="94"/>
        <v>TD International Index - e_ACB</v>
      </c>
      <c r="Y710" s="10" t="str">
        <f>IF(S711&lt;&gt;eRRSP_Tx_Table[[#This Row],[Year]],SUMIFS($W$4:$W710,$S$4:$S710,eRRSP_Tx_Table[[#This Row],[Year]],$W$4:$W710,"&gt;0"),"")</f>
        <v/>
      </c>
      <c r="Z710" s="10" t="str">
        <f>IF(S711&lt;&gt;eRRSP_Tx_Table[[#This Row],[Year]],SUMIFS($W$4:$W710,$S$4:$S710,eRRSP_Tx_Table[[#This Row],[Year]],$W$4:$W710,"&lt;0"),"")</f>
        <v/>
      </c>
      <c r="AA710" s="3">
        <f>(SUMIF($U$4:$U710,CONCATENATE("Buy",$C710),$N$4:$N710)+SUMIF($U$4:$U710,CONCATENATE("ReinvDiv",$C710),$N$4:$N710))</f>
        <v>-27205.3</v>
      </c>
      <c r="AB710">
        <f>(SUMIF($U$4:$U710,CONCATENATE("Buy",$C710),$F$4:$F710)+SUMIF($U$4:$U710,CONCATENATE("ReinvDiv",$C710),$F$4:$F710)+SUMIF($U$4:$U710,CONCATENATE("StkSplit",$C710),$F$4:$F710)-SUMIF($U$4:$U710,CONCATENATE("Sell",$C710),$F$4:$F710))</f>
        <v>3261.0570000000002</v>
      </c>
      <c r="AC710" s="3">
        <f>IF(B710="Sell",F710*INDEX(V:V,LOOKUP(2,1/(X$4:X709=CONCATENATE(C710,"_ACB")),ROW(V$4:V709))),0)</f>
        <v>0</v>
      </c>
    </row>
    <row r="711" spans="1:29" x14ac:dyDescent="0.25">
      <c r="A711" s="20">
        <v>40632</v>
      </c>
      <c r="B711" t="s">
        <v>41</v>
      </c>
      <c r="C711" t="s">
        <v>62</v>
      </c>
      <c r="D711" s="3">
        <v>72.02</v>
      </c>
      <c r="E711">
        <v>16.301500000000001</v>
      </c>
      <c r="F711" s="3">
        <v>4.4180000000000001</v>
      </c>
      <c r="J711">
        <v>38.81</v>
      </c>
      <c r="M711" s="21">
        <f t="shared" si="90"/>
        <v>72.02</v>
      </c>
      <c r="N711" s="8">
        <f t="shared" si="88"/>
        <v>-72.02</v>
      </c>
      <c r="O711" s="25">
        <f t="shared" si="93"/>
        <v>24927.699999999939</v>
      </c>
      <c r="P711" s="8">
        <f t="shared" si="91"/>
        <v>0</v>
      </c>
      <c r="Q711" s="4">
        <f>IF(AND(S711&gt;=[1]eRRSP_Rpt!$C$6,S711&lt;=[1]eRRSP_Rpt!$C$7),1,0)</f>
        <v>1</v>
      </c>
      <c r="R711" s="4"/>
      <c r="S711" s="4">
        <f t="shared" si="89"/>
        <v>2011</v>
      </c>
      <c r="T711" s="4"/>
      <c r="U711" s="4" t="str">
        <f t="shared" si="92"/>
        <v>ReinvDivTD RR Bond</v>
      </c>
      <c r="V711" s="23">
        <f>IFERROR(IF(AND(AB711&gt;0,B711&lt;&gt;"Sell"),(AA711-SUMIF(C$4:C710,C711,AC$4:AC711))/AB711,0),"")</f>
        <v>-14.294690196122341</v>
      </c>
      <c r="W711" s="24" t="str">
        <f t="shared" si="95"/>
        <v/>
      </c>
      <c r="X711" s="25" t="str">
        <f t="shared" si="94"/>
        <v>TD RR Bond_ACB</v>
      </c>
      <c r="Y711" s="10" t="str">
        <f>IF(S712&lt;&gt;eRRSP_Tx_Table[[#This Row],[Year]],SUMIFS($W$4:$W711,$S$4:$S711,eRRSP_Tx_Table[[#This Row],[Year]],$W$4:$W711,"&gt;0"),"")</f>
        <v/>
      </c>
      <c r="Z711" s="10" t="str">
        <f>IF(S712&lt;&gt;eRRSP_Tx_Table[[#This Row],[Year]],SUMIFS($W$4:$W711,$S$4:$S711,eRRSP_Tx_Table[[#This Row],[Year]],$W$4:$W711,"&lt;0"),"")</f>
        <v/>
      </c>
      <c r="AA711" s="3">
        <f>(SUMIF($U$4:$U711,CONCATENATE("Buy",$C711),$N$4:$N711)+SUMIF($U$4:$U711,CONCATENATE("ReinvDiv",$C711),$N$4:$N711))</f>
        <v>-10212.869999999999</v>
      </c>
      <c r="AB711">
        <f>(SUMIF($U$4:$U711,CONCATENATE("Buy",$C711),$F$4:$F711)+SUMIF($U$4:$U711,CONCATENATE("ReinvDiv",$C711),$F$4:$F711)+SUMIF($U$4:$U711,CONCATENATE("StkSplit",$C711),$F$4:$F711)-SUMIF($U$4:$U711,CONCATENATE("Sell",$C711),$F$4:$F711))</f>
        <v>714.452</v>
      </c>
      <c r="AC711" s="3">
        <f>IF(B711="Sell",F711*INDEX(V:V,LOOKUP(2,1/(X$4:X710=CONCATENATE(C711,"_ACB")),ROW(V$4:V710))),0)</f>
        <v>0</v>
      </c>
    </row>
    <row r="712" spans="1:29" x14ac:dyDescent="0.25">
      <c r="A712" s="20">
        <v>40633</v>
      </c>
      <c r="B712" t="s">
        <v>42</v>
      </c>
      <c r="C712" t="s">
        <v>90</v>
      </c>
      <c r="D712" s="3">
        <v>16.28</v>
      </c>
      <c r="J712">
        <v>0.52</v>
      </c>
      <c r="M712" s="21">
        <f t="shared" si="90"/>
        <v>16.28</v>
      </c>
      <c r="N712" s="8">
        <f t="shared" si="88"/>
        <v>16.28</v>
      </c>
      <c r="O712" s="25">
        <f t="shared" si="93"/>
        <v>24943.979999999938</v>
      </c>
      <c r="P712" s="8">
        <f t="shared" si="91"/>
        <v>0</v>
      </c>
      <c r="Q712" s="4">
        <f>IF(AND(S712&gt;=[1]eRRSP_Rpt!$C$6,S712&lt;=[1]eRRSP_Rpt!$C$7),1,0)</f>
        <v>1</v>
      </c>
      <c r="R712" s="4"/>
      <c r="S712" s="4">
        <f t="shared" si="89"/>
        <v>2011</v>
      </c>
      <c r="T712" s="4"/>
      <c r="U712" s="4" t="str">
        <f t="shared" si="92"/>
        <v>DivVanguard Large Cap ETF</v>
      </c>
      <c r="V712" s="23">
        <f>IFERROR(IF(AND(AB712&gt;0,B712&lt;&gt;"Sell"),(AA712-SUMIF(C$4:C711,C712,AC$4:AC712))/AB712,0),"")</f>
        <v>-74.401142857142858</v>
      </c>
      <c r="W712" s="24" t="str">
        <f t="shared" si="95"/>
        <v/>
      </c>
      <c r="X712" s="25" t="str">
        <f t="shared" si="94"/>
        <v>Vanguard Large Cap ETF_ACB</v>
      </c>
      <c r="Y712" s="10" t="str">
        <f>IF(S713&lt;&gt;eRRSP_Tx_Table[[#This Row],[Year]],SUMIFS($W$4:$W712,$S$4:$S712,eRRSP_Tx_Table[[#This Row],[Year]],$W$4:$W712,"&gt;0"),"")</f>
        <v/>
      </c>
      <c r="Z712" s="10" t="str">
        <f>IF(S713&lt;&gt;eRRSP_Tx_Table[[#This Row],[Year]],SUMIFS($W$4:$W712,$S$4:$S712,eRRSP_Tx_Table[[#This Row],[Year]],$W$4:$W712,"&lt;0"),"")</f>
        <v/>
      </c>
      <c r="AA712" s="3">
        <f>(SUMIF($U$4:$U712,CONCATENATE("Buy",$C712),$N$4:$N712)+SUMIF($U$4:$U712,CONCATENATE("ReinvDiv",$C712),$N$4:$N712))</f>
        <v>-5208.08</v>
      </c>
      <c r="AB712">
        <f>(SUMIF($U$4:$U712,CONCATENATE("Buy",$C712),$F$4:$F712)+SUMIF($U$4:$U712,CONCATENATE("ReinvDiv",$C712),$F$4:$F712)+SUMIF($U$4:$U712,CONCATENATE("StkSplit",$C712),$F$4:$F712)-SUMIF($U$4:$U712,CONCATENATE("Sell",$C712),$F$4:$F712))</f>
        <v>70</v>
      </c>
      <c r="AC712" s="3">
        <f>IF(B712="Sell",F712*INDEX(V:V,LOOKUP(2,1/(X$4:X711=CONCATENATE(C712,"_ACB")),ROW(V$4:V711))),0)</f>
        <v>0</v>
      </c>
    </row>
    <row r="713" spans="1:29" x14ac:dyDescent="0.25">
      <c r="A713" s="20">
        <v>40648</v>
      </c>
      <c r="B713" t="s">
        <v>42</v>
      </c>
      <c r="C713" t="s">
        <v>87</v>
      </c>
      <c r="D713" s="3">
        <v>38.81</v>
      </c>
      <c r="J713">
        <v>13.2</v>
      </c>
      <c r="M713" s="21">
        <f t="shared" si="90"/>
        <v>38.81</v>
      </c>
      <c r="N713" s="8">
        <f t="shared" si="88"/>
        <v>38.81</v>
      </c>
      <c r="O713" s="25">
        <f t="shared" si="93"/>
        <v>24982.789999999939</v>
      </c>
      <c r="P713" s="8">
        <f t="shared" si="91"/>
        <v>0</v>
      </c>
      <c r="Q713" s="4">
        <f>IF(AND(S713&gt;=[1]eRRSP_Rpt!$C$6,S713&lt;=[1]eRRSP_Rpt!$C$7),1,0)</f>
        <v>1</v>
      </c>
      <c r="R713" s="4"/>
      <c r="S713" s="4">
        <f t="shared" si="89"/>
        <v>2011</v>
      </c>
      <c r="T713" s="4"/>
      <c r="U713" s="4" t="str">
        <f t="shared" si="92"/>
        <v>DivAberdeen Asia Pacific Income Fund</v>
      </c>
      <c r="V713" s="23">
        <f>IFERROR(IF(AND(AB713&gt;0,B713&lt;&gt;"Sell"),(AA713-SUMIF(C$4:C712,C713,AC$4:AC713))/AB713,0),"")</f>
        <v>-7.4694020797227028</v>
      </c>
      <c r="W713" s="24" t="str">
        <f t="shared" si="95"/>
        <v/>
      </c>
      <c r="X713" s="25" t="str">
        <f t="shared" si="94"/>
        <v>Aberdeen Asia Pacific Income Fund_ACB</v>
      </c>
      <c r="Y713" s="10" t="str">
        <f>IF(S714&lt;&gt;eRRSP_Tx_Table[[#This Row],[Year]],SUMIFS($W$4:$W713,$S$4:$S713,eRRSP_Tx_Table[[#This Row],[Year]],$W$4:$W713,"&gt;0"),"")</f>
        <v/>
      </c>
      <c r="Z713" s="10" t="str">
        <f>IF(S714&lt;&gt;eRRSP_Tx_Table[[#This Row],[Year]],SUMIFS($W$4:$W713,$S$4:$S713,eRRSP_Tx_Table[[#This Row],[Year]],$W$4:$W713,"&lt;0"),"")</f>
        <v/>
      </c>
      <c r="AA713" s="3">
        <f>(SUMIF($U$4:$U713,CONCATENATE("Buy",$C713),$N$4:$N713)+SUMIF($U$4:$U713,CONCATENATE("ReinvDiv",$C713),$N$4:$N713))</f>
        <v>-8619.6899999999987</v>
      </c>
      <c r="AB713">
        <f>(SUMIF($U$4:$U713,CONCATENATE("Buy",$C713),$F$4:$F713)+SUMIF($U$4:$U713,CONCATENATE("ReinvDiv",$C713),$F$4:$F713)+SUMIF($U$4:$U713,CONCATENATE("StkSplit",$C713),$F$4:$F713)-SUMIF($U$4:$U713,CONCATENATE("Sell",$C713),$F$4:$F713))</f>
        <v>1154</v>
      </c>
      <c r="AC713" s="3">
        <f>IF(B713="Sell",F713*INDEX(V:V,LOOKUP(2,1/(X$4:X712=CONCATENATE(C713,"_ACB")),ROW(V$4:V712))),0)</f>
        <v>0</v>
      </c>
    </row>
    <row r="714" spans="1:29" x14ac:dyDescent="0.25">
      <c r="A714" s="20">
        <v>40649</v>
      </c>
      <c r="B714" t="s">
        <v>43</v>
      </c>
      <c r="C714" t="s">
        <v>36</v>
      </c>
      <c r="D714" s="3">
        <v>0.52</v>
      </c>
      <c r="J714">
        <v>38.79</v>
      </c>
      <c r="M714" s="21">
        <f t="shared" si="90"/>
        <v>0.52</v>
      </c>
      <c r="N714" s="8">
        <f t="shared" ref="N714:N777" si="96">IF(OR(B714="Buy",B714="ReinvDiv"),-M714-G714,M714-G714)</f>
        <v>0.52</v>
      </c>
      <c r="O714" s="25">
        <f t="shared" si="93"/>
        <v>24983.309999999939</v>
      </c>
      <c r="P714" s="8">
        <f t="shared" si="91"/>
        <v>0</v>
      </c>
      <c r="Q714" s="4">
        <f>IF(AND(S714&gt;=[1]eRRSP_Rpt!$C$6,S714&lt;=[1]eRRSP_Rpt!$C$7),1,0)</f>
        <v>1</v>
      </c>
      <c r="R714" s="4"/>
      <c r="S714" s="4">
        <f t="shared" si="89"/>
        <v>2011</v>
      </c>
      <c r="T714" s="4"/>
      <c r="U714" s="4" t="str">
        <f t="shared" si="92"/>
        <v>IntIncTDW</v>
      </c>
      <c r="V714" s="23">
        <f>IFERROR(IF(AND(AB714&gt;0,B714&lt;&gt;"Sell"),(AA714-SUMIF(C$4:C713,C714,AC$4:AC714))/AB714,0),"")</f>
        <v>0</v>
      </c>
      <c r="W714" s="24" t="str">
        <f t="shared" si="95"/>
        <v/>
      </c>
      <c r="X714" s="25" t="str">
        <f t="shared" si="94"/>
        <v/>
      </c>
      <c r="Y714" s="10" t="str">
        <f>IF(S715&lt;&gt;eRRSP_Tx_Table[[#This Row],[Year]],SUMIFS($W$4:$W714,$S$4:$S714,eRRSP_Tx_Table[[#This Row],[Year]],$W$4:$W714,"&gt;0"),"")</f>
        <v/>
      </c>
      <c r="Z714" s="10" t="str">
        <f>IF(S715&lt;&gt;eRRSP_Tx_Table[[#This Row],[Year]],SUMIFS($W$4:$W714,$S$4:$S714,eRRSP_Tx_Table[[#This Row],[Year]],$W$4:$W714,"&lt;0"),"")</f>
        <v/>
      </c>
      <c r="AA714" s="3">
        <f>(SUMIF($U$4:$U714,CONCATENATE("Buy",$C714),$N$4:$N714)+SUMIF($U$4:$U714,CONCATENATE("ReinvDiv",$C714),$N$4:$N714))</f>
        <v>0</v>
      </c>
      <c r="AB714">
        <f>(SUMIF($U$4:$U714,CONCATENATE("Buy",$C714),$F$4:$F714)+SUMIF($U$4:$U714,CONCATENATE("ReinvDiv",$C714),$F$4:$F714)+SUMIF($U$4:$U714,CONCATENATE("StkSplit",$C714),$F$4:$F714)-SUMIF($U$4:$U714,CONCATENATE("Sell",$C714),$F$4:$F714))</f>
        <v>0</v>
      </c>
      <c r="AC714" s="3">
        <f>IF(B714="Sell",F714*INDEX(V:V,LOOKUP(2,1/(X$4:X713=CONCATENATE(C714,"_ACB")),ROW(V$4:V713))),0)</f>
        <v>0</v>
      </c>
    </row>
    <row r="715" spans="1:29" x14ac:dyDescent="0.25">
      <c r="A715" s="20">
        <v>40663</v>
      </c>
      <c r="B715" t="s">
        <v>42</v>
      </c>
      <c r="C715" t="s">
        <v>45</v>
      </c>
      <c r="D715" s="3">
        <v>13.2</v>
      </c>
      <c r="J715">
        <v>0.51</v>
      </c>
      <c r="M715" s="21">
        <f t="shared" si="90"/>
        <v>13.2</v>
      </c>
      <c r="N715" s="8">
        <f t="shared" si="96"/>
        <v>13.2</v>
      </c>
      <c r="O715" s="25">
        <f t="shared" si="93"/>
        <v>24996.50999999994</v>
      </c>
      <c r="P715" s="8">
        <f t="shared" si="91"/>
        <v>0</v>
      </c>
      <c r="Q715" s="4">
        <f>IF(AND(S715&gt;=[1]eRRSP_Rpt!$C$6,S715&lt;=[1]eRRSP_Rpt!$C$7),1,0)</f>
        <v>1</v>
      </c>
      <c r="R715" s="4"/>
      <c r="S715" s="4">
        <f t="shared" si="89"/>
        <v>2011</v>
      </c>
      <c r="T715" s="4"/>
      <c r="U715" s="4" t="str">
        <f t="shared" si="92"/>
        <v>DivTD Bank</v>
      </c>
      <c r="V715" s="23">
        <f>IFERROR(IF(AND(AB715&gt;0,B715&lt;&gt;"Sell"),(AA715-SUMIF(C$4:C714,C715,AC$4:AC715))/AB715,0),"")</f>
        <v>-44.29</v>
      </c>
      <c r="W715" s="24" t="str">
        <f t="shared" si="95"/>
        <v/>
      </c>
      <c r="X715" s="25" t="str">
        <f t="shared" si="94"/>
        <v>TD Bank_ACB</v>
      </c>
      <c r="Y715" s="10" t="str">
        <f>IF(S716&lt;&gt;eRRSP_Tx_Table[[#This Row],[Year]],SUMIFS($W$4:$W715,$S$4:$S715,eRRSP_Tx_Table[[#This Row],[Year]],$W$4:$W715,"&gt;0"),"")</f>
        <v/>
      </c>
      <c r="Z715" s="10" t="str">
        <f>IF(S716&lt;&gt;eRRSP_Tx_Table[[#This Row],[Year]],SUMIFS($W$4:$W715,$S$4:$S715,eRRSP_Tx_Table[[#This Row],[Year]],$W$4:$W715,"&lt;0"),"")</f>
        <v/>
      </c>
      <c r="AA715" s="3">
        <f>(SUMIF($U$4:$U715,CONCATENATE("Buy",$C715),$N$4:$N715)+SUMIF($U$4:$U715,CONCATENATE("ReinvDiv",$C715),$N$4:$N715))</f>
        <v>-885.8</v>
      </c>
      <c r="AB715">
        <f>(SUMIF($U$4:$U715,CONCATENATE("Buy",$C715),$F$4:$F715)+SUMIF($U$4:$U715,CONCATENATE("ReinvDiv",$C715),$F$4:$F715)+SUMIF($U$4:$U715,CONCATENATE("StkSplit",$C715),$F$4:$F715)-SUMIF($U$4:$U715,CONCATENATE("Sell",$C715),$F$4:$F715))</f>
        <v>20</v>
      </c>
      <c r="AC715" s="3">
        <f>IF(B715="Sell",F715*INDEX(V:V,LOOKUP(2,1/(X$4:X714=CONCATENATE(C715,"_ACB")),ROW(V$4:V714))),0)</f>
        <v>0</v>
      </c>
    </row>
    <row r="716" spans="1:29" x14ac:dyDescent="0.25">
      <c r="A716" s="20">
        <v>40676</v>
      </c>
      <c r="B716" t="s">
        <v>42</v>
      </c>
      <c r="C716" t="s">
        <v>87</v>
      </c>
      <c r="D716" s="3">
        <v>38.79</v>
      </c>
      <c r="J716">
        <v>0.76</v>
      </c>
      <c r="M716" s="21">
        <f t="shared" si="90"/>
        <v>38.79</v>
      </c>
      <c r="N716" s="8">
        <f t="shared" si="96"/>
        <v>38.79</v>
      </c>
      <c r="O716" s="25">
        <f t="shared" si="93"/>
        <v>25035.299999999941</v>
      </c>
      <c r="P716" s="8">
        <f t="shared" si="91"/>
        <v>0</v>
      </c>
      <c r="Q716" s="4">
        <f>IF(AND(S716&gt;=[1]eRRSP_Rpt!$C$6,S716&lt;=[1]eRRSP_Rpt!$C$7),1,0)</f>
        <v>1</v>
      </c>
      <c r="R716" s="4"/>
      <c r="S716" s="4">
        <f t="shared" si="89"/>
        <v>2011</v>
      </c>
      <c r="T716" s="4"/>
      <c r="U716" s="4" t="str">
        <f t="shared" si="92"/>
        <v>DivAberdeen Asia Pacific Income Fund</v>
      </c>
      <c r="V716" s="23">
        <f>IFERROR(IF(AND(AB716&gt;0,B716&lt;&gt;"Sell"),(AA716-SUMIF(C$4:C715,C716,AC$4:AC716))/AB716,0),"")</f>
        <v>-7.4694020797227028</v>
      </c>
      <c r="W716" s="24" t="str">
        <f t="shared" si="95"/>
        <v/>
      </c>
      <c r="X716" s="25" t="str">
        <f t="shared" si="94"/>
        <v>Aberdeen Asia Pacific Income Fund_ACB</v>
      </c>
      <c r="Y716" s="10" t="str">
        <f>IF(S717&lt;&gt;eRRSP_Tx_Table[[#This Row],[Year]],SUMIFS($W$4:$W716,$S$4:$S716,eRRSP_Tx_Table[[#This Row],[Year]],$W$4:$W716,"&gt;0"),"")</f>
        <v/>
      </c>
      <c r="Z716" s="10" t="str">
        <f>IF(S717&lt;&gt;eRRSP_Tx_Table[[#This Row],[Year]],SUMIFS($W$4:$W716,$S$4:$S716,eRRSP_Tx_Table[[#This Row],[Year]],$W$4:$W716,"&lt;0"),"")</f>
        <v/>
      </c>
      <c r="AA716" s="3">
        <f>(SUMIF($U$4:$U716,CONCATENATE("Buy",$C716),$N$4:$N716)+SUMIF($U$4:$U716,CONCATENATE("ReinvDiv",$C716),$N$4:$N716))</f>
        <v>-8619.6899999999987</v>
      </c>
      <c r="AB716">
        <f>(SUMIF($U$4:$U716,CONCATENATE("Buy",$C716),$F$4:$F716)+SUMIF($U$4:$U716,CONCATENATE("ReinvDiv",$C716),$F$4:$F716)+SUMIF($U$4:$U716,CONCATENATE("StkSplit",$C716),$F$4:$F716)-SUMIF($U$4:$U716,CONCATENATE("Sell",$C716),$F$4:$F716))</f>
        <v>1154</v>
      </c>
      <c r="AC716" s="3">
        <f>IF(B716="Sell",F716*INDEX(V:V,LOOKUP(2,1/(X$4:X715=CONCATENATE(C716,"_ACB")),ROW(V$4:V715))),0)</f>
        <v>0</v>
      </c>
    </row>
    <row r="717" spans="1:29" x14ac:dyDescent="0.25">
      <c r="A717" s="20">
        <v>40679</v>
      </c>
      <c r="B717" t="s">
        <v>43</v>
      </c>
      <c r="C717" t="s">
        <v>36</v>
      </c>
      <c r="D717" s="3">
        <v>0.51</v>
      </c>
      <c r="J717">
        <v>84.77</v>
      </c>
      <c r="M717" s="21">
        <f t="shared" si="90"/>
        <v>0.51</v>
      </c>
      <c r="N717" s="8">
        <f t="shared" si="96"/>
        <v>0.51</v>
      </c>
      <c r="O717" s="25">
        <f t="shared" si="93"/>
        <v>25035.809999999939</v>
      </c>
      <c r="P717" s="8">
        <f t="shared" si="91"/>
        <v>0</v>
      </c>
      <c r="Q717" s="4">
        <f>IF(AND(S717&gt;=[1]eRRSP_Rpt!$C$6,S717&lt;=[1]eRRSP_Rpt!$C$7),1,0)</f>
        <v>1</v>
      </c>
      <c r="R717" s="4"/>
      <c r="S717" s="4">
        <f t="shared" si="89"/>
        <v>2011</v>
      </c>
      <c r="T717" s="4"/>
      <c r="U717" s="4" t="str">
        <f t="shared" si="92"/>
        <v>IntIncTDW</v>
      </c>
      <c r="V717" s="23">
        <f>IFERROR(IF(AND(AB717&gt;0,B717&lt;&gt;"Sell"),(AA717-SUMIF(C$4:C716,C717,AC$4:AC717))/AB717,0),"")</f>
        <v>0</v>
      </c>
      <c r="W717" s="24" t="str">
        <f t="shared" si="95"/>
        <v/>
      </c>
      <c r="X717" s="25" t="str">
        <f t="shared" si="94"/>
        <v/>
      </c>
      <c r="Y717" s="10" t="str">
        <f>IF(S718&lt;&gt;eRRSP_Tx_Table[[#This Row],[Year]],SUMIFS($W$4:$W717,$S$4:$S717,eRRSP_Tx_Table[[#This Row],[Year]],$W$4:$W717,"&gt;0"),"")</f>
        <v/>
      </c>
      <c r="Z717" s="10" t="str">
        <f>IF(S718&lt;&gt;eRRSP_Tx_Table[[#This Row],[Year]],SUMIFS($W$4:$W717,$S$4:$S717,eRRSP_Tx_Table[[#This Row],[Year]],$W$4:$W717,"&lt;0"),"")</f>
        <v/>
      </c>
      <c r="AA717" s="3">
        <f>(SUMIF($U$4:$U717,CONCATENATE("Buy",$C717),$N$4:$N717)+SUMIF($U$4:$U717,CONCATENATE("ReinvDiv",$C717),$N$4:$N717))</f>
        <v>0</v>
      </c>
      <c r="AB717">
        <f>(SUMIF($U$4:$U717,CONCATENATE("Buy",$C717),$F$4:$F717)+SUMIF($U$4:$U717,CONCATENATE("ReinvDiv",$C717),$F$4:$F717)+SUMIF($U$4:$U717,CONCATENATE("StkSplit",$C717),$F$4:$F717)-SUMIF($U$4:$U717,CONCATENATE("Sell",$C717),$F$4:$F717))</f>
        <v>0</v>
      </c>
      <c r="AC717" s="3">
        <f>IF(B717="Sell",F717*INDEX(V:V,LOOKUP(2,1/(X$4:X716=CONCATENATE(C717,"_ACB")),ROW(V$4:V716))),0)</f>
        <v>0</v>
      </c>
    </row>
    <row r="718" spans="1:29" x14ac:dyDescent="0.25">
      <c r="A718" s="20">
        <v>40694</v>
      </c>
      <c r="B718" t="s">
        <v>42</v>
      </c>
      <c r="C718" t="s">
        <v>47</v>
      </c>
      <c r="D718" s="3">
        <v>0.76</v>
      </c>
      <c r="J718" t="s">
        <v>98</v>
      </c>
      <c r="M718" s="21">
        <f t="shared" si="90"/>
        <v>0.76</v>
      </c>
      <c r="N718" s="8">
        <f t="shared" si="96"/>
        <v>0.76</v>
      </c>
      <c r="O718" s="25">
        <f t="shared" si="93"/>
        <v>25036.569999999938</v>
      </c>
      <c r="P718" s="8">
        <f t="shared" si="91"/>
        <v>0</v>
      </c>
      <c r="Q718" s="4">
        <f>IF(AND(S718&gt;=[1]eRRSP_Rpt!$C$6,S718&lt;=[1]eRRSP_Rpt!$C$7),1,0)</f>
        <v>1</v>
      </c>
      <c r="R718" s="4"/>
      <c r="S718" s="4">
        <f t="shared" si="89"/>
        <v>2011</v>
      </c>
      <c r="T718" s="4"/>
      <c r="U718" s="4" t="str">
        <f t="shared" si="92"/>
        <v>DivBombardier</v>
      </c>
      <c r="V718" s="23">
        <f>IFERROR(IF(AND(AB718&gt;0,B718&lt;&gt;"Sell"),(AA718-SUMIF(C$4:C717,C718,AC$4:AC718))/AB718,0),"")</f>
        <v>-23.216666666666665</v>
      </c>
      <c r="W718" s="24" t="str">
        <f t="shared" si="95"/>
        <v/>
      </c>
      <c r="X718" s="25" t="str">
        <f t="shared" si="94"/>
        <v>Bombardier_ACB</v>
      </c>
      <c r="Y718" s="10" t="str">
        <f>IF(S719&lt;&gt;eRRSP_Tx_Table[[#This Row],[Year]],SUMIFS($W$4:$W718,$S$4:$S718,eRRSP_Tx_Table[[#This Row],[Year]],$W$4:$W718,"&gt;0"),"")</f>
        <v/>
      </c>
      <c r="Z718" s="10" t="str">
        <f>IF(S719&lt;&gt;eRRSP_Tx_Table[[#This Row],[Year]],SUMIFS($W$4:$W718,$S$4:$S718,eRRSP_Tx_Table[[#This Row],[Year]],$W$4:$W718,"&lt;0"),"")</f>
        <v/>
      </c>
      <c r="AA718" s="3">
        <f>(SUMIF($U$4:$U718,CONCATENATE("Buy",$C718),$N$4:$N718)+SUMIF($U$4:$U718,CONCATENATE("ReinvDiv",$C718),$N$4:$N718))</f>
        <v>-696.5</v>
      </c>
      <c r="AB718">
        <f>(SUMIF($U$4:$U718,CONCATENATE("Buy",$C718),$F$4:$F718)+SUMIF($U$4:$U718,CONCATENATE("ReinvDiv",$C718),$F$4:$F718)+SUMIF($U$4:$U718,CONCATENATE("StkSplit",$C718),$F$4:$F718)-SUMIF($U$4:$U718,CONCATENATE("Sell",$C718),$F$4:$F718))</f>
        <v>30</v>
      </c>
      <c r="AC718" s="3">
        <f>IF(B718="Sell",F718*INDEX(V:V,LOOKUP(2,1/(X$4:X717=CONCATENATE(C718,"_ACB")),ROW(V$4:V717))),0)</f>
        <v>0</v>
      </c>
    </row>
    <row r="719" spans="1:29" x14ac:dyDescent="0.25">
      <c r="A719" s="20">
        <v>40695</v>
      </c>
      <c r="B719" t="s">
        <v>76</v>
      </c>
      <c r="C719" t="s">
        <v>33</v>
      </c>
      <c r="F719" s="3">
        <f>L719/K719</f>
        <v>173</v>
      </c>
      <c r="J719">
        <v>0.53</v>
      </c>
      <c r="K719">
        <v>2</v>
      </c>
      <c r="L719">
        <f>(SUMIF($U$4:$U718,CONCATENATE("Buy",C719),$F$4:$F718)+SUMIF($U$4:$U718,CONCATENATE("StkSplit",C719),$F$4:$F718)-SUMIF($U$4:$U718,CONCATENATE("Sell",C719),$F$4:$F718)+SUMIF($U$4:$U718,CONCATENATE("ReinvDiv",C719),$F$4:$F718))*K719</f>
        <v>346</v>
      </c>
      <c r="M719" s="21">
        <f t="shared" si="90"/>
        <v>0</v>
      </c>
      <c r="N719" s="8">
        <f t="shared" si="96"/>
        <v>0</v>
      </c>
      <c r="O719" s="25">
        <f t="shared" si="93"/>
        <v>25036.569999999938</v>
      </c>
      <c r="P719" s="8">
        <f t="shared" si="91"/>
        <v>0</v>
      </c>
      <c r="Q719" s="4">
        <f>IF(AND(S719&gt;=[1]eRRSP_Rpt!$C$6,S719&lt;=[1]eRRSP_Rpt!$C$7),1,0)</f>
        <v>1</v>
      </c>
      <c r="R719" s="4"/>
      <c r="S719" s="4">
        <f t="shared" si="89"/>
        <v>2011</v>
      </c>
      <c r="T719" s="4"/>
      <c r="U719" s="4" t="str">
        <f t="shared" si="92"/>
        <v>StkSplitEnbridge</v>
      </c>
      <c r="V719" s="23">
        <f>IFERROR(IF(AND(AB719&gt;0,B719&lt;&gt;"Sell"),(AA719-SUMIF(C$4:C718,C719,AC$4:AC719))/AB719,0),"")</f>
        <v>-16.981789097623633</v>
      </c>
      <c r="W719" s="24" t="str">
        <f t="shared" si="95"/>
        <v/>
      </c>
      <c r="X719" s="25" t="str">
        <f t="shared" si="94"/>
        <v>Enbridge_ACB</v>
      </c>
      <c r="Y719" s="10" t="str">
        <f>IF(S720&lt;&gt;eRRSP_Tx_Table[[#This Row],[Year]],SUMIFS($W$4:$W719,$S$4:$S719,eRRSP_Tx_Table[[#This Row],[Year]],$W$4:$W719,"&gt;0"),"")</f>
        <v/>
      </c>
      <c r="Z719" s="10" t="str">
        <f>IF(S720&lt;&gt;eRRSP_Tx_Table[[#This Row],[Year]],SUMIFS($W$4:$W719,$S$4:$S719,eRRSP_Tx_Table[[#This Row],[Year]],$W$4:$W719,"&lt;0"),"")</f>
        <v/>
      </c>
      <c r="AA719" s="3">
        <f>(SUMIF($U$4:$U719,CONCATENATE("Buy",$C719),$N$4:$N719)+SUMIF($U$4:$U719,CONCATENATE("ReinvDiv",$C719),$N$4:$N719))</f>
        <v>-6788.69</v>
      </c>
      <c r="AB719">
        <f>(SUMIF($U$4:$U719,CONCATENATE("Buy",$C719),$F$4:$F719)+SUMIF($U$4:$U719,CONCATENATE("ReinvDiv",$C719),$F$4:$F719)+SUMIF($U$4:$U719,CONCATENATE("StkSplit",$C719),$F$4:$F719)-SUMIF($U$4:$U719,CONCATENATE("Sell",$C719),$F$4:$F719))</f>
        <v>346</v>
      </c>
      <c r="AC719" s="3">
        <f>IF(B719="Sell",F719*INDEX(V:V,LOOKUP(2,1/(X$4:X718=CONCATENATE(C719,"_ACB")),ROW(V$4:V718))),0)</f>
        <v>0</v>
      </c>
    </row>
    <row r="720" spans="1:29" x14ac:dyDescent="0.25">
      <c r="A720" s="20">
        <v>40695</v>
      </c>
      <c r="B720" t="s">
        <v>42</v>
      </c>
      <c r="C720" t="s">
        <v>33</v>
      </c>
      <c r="D720" s="3">
        <v>84.77</v>
      </c>
      <c r="J720">
        <v>39.75</v>
      </c>
      <c r="M720" s="21">
        <f t="shared" si="90"/>
        <v>84.77</v>
      </c>
      <c r="N720" s="8">
        <f t="shared" si="96"/>
        <v>84.77</v>
      </c>
      <c r="O720" s="25">
        <f t="shared" si="93"/>
        <v>25121.339999999938</v>
      </c>
      <c r="P720" s="8">
        <f t="shared" si="91"/>
        <v>0</v>
      </c>
      <c r="Q720" s="4">
        <f>IF(AND(S720&gt;=[1]eRRSP_Rpt!$C$6,S720&lt;=[1]eRRSP_Rpt!$C$7),1,0)</f>
        <v>1</v>
      </c>
      <c r="R720" s="4"/>
      <c r="S720" s="4">
        <f t="shared" si="89"/>
        <v>2011</v>
      </c>
      <c r="T720" s="4"/>
      <c r="U720" s="4" t="str">
        <f t="shared" si="92"/>
        <v>DivEnbridge</v>
      </c>
      <c r="V720" s="23">
        <f>IFERROR(IF(AND(AB720&gt;0,B720&lt;&gt;"Sell"),(AA720-SUMIF(C$4:C719,C720,AC$4:AC720))/AB720,0),"")</f>
        <v>-16.981789097623633</v>
      </c>
      <c r="W720" s="24" t="str">
        <f t="shared" si="95"/>
        <v/>
      </c>
      <c r="X720" s="25" t="str">
        <f t="shared" si="94"/>
        <v>Enbridge_ACB</v>
      </c>
      <c r="Y720" s="10" t="str">
        <f>IF(S721&lt;&gt;eRRSP_Tx_Table[[#This Row],[Year]],SUMIFS($W$4:$W720,$S$4:$S720,eRRSP_Tx_Table[[#This Row],[Year]],$W$4:$W720,"&gt;0"),"")</f>
        <v/>
      </c>
      <c r="Z720" s="10" t="str">
        <f>IF(S721&lt;&gt;eRRSP_Tx_Table[[#This Row],[Year]],SUMIFS($W$4:$W720,$S$4:$S720,eRRSP_Tx_Table[[#This Row],[Year]],$W$4:$W720,"&lt;0"),"")</f>
        <v/>
      </c>
      <c r="AA720" s="3">
        <f>(SUMIF($U$4:$U720,CONCATENATE("Buy",$C720),$N$4:$N720)+SUMIF($U$4:$U720,CONCATENATE("ReinvDiv",$C720),$N$4:$N720))</f>
        <v>-6788.69</v>
      </c>
      <c r="AB720">
        <f>(SUMIF($U$4:$U720,CONCATENATE("Buy",$C720),$F$4:$F720)+SUMIF($U$4:$U720,CONCATENATE("ReinvDiv",$C720),$F$4:$F720)+SUMIF($U$4:$U720,CONCATENATE("StkSplit",$C720),$F$4:$F720)-SUMIF($U$4:$U720,CONCATENATE("Sell",$C720),$F$4:$F720))</f>
        <v>346</v>
      </c>
      <c r="AC720" s="3">
        <f>IF(B720="Sell",F720*INDEX(V:V,LOOKUP(2,1/(X$4:X719=CONCATENATE(C720,"_ACB")),ROW(V$4:V719))),0)</f>
        <v>0</v>
      </c>
    </row>
    <row r="721" spans="1:29" x14ac:dyDescent="0.25">
      <c r="A721" s="20">
        <v>40710</v>
      </c>
      <c r="B721" t="s">
        <v>43</v>
      </c>
      <c r="C721" t="s">
        <v>36</v>
      </c>
      <c r="D721" s="3">
        <v>0.53</v>
      </c>
      <c r="J721">
        <v>390.54</v>
      </c>
      <c r="M721" s="21">
        <f t="shared" si="90"/>
        <v>0.53</v>
      </c>
      <c r="N721" s="8">
        <f t="shared" si="96"/>
        <v>0.53</v>
      </c>
      <c r="O721" s="25">
        <f t="shared" si="93"/>
        <v>25121.869999999937</v>
      </c>
      <c r="P721" s="8">
        <f t="shared" si="91"/>
        <v>0</v>
      </c>
      <c r="Q721" s="4">
        <f>IF(AND(S721&gt;=[1]eRRSP_Rpt!$C$6,S721&lt;=[1]eRRSP_Rpt!$C$7),1,0)</f>
        <v>1</v>
      </c>
      <c r="R721" s="4"/>
      <c r="S721" s="4">
        <f t="shared" si="89"/>
        <v>2011</v>
      </c>
      <c r="T721" s="4"/>
      <c r="U721" s="4" t="str">
        <f t="shared" si="92"/>
        <v>IntIncTDW</v>
      </c>
      <c r="V721" s="23">
        <f>IFERROR(IF(AND(AB721&gt;0,B721&lt;&gt;"Sell"),(AA721-SUMIF(C$4:C720,C721,AC$4:AC721))/AB721,0),"")</f>
        <v>0</v>
      </c>
      <c r="W721" s="24" t="str">
        <f t="shared" si="95"/>
        <v/>
      </c>
      <c r="X721" s="25" t="str">
        <f t="shared" si="94"/>
        <v/>
      </c>
      <c r="Y721" s="10" t="str">
        <f>IF(S722&lt;&gt;eRRSP_Tx_Table[[#This Row],[Year]],SUMIFS($W$4:$W721,$S$4:$S721,eRRSP_Tx_Table[[#This Row],[Year]],$W$4:$W721,"&gt;0"),"")</f>
        <v/>
      </c>
      <c r="Z721" s="10" t="str">
        <f>IF(S722&lt;&gt;eRRSP_Tx_Table[[#This Row],[Year]],SUMIFS($W$4:$W721,$S$4:$S721,eRRSP_Tx_Table[[#This Row],[Year]],$W$4:$W721,"&lt;0"),"")</f>
        <v/>
      </c>
      <c r="AA721" s="3">
        <f>(SUMIF($U$4:$U721,CONCATENATE("Buy",$C721),$N$4:$N721)+SUMIF($U$4:$U721,CONCATENATE("ReinvDiv",$C721),$N$4:$N721))</f>
        <v>0</v>
      </c>
      <c r="AB721">
        <f>(SUMIF($U$4:$U721,CONCATENATE("Buy",$C721),$F$4:$F721)+SUMIF($U$4:$U721,CONCATENATE("ReinvDiv",$C721),$F$4:$F721)+SUMIF($U$4:$U721,CONCATENATE("StkSplit",$C721),$F$4:$F721)-SUMIF($U$4:$U721,CONCATENATE("Sell",$C721),$F$4:$F721))</f>
        <v>0</v>
      </c>
      <c r="AC721" s="3">
        <f>IF(B721="Sell",F721*INDEX(V:V,LOOKUP(2,1/(X$4:X720=CONCATENATE(C721,"_ACB")),ROW(V$4:V720))),0)</f>
        <v>0</v>
      </c>
    </row>
    <row r="722" spans="1:29" x14ac:dyDescent="0.25">
      <c r="A722" s="20">
        <v>40711</v>
      </c>
      <c r="B722" t="s">
        <v>42</v>
      </c>
      <c r="C722" t="s">
        <v>87</v>
      </c>
      <c r="D722" s="3">
        <v>39.75</v>
      </c>
      <c r="J722">
        <v>117.09</v>
      </c>
      <c r="M722" s="21">
        <f t="shared" si="90"/>
        <v>39.75</v>
      </c>
      <c r="N722" s="8">
        <f t="shared" si="96"/>
        <v>39.75</v>
      </c>
      <c r="O722" s="25">
        <f t="shared" si="93"/>
        <v>25161.619999999937</v>
      </c>
      <c r="P722" s="8">
        <f t="shared" si="91"/>
        <v>0</v>
      </c>
      <c r="Q722" s="4">
        <f>IF(AND(S722&gt;=[1]eRRSP_Rpt!$C$6,S722&lt;=[1]eRRSP_Rpt!$C$7),1,0)</f>
        <v>1</v>
      </c>
      <c r="R722" s="4"/>
      <c r="S722" s="4">
        <f t="shared" si="89"/>
        <v>2011</v>
      </c>
      <c r="T722" s="4"/>
      <c r="U722" s="4" t="str">
        <f t="shared" si="92"/>
        <v>DivAberdeen Asia Pacific Income Fund</v>
      </c>
      <c r="V722" s="23">
        <f>IFERROR(IF(AND(AB722&gt;0,B722&lt;&gt;"Sell"),(AA722-SUMIF(C$4:C721,C722,AC$4:AC722))/AB722,0),"")</f>
        <v>-7.4694020797227028</v>
      </c>
      <c r="W722" s="24" t="str">
        <f t="shared" si="95"/>
        <v/>
      </c>
      <c r="X722" s="25" t="str">
        <f t="shared" si="94"/>
        <v>Aberdeen Asia Pacific Income Fund_ACB</v>
      </c>
      <c r="Y722" s="10" t="str">
        <f>IF(S723&lt;&gt;eRRSP_Tx_Table[[#This Row],[Year]],SUMIFS($W$4:$W722,$S$4:$S722,eRRSP_Tx_Table[[#This Row],[Year]],$W$4:$W722,"&gt;0"),"")</f>
        <v/>
      </c>
      <c r="Z722" s="10" t="str">
        <f>IF(S723&lt;&gt;eRRSP_Tx_Table[[#This Row],[Year]],SUMIFS($W$4:$W722,$S$4:$S722,eRRSP_Tx_Table[[#This Row],[Year]],$W$4:$W722,"&lt;0"),"")</f>
        <v/>
      </c>
      <c r="AA722" s="3">
        <f>(SUMIF($U$4:$U722,CONCATENATE("Buy",$C722),$N$4:$N722)+SUMIF($U$4:$U722,CONCATENATE("ReinvDiv",$C722),$N$4:$N722))</f>
        <v>-8619.6899999999987</v>
      </c>
      <c r="AB722">
        <f>(SUMIF($U$4:$U722,CONCATENATE("Buy",$C722),$F$4:$F722)+SUMIF($U$4:$U722,CONCATENATE("ReinvDiv",$C722),$F$4:$F722)+SUMIF($U$4:$U722,CONCATENATE("StkSplit",$C722),$F$4:$F722)-SUMIF($U$4:$U722,CONCATENATE("Sell",$C722),$F$4:$F722))</f>
        <v>1154</v>
      </c>
      <c r="AC722" s="3">
        <f>IF(B722="Sell",F722*INDEX(V:V,LOOKUP(2,1/(X$4:X721=CONCATENATE(C722,"_ACB")),ROW(V$4:V721))),0)</f>
        <v>0</v>
      </c>
    </row>
    <row r="723" spans="1:29" x14ac:dyDescent="0.25">
      <c r="A723" s="20">
        <v>40723</v>
      </c>
      <c r="B723" t="s">
        <v>41</v>
      </c>
      <c r="C723" t="s">
        <v>97</v>
      </c>
      <c r="D723" s="3">
        <v>390.54</v>
      </c>
      <c r="E723">
        <f>eRRSP_Tx_Table[[#This Row],[Amount]]/eRRSP_Tx_Table[[#This Row],[Quantity]]</f>
        <v>9.0899357601713078</v>
      </c>
      <c r="F723" s="3">
        <v>42.963999999999999</v>
      </c>
      <c r="J723">
        <v>17.96</v>
      </c>
      <c r="M723" s="21">
        <f t="shared" si="90"/>
        <v>390.54</v>
      </c>
      <c r="N723" s="8">
        <f t="shared" si="96"/>
        <v>-390.54</v>
      </c>
      <c r="O723" s="25">
        <f t="shared" si="93"/>
        <v>25161.619999999937</v>
      </c>
      <c r="P723" s="8">
        <f t="shared" si="91"/>
        <v>0</v>
      </c>
      <c r="Q723" s="4">
        <f>IF(AND(S723&gt;=[1]eRRSP_Rpt!$C$6,S723&lt;=[1]eRRSP_Rpt!$C$7),1,0)</f>
        <v>1</v>
      </c>
      <c r="R723" s="4"/>
      <c r="S723" s="4">
        <f t="shared" si="89"/>
        <v>2011</v>
      </c>
      <c r="T723" s="4"/>
      <c r="U723" s="4" t="str">
        <f t="shared" si="92"/>
        <v>ReinvDivTD International Index - e</v>
      </c>
      <c r="V723" s="23">
        <f>IFERROR(IF(AND(AB723&gt;0,B723&lt;&gt;"Sell"),(AA723-SUMIF(C$4:C722,C723,AC$4:AC723))/AB723,0),"")</f>
        <v>-8.3521987299717519</v>
      </c>
      <c r="W723" s="24" t="str">
        <f t="shared" si="95"/>
        <v/>
      </c>
      <c r="X723" s="25" t="str">
        <f t="shared" si="94"/>
        <v>TD International Index - e_ACB</v>
      </c>
      <c r="Y723" s="10" t="str">
        <f>IF(S724&lt;&gt;eRRSP_Tx_Table[[#This Row],[Year]],SUMIFS($W$4:$W723,$S$4:$S723,eRRSP_Tx_Table[[#This Row],[Year]],$W$4:$W723,"&gt;0"),"")</f>
        <v/>
      </c>
      <c r="Z723" s="10" t="str">
        <f>IF(S724&lt;&gt;eRRSP_Tx_Table[[#This Row],[Year]],SUMIFS($W$4:$W723,$S$4:$S723,eRRSP_Tx_Table[[#This Row],[Year]],$W$4:$W723,"&lt;0"),"")</f>
        <v/>
      </c>
      <c r="AA723" s="3">
        <f>(SUMIF($U$4:$U723,CONCATENATE("Buy",$C723),$N$4:$N723)+SUMIF($U$4:$U723,CONCATENATE("ReinvDiv",$C723),$N$4:$N723))</f>
        <v>-27595.84</v>
      </c>
      <c r="AB723">
        <f>(SUMIF($U$4:$U723,CONCATENATE("Buy",$C723),$F$4:$F723)+SUMIF($U$4:$U723,CONCATENATE("ReinvDiv",$C723),$F$4:$F723)+SUMIF($U$4:$U723,CONCATENATE("StkSplit",$C723),$F$4:$F723)-SUMIF($U$4:$U723,CONCATENATE("Sell",$C723),$F$4:$F723))</f>
        <v>3304.0210000000002</v>
      </c>
      <c r="AC723" s="3">
        <f>IF(B723="Sell",F723*INDEX(V:V,LOOKUP(2,1/(X$4:X722=CONCATENATE(C723,"_ACB")),ROW(V$4:V722))),0)</f>
        <v>0</v>
      </c>
    </row>
    <row r="724" spans="1:29" x14ac:dyDescent="0.25">
      <c r="A724" s="20">
        <v>40723</v>
      </c>
      <c r="B724" t="s">
        <v>41</v>
      </c>
      <c r="C724" t="s">
        <v>62</v>
      </c>
      <c r="D724" s="3">
        <v>117.09</v>
      </c>
      <c r="E724">
        <v>16.700900000000001</v>
      </c>
      <c r="F724" s="3">
        <v>7.0110000000000001</v>
      </c>
      <c r="J724">
        <v>38.090000000000003</v>
      </c>
      <c r="M724" s="21">
        <f t="shared" si="90"/>
        <v>117.09</v>
      </c>
      <c r="N724" s="8">
        <f t="shared" si="96"/>
        <v>-117.09</v>
      </c>
      <c r="O724" s="25">
        <f t="shared" si="93"/>
        <v>25161.619999999937</v>
      </c>
      <c r="P724" s="8">
        <f t="shared" si="91"/>
        <v>0</v>
      </c>
      <c r="Q724" s="4">
        <f>IF(AND(S724&gt;=[1]eRRSP_Rpt!$C$6,S724&lt;=[1]eRRSP_Rpt!$C$7),1,0)</f>
        <v>1</v>
      </c>
      <c r="R724" s="4"/>
      <c r="S724" s="4">
        <f t="shared" si="89"/>
        <v>2011</v>
      </c>
      <c r="T724" s="4"/>
      <c r="U724" s="4" t="str">
        <f t="shared" si="92"/>
        <v>ReinvDivTD RR Bond</v>
      </c>
      <c r="V724" s="23">
        <f>IFERROR(IF(AND(AB724&gt;0,B724&lt;&gt;"Sell"),(AA724-SUMIF(C$4:C723,C724,AC$4:AC724))/AB724,0),"")</f>
        <v>-14.318073137499773</v>
      </c>
      <c r="W724" s="24" t="str">
        <f t="shared" si="95"/>
        <v/>
      </c>
      <c r="X724" s="25" t="str">
        <f t="shared" si="94"/>
        <v>TD RR Bond_ACB</v>
      </c>
      <c r="Y724" s="10" t="str">
        <f>IF(S725&lt;&gt;eRRSP_Tx_Table[[#This Row],[Year]],SUMIFS($W$4:$W724,$S$4:$S724,eRRSP_Tx_Table[[#This Row],[Year]],$W$4:$W724,"&gt;0"),"")</f>
        <v/>
      </c>
      <c r="Z724" s="10" t="str">
        <f>IF(S725&lt;&gt;eRRSP_Tx_Table[[#This Row],[Year]],SUMIFS($W$4:$W724,$S$4:$S724,eRRSP_Tx_Table[[#This Row],[Year]],$W$4:$W724,"&lt;0"),"")</f>
        <v/>
      </c>
      <c r="AA724" s="3">
        <f>(SUMIF($U$4:$U724,CONCATENATE("Buy",$C724),$N$4:$N724)+SUMIF($U$4:$U724,CONCATENATE("ReinvDiv",$C724),$N$4:$N724))</f>
        <v>-10329.959999999999</v>
      </c>
      <c r="AB724">
        <f>(SUMIF($U$4:$U724,CONCATENATE("Buy",$C724),$F$4:$F724)+SUMIF($U$4:$U724,CONCATENATE("ReinvDiv",$C724),$F$4:$F724)+SUMIF($U$4:$U724,CONCATENATE("StkSplit",$C724),$F$4:$F724)-SUMIF($U$4:$U724,CONCATENATE("Sell",$C724),$F$4:$F724))</f>
        <v>721.46299999999997</v>
      </c>
      <c r="AC724" s="3">
        <f>IF(B724="Sell",F724*INDEX(V:V,LOOKUP(2,1/(X$4:X723=CONCATENATE(C724,"_ACB")),ROW(V$4:V723))),0)</f>
        <v>0</v>
      </c>
    </row>
    <row r="725" spans="1:29" x14ac:dyDescent="0.25">
      <c r="A725" s="20">
        <v>40724</v>
      </c>
      <c r="B725" t="s">
        <v>42</v>
      </c>
      <c r="C725" t="s">
        <v>90</v>
      </c>
      <c r="D725" s="3">
        <v>17.96</v>
      </c>
      <c r="J725">
        <v>2.23</v>
      </c>
      <c r="M725" s="21">
        <f t="shared" si="90"/>
        <v>17.96</v>
      </c>
      <c r="N725" s="8">
        <f t="shared" si="96"/>
        <v>17.96</v>
      </c>
      <c r="O725" s="25">
        <f t="shared" si="93"/>
        <v>25179.579999999936</v>
      </c>
      <c r="P725" s="8">
        <f t="shared" si="91"/>
        <v>0</v>
      </c>
      <c r="Q725" s="4">
        <f>IF(AND(S725&gt;=[1]eRRSP_Rpt!$C$6,S725&lt;=[1]eRRSP_Rpt!$C$7),1,0)</f>
        <v>1</v>
      </c>
      <c r="R725" s="4"/>
      <c r="S725" s="4">
        <f t="shared" si="89"/>
        <v>2011</v>
      </c>
      <c r="T725" s="4"/>
      <c r="U725" s="4" t="str">
        <f t="shared" si="92"/>
        <v>DivVanguard Large Cap ETF</v>
      </c>
      <c r="V725" s="23">
        <f>IFERROR(IF(AND(AB725&gt;0,B725&lt;&gt;"Sell"),(AA725-SUMIF(C$4:C724,C725,AC$4:AC725))/AB725,0),"")</f>
        <v>-74.401142857142858</v>
      </c>
      <c r="W725" s="24" t="str">
        <f t="shared" si="95"/>
        <v/>
      </c>
      <c r="X725" s="25" t="str">
        <f t="shared" si="94"/>
        <v>Vanguard Large Cap ETF_ACB</v>
      </c>
      <c r="Y725" s="10" t="str">
        <f>IF(S726&lt;&gt;eRRSP_Tx_Table[[#This Row],[Year]],SUMIFS($W$4:$W725,$S$4:$S725,eRRSP_Tx_Table[[#This Row],[Year]],$W$4:$W725,"&gt;0"),"")</f>
        <v/>
      </c>
      <c r="Z725" s="10" t="str">
        <f>IF(S726&lt;&gt;eRRSP_Tx_Table[[#This Row],[Year]],SUMIFS($W$4:$W725,$S$4:$S725,eRRSP_Tx_Table[[#This Row],[Year]],$W$4:$W725,"&lt;0"),"")</f>
        <v/>
      </c>
      <c r="AA725" s="3">
        <f>(SUMIF($U$4:$U725,CONCATENATE("Buy",$C725),$N$4:$N725)+SUMIF($U$4:$U725,CONCATENATE("ReinvDiv",$C725),$N$4:$N725))</f>
        <v>-5208.08</v>
      </c>
      <c r="AB725">
        <f>(SUMIF($U$4:$U725,CONCATENATE("Buy",$C725),$F$4:$F725)+SUMIF($U$4:$U725,CONCATENATE("ReinvDiv",$C725),$F$4:$F725)+SUMIF($U$4:$U725,CONCATENATE("StkSplit",$C725),$F$4:$F725)-SUMIF($U$4:$U725,CONCATENATE("Sell",$C725),$F$4:$F725))</f>
        <v>70</v>
      </c>
      <c r="AC725" s="3">
        <f>IF(B725="Sell",F725*INDEX(V:V,LOOKUP(2,1/(X$4:X724=CONCATENATE(C725,"_ACB")),ROW(V$4:V724))),0)</f>
        <v>0</v>
      </c>
    </row>
    <row r="726" spans="1:29" x14ac:dyDescent="0.25">
      <c r="A726" s="20">
        <v>40739</v>
      </c>
      <c r="B726" t="s">
        <v>42</v>
      </c>
      <c r="C726" t="s">
        <v>87</v>
      </c>
      <c r="D726" s="3">
        <v>38.090000000000003</v>
      </c>
      <c r="J726">
        <v>0.51</v>
      </c>
      <c r="M726" s="21">
        <f t="shared" si="90"/>
        <v>38.090000000000003</v>
      </c>
      <c r="N726" s="8">
        <f t="shared" si="96"/>
        <v>38.090000000000003</v>
      </c>
      <c r="O726" s="25">
        <f t="shared" si="93"/>
        <v>25217.669999999936</v>
      </c>
      <c r="P726" s="8">
        <f t="shared" si="91"/>
        <v>0</v>
      </c>
      <c r="Q726" s="4">
        <f>IF(AND(S726&gt;=[1]eRRSP_Rpt!$C$6,S726&lt;=[1]eRRSP_Rpt!$C$7),1,0)</f>
        <v>1</v>
      </c>
      <c r="R726" s="4"/>
      <c r="S726" s="4">
        <f t="shared" si="89"/>
        <v>2011</v>
      </c>
      <c r="T726" s="4"/>
      <c r="U726" s="4" t="str">
        <f t="shared" si="92"/>
        <v>DivAberdeen Asia Pacific Income Fund</v>
      </c>
      <c r="V726" s="23">
        <f>IFERROR(IF(AND(AB726&gt;0,B726&lt;&gt;"Sell"),(AA726-SUMIF(C$4:C725,C726,AC$4:AC726))/AB726,0),"")</f>
        <v>-7.4694020797227028</v>
      </c>
      <c r="W726" s="24" t="str">
        <f t="shared" si="95"/>
        <v/>
      </c>
      <c r="X726" s="25" t="str">
        <f t="shared" si="94"/>
        <v>Aberdeen Asia Pacific Income Fund_ACB</v>
      </c>
      <c r="Y726" s="10" t="str">
        <f>IF(S727&lt;&gt;eRRSP_Tx_Table[[#This Row],[Year]],SUMIFS($W$4:$W726,$S$4:$S726,eRRSP_Tx_Table[[#This Row],[Year]],$W$4:$W726,"&gt;0"),"")</f>
        <v/>
      </c>
      <c r="Z726" s="10" t="str">
        <f>IF(S727&lt;&gt;eRRSP_Tx_Table[[#This Row],[Year]],SUMIFS($W$4:$W726,$S$4:$S726,eRRSP_Tx_Table[[#This Row],[Year]],$W$4:$W726,"&lt;0"),"")</f>
        <v/>
      </c>
      <c r="AA726" s="3">
        <f>(SUMIF($U$4:$U726,CONCATENATE("Buy",$C726),$N$4:$N726)+SUMIF($U$4:$U726,CONCATENATE("ReinvDiv",$C726),$N$4:$N726))</f>
        <v>-8619.6899999999987</v>
      </c>
      <c r="AB726">
        <f>(SUMIF($U$4:$U726,CONCATENATE("Buy",$C726),$F$4:$F726)+SUMIF($U$4:$U726,CONCATENATE("ReinvDiv",$C726),$F$4:$F726)+SUMIF($U$4:$U726,CONCATENATE("StkSplit",$C726),$F$4:$F726)-SUMIF($U$4:$U726,CONCATENATE("Sell",$C726),$F$4:$F726))</f>
        <v>1154</v>
      </c>
      <c r="AC726" s="3">
        <f>IF(B726="Sell",F726*INDEX(V:V,LOOKUP(2,1/(X$4:X725=CONCATENATE(C726,"_ACB")),ROW(V$4:V725))),0)</f>
        <v>0</v>
      </c>
    </row>
    <row r="727" spans="1:29" x14ac:dyDescent="0.25">
      <c r="A727" s="20">
        <v>40740</v>
      </c>
      <c r="B727" t="s">
        <v>43</v>
      </c>
      <c r="C727" t="s">
        <v>36</v>
      </c>
      <c r="D727" s="3">
        <v>0.51</v>
      </c>
      <c r="J727">
        <v>0.76</v>
      </c>
      <c r="M727" s="21">
        <f t="shared" si="90"/>
        <v>0.51</v>
      </c>
      <c r="N727" s="8">
        <f t="shared" si="96"/>
        <v>0.51</v>
      </c>
      <c r="O727" s="25">
        <f t="shared" si="93"/>
        <v>25218.179999999935</v>
      </c>
      <c r="P727" s="8">
        <f t="shared" si="91"/>
        <v>0</v>
      </c>
      <c r="Q727" s="4">
        <f>IF(AND(S727&gt;=[1]eRRSP_Rpt!$C$6,S727&lt;=[1]eRRSP_Rpt!$C$7),1,0)</f>
        <v>1</v>
      </c>
      <c r="R727" s="4"/>
      <c r="S727" s="4">
        <f t="shared" si="89"/>
        <v>2011</v>
      </c>
      <c r="T727" s="4"/>
      <c r="U727" s="4" t="str">
        <f t="shared" si="92"/>
        <v>IntIncTDW</v>
      </c>
      <c r="V727" s="23">
        <f>IFERROR(IF(AND(AB727&gt;0,B727&lt;&gt;"Sell"),(AA727-SUMIF(C$4:C726,C727,AC$4:AC727))/AB727,0),"")</f>
        <v>0</v>
      </c>
      <c r="W727" s="24" t="str">
        <f t="shared" si="95"/>
        <v/>
      </c>
      <c r="X727" s="25" t="str">
        <f t="shared" si="94"/>
        <v/>
      </c>
      <c r="Y727" s="10" t="str">
        <f>IF(S728&lt;&gt;eRRSP_Tx_Table[[#This Row],[Year]],SUMIFS($W$4:$W727,$S$4:$S727,eRRSP_Tx_Table[[#This Row],[Year]],$W$4:$W727,"&gt;0"),"")</f>
        <v/>
      </c>
      <c r="Z727" s="10" t="str">
        <f>IF(S728&lt;&gt;eRRSP_Tx_Table[[#This Row],[Year]],SUMIFS($W$4:$W727,$S$4:$S727,eRRSP_Tx_Table[[#This Row],[Year]],$W$4:$W727,"&lt;0"),"")</f>
        <v/>
      </c>
      <c r="AA727" s="3">
        <f>(SUMIF($U$4:$U727,CONCATENATE("Buy",$C727),$N$4:$N727)+SUMIF($U$4:$U727,CONCATENATE("ReinvDiv",$C727),$N$4:$N727))</f>
        <v>0</v>
      </c>
      <c r="AB727">
        <f>(SUMIF($U$4:$U727,CONCATENATE("Buy",$C727),$F$4:$F727)+SUMIF($U$4:$U727,CONCATENATE("ReinvDiv",$C727),$F$4:$F727)+SUMIF($U$4:$U727,CONCATENATE("StkSplit",$C727),$F$4:$F727)-SUMIF($U$4:$U727,CONCATENATE("Sell",$C727),$F$4:$F727))</f>
        <v>0</v>
      </c>
      <c r="AC727" s="3">
        <f>IF(B727="Sell",F727*INDEX(V:V,LOOKUP(2,1/(X$4:X726=CONCATENATE(C727,"_ACB")),ROW(V$4:V726))),0)</f>
        <v>0</v>
      </c>
    </row>
    <row r="728" spans="1:29" x14ac:dyDescent="0.25">
      <c r="A728" s="20">
        <v>40750</v>
      </c>
      <c r="B728" t="s">
        <v>43</v>
      </c>
      <c r="C728" t="s">
        <v>94</v>
      </c>
      <c r="D728" s="3">
        <v>486.5</v>
      </c>
      <c r="J728">
        <v>13.2</v>
      </c>
      <c r="M728" s="21">
        <f t="shared" si="90"/>
        <v>486.5</v>
      </c>
      <c r="N728" s="8">
        <f t="shared" si="96"/>
        <v>486.5</v>
      </c>
      <c r="O728" s="25">
        <f t="shared" si="93"/>
        <v>25704.679999999935</v>
      </c>
      <c r="P728" s="8">
        <f t="shared" si="91"/>
        <v>0</v>
      </c>
      <c r="Q728" s="4">
        <f>IF(AND(S728&gt;=[1]eRRSP_Rpt!$C$6,S728&lt;=[1]eRRSP_Rpt!$C$7),1,0)</f>
        <v>1</v>
      </c>
      <c r="R728" s="4"/>
      <c r="S728" s="4">
        <f t="shared" si="89"/>
        <v>2011</v>
      </c>
      <c r="T728" s="4"/>
      <c r="U728" s="4" t="str">
        <f t="shared" si="92"/>
        <v>IntIncAIMIA SER-3  6.95% 26JA17</v>
      </c>
      <c r="V728" s="23">
        <f>IFERROR(IF(AND(AB728&gt;0,B728&lt;&gt;"Sell"),(AA728-SUMIF(C$4:C727,C728,AC$4:AC728))/AB728,0),"")</f>
        <v>-1.0346899999999999</v>
      </c>
      <c r="W728" s="24" t="str">
        <f t="shared" si="95"/>
        <v/>
      </c>
      <c r="X728" s="25" t="str">
        <f t="shared" si="94"/>
        <v>AIMIA SER-3  6.95% 26JA17_ACB</v>
      </c>
      <c r="Y728" s="10" t="str">
        <f>IF(S729&lt;&gt;eRRSP_Tx_Table[[#This Row],[Year]],SUMIFS($W$4:$W728,$S$4:$S728,eRRSP_Tx_Table[[#This Row],[Year]],$W$4:$W728,"&gt;0"),"")</f>
        <v/>
      </c>
      <c r="Z728" s="10" t="str">
        <f>IF(S729&lt;&gt;eRRSP_Tx_Table[[#This Row],[Year]],SUMIFS($W$4:$W728,$S$4:$S728,eRRSP_Tx_Table[[#This Row],[Year]],$W$4:$W728,"&lt;0"),"")</f>
        <v/>
      </c>
      <c r="AA728" s="3">
        <f>(SUMIF($U$4:$U728,CONCATENATE("Buy",$C728),$N$4:$N728)+SUMIF($U$4:$U728,CONCATENATE("ReinvDiv",$C728),$N$4:$N728))</f>
        <v>-14485.66</v>
      </c>
      <c r="AB728">
        <f>(SUMIF($U$4:$U728,CONCATENATE("Buy",$C728),$F$4:$F728)+SUMIF($U$4:$U728,CONCATENATE("ReinvDiv",$C728),$F$4:$F728)+SUMIF($U$4:$U728,CONCATENATE("StkSplit",$C728),$F$4:$F728)-SUMIF($U$4:$U728,CONCATENATE("Sell",$C728),$F$4:$F728))</f>
        <v>14000</v>
      </c>
      <c r="AC728" s="3">
        <f>IF(B728="Sell",F728*INDEX(V:V,LOOKUP(2,1/(X$4:X727=CONCATENATE(C728,"_ACB")),ROW(V$4:V727))),0)</f>
        <v>0</v>
      </c>
    </row>
    <row r="729" spans="1:29" x14ac:dyDescent="0.25">
      <c r="A729" s="20">
        <v>40755</v>
      </c>
      <c r="B729" t="s">
        <v>42</v>
      </c>
      <c r="C729" t="s">
        <v>47</v>
      </c>
      <c r="D729" s="3">
        <v>0.76</v>
      </c>
      <c r="J729">
        <v>39.26</v>
      </c>
      <c r="M729" s="21">
        <f t="shared" si="90"/>
        <v>0.76</v>
      </c>
      <c r="N729" s="8">
        <f t="shared" si="96"/>
        <v>0.76</v>
      </c>
      <c r="O729" s="25">
        <f t="shared" si="93"/>
        <v>25705.439999999933</v>
      </c>
      <c r="P729" s="8">
        <f t="shared" si="91"/>
        <v>0</v>
      </c>
      <c r="Q729" s="4">
        <f>IF(AND(S729&gt;=[1]eRRSP_Rpt!$C$6,S729&lt;=[1]eRRSP_Rpt!$C$7),1,0)</f>
        <v>1</v>
      </c>
      <c r="R729" s="4"/>
      <c r="S729" s="4">
        <f t="shared" ref="S729:S794" si="97">YEAR(A729)</f>
        <v>2011</v>
      </c>
      <c r="T729" s="4"/>
      <c r="U729" s="4" t="str">
        <f t="shared" si="92"/>
        <v>DivBombardier</v>
      </c>
      <c r="V729" s="23">
        <f>IFERROR(IF(AND(AB729&gt;0,B729&lt;&gt;"Sell"),(AA729-SUMIF(C$4:C728,C729,AC$4:AC729))/AB729,0),"")</f>
        <v>-23.216666666666665</v>
      </c>
      <c r="W729" s="24" t="str">
        <f t="shared" si="95"/>
        <v/>
      </c>
      <c r="X729" s="25" t="str">
        <f t="shared" si="94"/>
        <v>Bombardier_ACB</v>
      </c>
      <c r="Y729" s="10" t="str">
        <f>IF(S730&lt;&gt;eRRSP_Tx_Table[[#This Row],[Year]],SUMIFS($W$4:$W729,$S$4:$S729,eRRSP_Tx_Table[[#This Row],[Year]],$W$4:$W729,"&gt;0"),"")</f>
        <v/>
      </c>
      <c r="Z729" s="10" t="str">
        <f>IF(S730&lt;&gt;eRRSP_Tx_Table[[#This Row],[Year]],SUMIFS($W$4:$W729,$S$4:$S729,eRRSP_Tx_Table[[#This Row],[Year]],$W$4:$W729,"&lt;0"),"")</f>
        <v/>
      </c>
      <c r="AA729" s="3">
        <f>(SUMIF($U$4:$U729,CONCATENATE("Buy",$C729),$N$4:$N729)+SUMIF($U$4:$U729,CONCATENATE("ReinvDiv",$C729),$N$4:$N729))</f>
        <v>-696.5</v>
      </c>
      <c r="AB729">
        <f>(SUMIF($U$4:$U729,CONCATENATE("Buy",$C729),$F$4:$F729)+SUMIF($U$4:$U729,CONCATENATE("ReinvDiv",$C729),$F$4:$F729)+SUMIF($U$4:$U729,CONCATENATE("StkSplit",$C729),$F$4:$F729)-SUMIF($U$4:$U729,CONCATENATE("Sell",$C729),$F$4:$F729))</f>
        <v>30</v>
      </c>
      <c r="AC729" s="3">
        <f>IF(B729="Sell",F729*INDEX(V:V,LOOKUP(2,1/(X$4:X728=CONCATENATE(C729,"_ACB")),ROW(V$4:V728))),0)</f>
        <v>0</v>
      </c>
    </row>
    <row r="730" spans="1:29" x14ac:dyDescent="0.25">
      <c r="A730" s="20">
        <v>40755</v>
      </c>
      <c r="B730" t="s">
        <v>42</v>
      </c>
      <c r="C730" t="s">
        <v>45</v>
      </c>
      <c r="D730" s="3">
        <v>13.2</v>
      </c>
      <c r="J730">
        <v>0.54</v>
      </c>
      <c r="M730" s="21">
        <f t="shared" si="90"/>
        <v>13.2</v>
      </c>
      <c r="N730" s="8">
        <f t="shared" si="96"/>
        <v>13.2</v>
      </c>
      <c r="O730" s="25">
        <f t="shared" si="93"/>
        <v>25718.639999999934</v>
      </c>
      <c r="P730" s="8">
        <f t="shared" si="91"/>
        <v>0</v>
      </c>
      <c r="Q730" s="4">
        <f>IF(AND(S730&gt;=[1]eRRSP_Rpt!$C$6,S730&lt;=[1]eRRSP_Rpt!$C$7),1,0)</f>
        <v>1</v>
      </c>
      <c r="R730" s="4"/>
      <c r="S730" s="4">
        <f t="shared" si="97"/>
        <v>2011</v>
      </c>
      <c r="T730" s="4"/>
      <c r="U730" s="4" t="str">
        <f t="shared" si="92"/>
        <v>DivTD Bank</v>
      </c>
      <c r="V730" s="23">
        <f>IFERROR(IF(AND(AB730&gt;0,B730&lt;&gt;"Sell"),(AA730-SUMIF(C$4:C729,C730,AC$4:AC730))/AB730,0),"")</f>
        <v>-44.29</v>
      </c>
      <c r="W730" s="24" t="str">
        <f t="shared" si="95"/>
        <v/>
      </c>
      <c r="X730" s="25" t="str">
        <f t="shared" si="94"/>
        <v>TD Bank_ACB</v>
      </c>
      <c r="Y730" s="10" t="str">
        <f>IF(S731&lt;&gt;eRRSP_Tx_Table[[#This Row],[Year]],SUMIFS($W$4:$W730,$S$4:$S730,eRRSP_Tx_Table[[#This Row],[Year]],$W$4:$W730,"&gt;0"),"")</f>
        <v/>
      </c>
      <c r="Z730" s="10" t="str">
        <f>IF(S731&lt;&gt;eRRSP_Tx_Table[[#This Row],[Year]],SUMIFS($W$4:$W730,$S$4:$S730,eRRSP_Tx_Table[[#This Row],[Year]],$W$4:$W730,"&lt;0"),"")</f>
        <v/>
      </c>
      <c r="AA730" s="3">
        <f>(SUMIF($U$4:$U730,CONCATENATE("Buy",$C730),$N$4:$N730)+SUMIF($U$4:$U730,CONCATENATE("ReinvDiv",$C730),$N$4:$N730))</f>
        <v>-885.8</v>
      </c>
      <c r="AB730">
        <f>(SUMIF($U$4:$U730,CONCATENATE("Buy",$C730),$F$4:$F730)+SUMIF($U$4:$U730,CONCATENATE("ReinvDiv",$C730),$F$4:$F730)+SUMIF($U$4:$U730,CONCATENATE("StkSplit",$C730),$F$4:$F730)-SUMIF($U$4:$U730,CONCATENATE("Sell",$C730),$F$4:$F730))</f>
        <v>20</v>
      </c>
      <c r="AC730" s="3">
        <f>IF(B730="Sell",F730*INDEX(V:V,LOOKUP(2,1/(X$4:X729=CONCATENATE(C730,"_ACB")),ROW(V$4:V729))),0)</f>
        <v>0</v>
      </c>
    </row>
    <row r="731" spans="1:29" x14ac:dyDescent="0.25">
      <c r="A731" s="20">
        <v>40767</v>
      </c>
      <c r="B731" t="s">
        <v>42</v>
      </c>
      <c r="C731" t="s">
        <v>87</v>
      </c>
      <c r="D731" s="3">
        <v>39.26</v>
      </c>
      <c r="J731">
        <v>84.77</v>
      </c>
      <c r="M731" s="21">
        <f t="shared" si="90"/>
        <v>39.26</v>
      </c>
      <c r="N731" s="8">
        <f t="shared" si="96"/>
        <v>39.26</v>
      </c>
      <c r="O731" s="25">
        <f t="shared" si="93"/>
        <v>25757.899999999932</v>
      </c>
      <c r="P731" s="8">
        <f t="shared" si="91"/>
        <v>0</v>
      </c>
      <c r="Q731" s="4">
        <f>IF(AND(S731&gt;=[1]eRRSP_Rpt!$C$6,S731&lt;=[1]eRRSP_Rpt!$C$7),1,0)</f>
        <v>1</v>
      </c>
      <c r="R731" s="4"/>
      <c r="S731" s="4">
        <f t="shared" si="97"/>
        <v>2011</v>
      </c>
      <c r="T731" s="4"/>
      <c r="U731" s="4" t="str">
        <f t="shared" si="92"/>
        <v>DivAberdeen Asia Pacific Income Fund</v>
      </c>
      <c r="V731" s="23">
        <f>IFERROR(IF(AND(AB731&gt;0,B731&lt;&gt;"Sell"),(AA731-SUMIF(C$4:C730,C731,AC$4:AC731))/AB731,0),"")</f>
        <v>-7.4694020797227028</v>
      </c>
      <c r="W731" s="24" t="str">
        <f t="shared" si="95"/>
        <v/>
      </c>
      <c r="X731" s="25" t="str">
        <f t="shared" si="94"/>
        <v>Aberdeen Asia Pacific Income Fund_ACB</v>
      </c>
      <c r="Y731" s="10" t="str">
        <f>IF(S732&lt;&gt;eRRSP_Tx_Table[[#This Row],[Year]],SUMIFS($W$4:$W731,$S$4:$S731,eRRSP_Tx_Table[[#This Row],[Year]],$W$4:$W731,"&gt;0"),"")</f>
        <v/>
      </c>
      <c r="Z731" s="10" t="str">
        <f>IF(S732&lt;&gt;eRRSP_Tx_Table[[#This Row],[Year]],SUMIFS($W$4:$W731,$S$4:$S731,eRRSP_Tx_Table[[#This Row],[Year]],$W$4:$W731,"&lt;0"),"")</f>
        <v/>
      </c>
      <c r="AA731" s="3">
        <f>(SUMIF($U$4:$U731,CONCATENATE("Buy",$C731),$N$4:$N731)+SUMIF($U$4:$U731,CONCATENATE("ReinvDiv",$C731),$N$4:$N731))</f>
        <v>-8619.6899999999987</v>
      </c>
      <c r="AB731">
        <f>(SUMIF($U$4:$U731,CONCATENATE("Buy",$C731),$F$4:$F731)+SUMIF($U$4:$U731,CONCATENATE("ReinvDiv",$C731),$F$4:$F731)+SUMIF($U$4:$U731,CONCATENATE("StkSplit",$C731),$F$4:$F731)-SUMIF($U$4:$U731,CONCATENATE("Sell",$C731),$F$4:$F731))</f>
        <v>1154</v>
      </c>
      <c r="AC731" s="3">
        <f>IF(B731="Sell",F731*INDEX(V:V,LOOKUP(2,1/(X$4:X730=CONCATENATE(C731,"_ACB")),ROW(V$4:V730))),0)</f>
        <v>0</v>
      </c>
    </row>
    <row r="732" spans="1:29" x14ac:dyDescent="0.25">
      <c r="A732" s="20">
        <v>40771</v>
      </c>
      <c r="B732" t="s">
        <v>43</v>
      </c>
      <c r="C732" t="s">
        <v>36</v>
      </c>
      <c r="D732" s="3">
        <v>0.54</v>
      </c>
      <c r="J732">
        <v>0.54</v>
      </c>
      <c r="M732" s="21">
        <f t="shared" si="90"/>
        <v>0.54</v>
      </c>
      <c r="N732" s="8">
        <f t="shared" si="96"/>
        <v>0.54</v>
      </c>
      <c r="O732" s="25">
        <f t="shared" si="93"/>
        <v>25758.439999999933</v>
      </c>
      <c r="P732" s="8">
        <f t="shared" si="91"/>
        <v>0</v>
      </c>
      <c r="Q732" s="4">
        <f>IF(AND(S732&gt;=[1]eRRSP_Rpt!$C$6,S732&lt;=[1]eRRSP_Rpt!$C$7),1,0)</f>
        <v>1</v>
      </c>
      <c r="R732" s="4"/>
      <c r="S732" s="4">
        <f t="shared" si="97"/>
        <v>2011</v>
      </c>
      <c r="T732" s="4"/>
      <c r="U732" s="4" t="str">
        <f t="shared" si="92"/>
        <v>IntIncTDW</v>
      </c>
      <c r="V732" s="23">
        <f>IFERROR(IF(AND(AB732&gt;0,B732&lt;&gt;"Sell"),(AA732-SUMIF(C$4:C731,C732,AC$4:AC732))/AB732,0),"")</f>
        <v>0</v>
      </c>
      <c r="W732" s="24" t="str">
        <f t="shared" si="95"/>
        <v/>
      </c>
      <c r="X732" s="25" t="str">
        <f t="shared" si="94"/>
        <v/>
      </c>
      <c r="Y732" s="10" t="str">
        <f>IF(S733&lt;&gt;eRRSP_Tx_Table[[#This Row],[Year]],SUMIFS($W$4:$W732,$S$4:$S732,eRRSP_Tx_Table[[#This Row],[Year]],$W$4:$W732,"&gt;0"),"")</f>
        <v/>
      </c>
      <c r="Z732" s="10" t="str">
        <f>IF(S733&lt;&gt;eRRSP_Tx_Table[[#This Row],[Year]],SUMIFS($W$4:$W732,$S$4:$S732,eRRSP_Tx_Table[[#This Row],[Year]],$W$4:$W732,"&lt;0"),"")</f>
        <v/>
      </c>
      <c r="AA732" s="3">
        <f>(SUMIF($U$4:$U732,CONCATENATE("Buy",$C732),$N$4:$N732)+SUMIF($U$4:$U732,CONCATENATE("ReinvDiv",$C732),$N$4:$N732))</f>
        <v>0</v>
      </c>
      <c r="AB732">
        <f>(SUMIF($U$4:$U732,CONCATENATE("Buy",$C732),$F$4:$F732)+SUMIF($U$4:$U732,CONCATENATE("ReinvDiv",$C732),$F$4:$F732)+SUMIF($U$4:$U732,CONCATENATE("StkSplit",$C732),$F$4:$F732)-SUMIF($U$4:$U732,CONCATENATE("Sell",$C732),$F$4:$F732))</f>
        <v>0</v>
      </c>
      <c r="AC732" s="3">
        <f>IF(B732="Sell",F732*INDEX(V:V,LOOKUP(2,1/(X$4:X731=CONCATENATE(C732,"_ACB")),ROW(V$4:V731))),0)</f>
        <v>0</v>
      </c>
    </row>
    <row r="733" spans="1:29" x14ac:dyDescent="0.25">
      <c r="A733" s="20">
        <v>40787</v>
      </c>
      <c r="B733" t="s">
        <v>42</v>
      </c>
      <c r="C733" t="s">
        <v>33</v>
      </c>
      <c r="D733" s="3">
        <v>84.77</v>
      </c>
      <c r="J733">
        <v>39.200000000000003</v>
      </c>
      <c r="M733" s="21">
        <f t="shared" ref="M733:M798" si="98">ROUND(IF(OR(B733="Buy",B733="Sell"),E733*F733,D733),2)</f>
        <v>84.77</v>
      </c>
      <c r="N733" s="8">
        <f t="shared" si="96"/>
        <v>84.77</v>
      </c>
      <c r="O733" s="25">
        <f t="shared" si="93"/>
        <v>25843.209999999934</v>
      </c>
      <c r="P733" s="8">
        <f t="shared" ref="P733:P798" si="99">IF(OR($B733="Cash"),$N733,0)</f>
        <v>0</v>
      </c>
      <c r="Q733" s="4">
        <f>IF(AND(S733&gt;=[1]eRRSP_Rpt!$C$6,S733&lt;=[1]eRRSP_Rpt!$C$7),1,0)</f>
        <v>1</v>
      </c>
      <c r="R733" s="4"/>
      <c r="S733" s="4">
        <f t="shared" si="97"/>
        <v>2011</v>
      </c>
      <c r="T733" s="4"/>
      <c r="U733" s="4" t="str">
        <f t="shared" ref="U733:U798" si="100">CONCATENATE(B733,C733)</f>
        <v>DivEnbridge</v>
      </c>
      <c r="V733" s="23">
        <f>IFERROR(IF(AND(AB733&gt;0,B733&lt;&gt;"Sell"),(AA733-SUMIF(C$4:C732,C733,AC$4:AC733))/AB733,0),"")</f>
        <v>-16.981789097623633</v>
      </c>
      <c r="W733" s="24" t="str">
        <f t="shared" si="95"/>
        <v/>
      </c>
      <c r="X733" s="25" t="str">
        <f t="shared" si="94"/>
        <v>Enbridge_ACB</v>
      </c>
      <c r="Y733" s="10" t="str">
        <f>IF(S734&lt;&gt;eRRSP_Tx_Table[[#This Row],[Year]],SUMIFS($W$4:$W733,$S$4:$S733,eRRSP_Tx_Table[[#This Row],[Year]],$W$4:$W733,"&gt;0"),"")</f>
        <v/>
      </c>
      <c r="Z733" s="10" t="str">
        <f>IF(S734&lt;&gt;eRRSP_Tx_Table[[#This Row],[Year]],SUMIFS($W$4:$W733,$S$4:$S733,eRRSP_Tx_Table[[#This Row],[Year]],$W$4:$W733,"&lt;0"),"")</f>
        <v/>
      </c>
      <c r="AA733" s="3">
        <f>(SUMIF($U$4:$U733,CONCATENATE("Buy",$C733),$N$4:$N733)+SUMIF($U$4:$U733,CONCATENATE("ReinvDiv",$C733),$N$4:$N733))</f>
        <v>-6788.69</v>
      </c>
      <c r="AB733">
        <f>(SUMIF($U$4:$U733,CONCATENATE("Buy",$C733),$F$4:$F733)+SUMIF($U$4:$U733,CONCATENATE("ReinvDiv",$C733),$F$4:$F733)+SUMIF($U$4:$U733,CONCATENATE("StkSplit",$C733),$F$4:$F733)-SUMIF($U$4:$U733,CONCATENATE("Sell",$C733),$F$4:$F733))</f>
        <v>346</v>
      </c>
      <c r="AC733" s="3">
        <f>IF(B733="Sell",F733*INDEX(V:V,LOOKUP(2,1/(X$4:X732=CONCATENATE(C733,"_ACB")),ROW(V$4:V732))),0)</f>
        <v>0</v>
      </c>
    </row>
    <row r="734" spans="1:29" x14ac:dyDescent="0.25">
      <c r="A734" s="20">
        <v>40802</v>
      </c>
      <c r="B734" t="s">
        <v>43</v>
      </c>
      <c r="C734" t="s">
        <v>36</v>
      </c>
      <c r="D734" s="3">
        <v>0.54</v>
      </c>
      <c r="J734">
        <v>19.3</v>
      </c>
      <c r="M734" s="21">
        <f t="shared" si="98"/>
        <v>0.54</v>
      </c>
      <c r="N734" s="8">
        <f t="shared" si="96"/>
        <v>0.54</v>
      </c>
      <c r="O734" s="25">
        <f t="shared" si="93"/>
        <v>25843.749999999935</v>
      </c>
      <c r="P734" s="8">
        <f t="shared" si="99"/>
        <v>0</v>
      </c>
      <c r="Q734" s="4">
        <f>IF(AND(S734&gt;=[1]eRRSP_Rpt!$C$6,S734&lt;=[1]eRRSP_Rpt!$C$7),1,0)</f>
        <v>1</v>
      </c>
      <c r="R734" s="4"/>
      <c r="S734" s="4">
        <f t="shared" si="97"/>
        <v>2011</v>
      </c>
      <c r="T734" s="4"/>
      <c r="U734" s="4" t="str">
        <f t="shared" si="100"/>
        <v>IntIncTDW</v>
      </c>
      <c r="V734" s="23">
        <f>IFERROR(IF(AND(AB734&gt;0,B734&lt;&gt;"Sell"),(AA734-SUMIF(C$4:C733,C734,AC$4:AC734))/AB734,0),"")</f>
        <v>0</v>
      </c>
      <c r="W734" s="24" t="str">
        <f t="shared" si="95"/>
        <v/>
      </c>
      <c r="X734" s="25" t="str">
        <f t="shared" si="94"/>
        <v/>
      </c>
      <c r="Y734" s="10" t="str">
        <f>IF(S735&lt;&gt;eRRSP_Tx_Table[[#This Row],[Year]],SUMIFS($W$4:$W734,$S$4:$S734,eRRSP_Tx_Table[[#This Row],[Year]],$W$4:$W734,"&gt;0"),"")</f>
        <v/>
      </c>
      <c r="Z734" s="10" t="str">
        <f>IF(S735&lt;&gt;eRRSP_Tx_Table[[#This Row],[Year]],SUMIFS($W$4:$W734,$S$4:$S734,eRRSP_Tx_Table[[#This Row],[Year]],$W$4:$W734,"&lt;0"),"")</f>
        <v/>
      </c>
      <c r="AA734" s="3">
        <f>(SUMIF($U$4:$U734,CONCATENATE("Buy",$C734),$N$4:$N734)+SUMIF($U$4:$U734,CONCATENATE("ReinvDiv",$C734),$N$4:$N734))</f>
        <v>0</v>
      </c>
      <c r="AB734">
        <f>(SUMIF($U$4:$U734,CONCATENATE("Buy",$C734),$F$4:$F734)+SUMIF($U$4:$U734,CONCATENATE("ReinvDiv",$C734),$F$4:$F734)+SUMIF($U$4:$U734,CONCATENATE("StkSplit",$C734),$F$4:$F734)-SUMIF($U$4:$U734,CONCATENATE("Sell",$C734),$F$4:$F734))</f>
        <v>0</v>
      </c>
      <c r="AC734" s="3">
        <f>IF(B734="Sell",F734*INDEX(V:V,LOOKUP(2,1/(X$4:X733=CONCATENATE(C734,"_ACB")),ROW(V$4:V733))),0)</f>
        <v>0</v>
      </c>
    </row>
    <row r="735" spans="1:29" x14ac:dyDescent="0.25">
      <c r="A735" s="20">
        <v>40802</v>
      </c>
      <c r="B735" t="s">
        <v>42</v>
      </c>
      <c r="C735" t="s">
        <v>87</v>
      </c>
      <c r="D735" s="3">
        <v>39.200000000000003</v>
      </c>
      <c r="J735">
        <v>156.1</v>
      </c>
      <c r="M735" s="21">
        <f t="shared" si="98"/>
        <v>39.200000000000003</v>
      </c>
      <c r="N735" s="8">
        <f t="shared" si="96"/>
        <v>39.200000000000003</v>
      </c>
      <c r="O735" s="25">
        <f t="shared" si="93"/>
        <v>25882.949999999935</v>
      </c>
      <c r="P735" s="8">
        <f t="shared" si="99"/>
        <v>0</v>
      </c>
      <c r="Q735" s="4">
        <f>IF(AND(S735&gt;=[1]eRRSP_Rpt!$C$6,S735&lt;=[1]eRRSP_Rpt!$C$7),1,0)</f>
        <v>1</v>
      </c>
      <c r="R735" s="4"/>
      <c r="S735" s="4">
        <f t="shared" si="97"/>
        <v>2011</v>
      </c>
      <c r="T735" s="4"/>
      <c r="U735" s="4" t="str">
        <f t="shared" si="100"/>
        <v>DivAberdeen Asia Pacific Income Fund</v>
      </c>
      <c r="V735" s="23">
        <f>IFERROR(IF(AND(AB735&gt;0,B735&lt;&gt;"Sell"),(AA735-SUMIF(C$4:C734,C735,AC$4:AC735))/AB735,0),"")</f>
        <v>-7.4694020797227028</v>
      </c>
      <c r="W735" s="24" t="str">
        <f t="shared" si="95"/>
        <v/>
      </c>
      <c r="X735" s="25" t="str">
        <f t="shared" si="94"/>
        <v>Aberdeen Asia Pacific Income Fund_ACB</v>
      </c>
      <c r="Y735" s="10" t="str">
        <f>IF(S736&lt;&gt;eRRSP_Tx_Table[[#This Row],[Year]],SUMIFS($W$4:$W735,$S$4:$S735,eRRSP_Tx_Table[[#This Row],[Year]],$W$4:$W735,"&gt;0"),"")</f>
        <v/>
      </c>
      <c r="Z735" s="10" t="str">
        <f>IF(S736&lt;&gt;eRRSP_Tx_Table[[#This Row],[Year]],SUMIFS($W$4:$W735,$S$4:$S735,eRRSP_Tx_Table[[#This Row],[Year]],$W$4:$W735,"&lt;0"),"")</f>
        <v/>
      </c>
      <c r="AA735" s="3">
        <f>(SUMIF($U$4:$U735,CONCATENATE("Buy",$C735),$N$4:$N735)+SUMIF($U$4:$U735,CONCATENATE("ReinvDiv",$C735),$N$4:$N735))</f>
        <v>-8619.6899999999987</v>
      </c>
      <c r="AB735">
        <f>(SUMIF($U$4:$U735,CONCATENATE("Buy",$C735),$F$4:$F735)+SUMIF($U$4:$U735,CONCATENATE("ReinvDiv",$C735),$F$4:$F735)+SUMIF($U$4:$U735,CONCATENATE("StkSplit",$C735),$F$4:$F735)-SUMIF($U$4:$U735,CONCATENATE("Sell",$C735),$F$4:$F735))</f>
        <v>1154</v>
      </c>
      <c r="AC735" s="3">
        <f>IF(B735="Sell",F735*INDEX(V:V,LOOKUP(2,1/(X$4:X734=CONCATENATE(C735,"_ACB")),ROW(V$4:V734))),0)</f>
        <v>0</v>
      </c>
    </row>
    <row r="736" spans="1:29" x14ac:dyDescent="0.25">
      <c r="A736" s="20">
        <v>40815</v>
      </c>
      <c r="B736" t="s">
        <v>42</v>
      </c>
      <c r="C736" t="s">
        <v>90</v>
      </c>
      <c r="D736" s="3">
        <v>19.3</v>
      </c>
      <c r="J736">
        <v>65.36</v>
      </c>
      <c r="M736" s="21">
        <f t="shared" si="98"/>
        <v>19.3</v>
      </c>
      <c r="N736" s="8">
        <f t="shared" si="96"/>
        <v>19.3</v>
      </c>
      <c r="O736" s="25">
        <f t="shared" si="93"/>
        <v>25902.249999999935</v>
      </c>
      <c r="P736" s="8">
        <f t="shared" si="99"/>
        <v>0</v>
      </c>
      <c r="Q736" s="4">
        <f>IF(AND(S736&gt;=[1]eRRSP_Rpt!$C$6,S736&lt;=[1]eRRSP_Rpt!$C$7),1,0)</f>
        <v>1</v>
      </c>
      <c r="R736" s="4"/>
      <c r="S736" s="4">
        <f t="shared" si="97"/>
        <v>2011</v>
      </c>
      <c r="T736" s="4"/>
      <c r="U736" s="4" t="str">
        <f t="shared" si="100"/>
        <v>DivVanguard Large Cap ETF</v>
      </c>
      <c r="V736" s="23">
        <f>IFERROR(IF(AND(AB736&gt;0,B736&lt;&gt;"Sell"),(AA736-SUMIF(C$4:C735,C736,AC$4:AC736))/AB736,0),"")</f>
        <v>-74.401142857142858</v>
      </c>
      <c r="W736" s="24" t="str">
        <f t="shared" si="95"/>
        <v/>
      </c>
      <c r="X736" s="25" t="str">
        <f t="shared" si="94"/>
        <v>Vanguard Large Cap ETF_ACB</v>
      </c>
      <c r="Y736" s="10" t="str">
        <f>IF(S737&lt;&gt;eRRSP_Tx_Table[[#This Row],[Year]],SUMIFS($W$4:$W736,$S$4:$S736,eRRSP_Tx_Table[[#This Row],[Year]],$W$4:$W736,"&gt;0"),"")</f>
        <v/>
      </c>
      <c r="Z736" s="10" t="str">
        <f>IF(S737&lt;&gt;eRRSP_Tx_Table[[#This Row],[Year]],SUMIFS($W$4:$W736,$S$4:$S736,eRRSP_Tx_Table[[#This Row],[Year]],$W$4:$W736,"&lt;0"),"")</f>
        <v/>
      </c>
      <c r="AA736" s="3">
        <f>(SUMIF($U$4:$U736,CONCATENATE("Buy",$C736),$N$4:$N736)+SUMIF($U$4:$U736,CONCATENATE("ReinvDiv",$C736),$N$4:$N736))</f>
        <v>-5208.08</v>
      </c>
      <c r="AB736">
        <f>(SUMIF($U$4:$U736,CONCATENATE("Buy",$C736),$F$4:$F736)+SUMIF($U$4:$U736,CONCATENATE("ReinvDiv",$C736),$F$4:$F736)+SUMIF($U$4:$U736,CONCATENATE("StkSplit",$C736),$F$4:$F736)-SUMIF($U$4:$U736,CONCATENATE("Sell",$C736),$F$4:$F736))</f>
        <v>70</v>
      </c>
      <c r="AC736" s="3">
        <f>IF(B736="Sell",F736*INDEX(V:V,LOOKUP(2,1/(X$4:X735=CONCATENATE(C736,"_ACB")),ROW(V$4:V735))),0)</f>
        <v>0</v>
      </c>
    </row>
    <row r="737" spans="1:29" x14ac:dyDescent="0.25">
      <c r="A737" s="20">
        <v>40815</v>
      </c>
      <c r="B737" t="s">
        <v>41</v>
      </c>
      <c r="C737" t="s">
        <v>97</v>
      </c>
      <c r="D737" s="3">
        <v>156.1</v>
      </c>
      <c r="E737">
        <f>eRRSP_Tx_Table[[#This Row],[Amount]]/eRRSP_Tx_Table[[#This Row],[Quantity]]</f>
        <v>7.8501382951973842</v>
      </c>
      <c r="F737" s="3">
        <v>19.885000000000002</v>
      </c>
      <c r="J737">
        <v>40.57</v>
      </c>
      <c r="M737" s="21">
        <f t="shared" si="98"/>
        <v>156.1</v>
      </c>
      <c r="N737" s="8">
        <f t="shared" si="96"/>
        <v>-156.1</v>
      </c>
      <c r="O737" s="25">
        <f t="shared" si="93"/>
        <v>25902.249999999935</v>
      </c>
      <c r="P737" s="8">
        <f t="shared" si="99"/>
        <v>0</v>
      </c>
      <c r="Q737" s="4">
        <f>IF(AND(S737&gt;=[1]eRRSP_Rpt!$C$6,S737&lt;=[1]eRRSP_Rpt!$C$7),1,0)</f>
        <v>1</v>
      </c>
      <c r="R737" s="4"/>
      <c r="S737" s="4">
        <f t="shared" si="97"/>
        <v>2011</v>
      </c>
      <c r="T737" s="4"/>
      <c r="U737" s="4" t="str">
        <f t="shared" si="100"/>
        <v>ReinvDivTD International Index - e</v>
      </c>
      <c r="V737" s="23">
        <f>IFERROR(IF(AND(AB737&gt;0,B737&lt;&gt;"Sell"),(AA737-SUMIF(C$4:C736,C737,AC$4:AC737))/AB737,0),"")</f>
        <v>-8.3491951938472386</v>
      </c>
      <c r="W737" s="24" t="str">
        <f t="shared" si="95"/>
        <v/>
      </c>
      <c r="X737" s="25" t="str">
        <f t="shared" si="94"/>
        <v>TD International Index - e_ACB</v>
      </c>
      <c r="Y737" s="10" t="str">
        <f>IF(S738&lt;&gt;eRRSP_Tx_Table[[#This Row],[Year]],SUMIFS($W$4:$W737,$S$4:$S737,eRRSP_Tx_Table[[#This Row],[Year]],$W$4:$W737,"&gt;0"),"")</f>
        <v/>
      </c>
      <c r="Z737" s="10" t="str">
        <f>IF(S738&lt;&gt;eRRSP_Tx_Table[[#This Row],[Year]],SUMIFS($W$4:$W737,$S$4:$S737,eRRSP_Tx_Table[[#This Row],[Year]],$W$4:$W737,"&lt;0"),"")</f>
        <v/>
      </c>
      <c r="AA737" s="3">
        <f>(SUMIF($U$4:$U737,CONCATENATE("Buy",$C737),$N$4:$N737)+SUMIF($U$4:$U737,CONCATENATE("ReinvDiv",$C737),$N$4:$N737))</f>
        <v>-27751.94</v>
      </c>
      <c r="AB737">
        <f>(SUMIF($U$4:$U737,CONCATENATE("Buy",$C737),$F$4:$F737)+SUMIF($U$4:$U737,CONCATENATE("ReinvDiv",$C737),$F$4:$F737)+SUMIF($U$4:$U737,CONCATENATE("StkSplit",$C737),$F$4:$F737)-SUMIF($U$4:$U737,CONCATENATE("Sell",$C737),$F$4:$F737))</f>
        <v>3323.9059999999999</v>
      </c>
      <c r="AC737" s="3">
        <f>IF(B737="Sell",F737*INDEX(V:V,LOOKUP(2,1/(X$4:X736=CONCATENATE(C737,"_ACB")),ROW(V$4:V736))),0)</f>
        <v>0</v>
      </c>
    </row>
    <row r="738" spans="1:29" x14ac:dyDescent="0.25">
      <c r="A738" s="20">
        <v>40815</v>
      </c>
      <c r="B738" t="s">
        <v>41</v>
      </c>
      <c r="C738" t="s">
        <v>62</v>
      </c>
      <c r="D738" s="3">
        <v>65.36</v>
      </c>
      <c r="E738">
        <v>17.3599</v>
      </c>
      <c r="F738" s="3">
        <v>3.7650000000000001</v>
      </c>
      <c r="J738">
        <v>0.53</v>
      </c>
      <c r="M738" s="21">
        <f t="shared" si="98"/>
        <v>65.36</v>
      </c>
      <c r="N738" s="8">
        <f t="shared" si="96"/>
        <v>-65.36</v>
      </c>
      <c r="O738" s="25">
        <f t="shared" si="93"/>
        <v>25902.249999999935</v>
      </c>
      <c r="P738" s="8">
        <f t="shared" si="99"/>
        <v>0</v>
      </c>
      <c r="Q738" s="4">
        <f>IF(AND(S738&gt;=[1]eRRSP_Rpt!$C$6,S738&lt;=[1]eRRSP_Rpt!$C$7),1,0)</f>
        <v>1</v>
      </c>
      <c r="R738" s="4"/>
      <c r="S738" s="4">
        <f t="shared" si="97"/>
        <v>2011</v>
      </c>
      <c r="T738" s="4"/>
      <c r="U738" s="4" t="str">
        <f t="shared" si="100"/>
        <v>ReinvDivTD RR Bond</v>
      </c>
      <c r="V738" s="23">
        <f>IFERROR(IF(AND(AB738&gt;0,B738&lt;&gt;"Sell"),(AA738-SUMIF(C$4:C737,C738,AC$4:AC738))/AB738,0),"")</f>
        <v>-14.333864660492976</v>
      </c>
      <c r="W738" s="24" t="str">
        <f t="shared" si="95"/>
        <v/>
      </c>
      <c r="X738" s="25" t="str">
        <f t="shared" si="94"/>
        <v>TD RR Bond_ACB</v>
      </c>
      <c r="Y738" s="10" t="str">
        <f>IF(S739&lt;&gt;eRRSP_Tx_Table[[#This Row],[Year]],SUMIFS($W$4:$W738,$S$4:$S738,eRRSP_Tx_Table[[#This Row],[Year]],$W$4:$W738,"&gt;0"),"")</f>
        <v/>
      </c>
      <c r="Z738" s="10" t="str">
        <f>IF(S739&lt;&gt;eRRSP_Tx_Table[[#This Row],[Year]],SUMIFS($W$4:$W738,$S$4:$S738,eRRSP_Tx_Table[[#This Row],[Year]],$W$4:$W738,"&lt;0"),"")</f>
        <v/>
      </c>
      <c r="AA738" s="3">
        <f>(SUMIF($U$4:$U738,CONCATENATE("Buy",$C738),$N$4:$N738)+SUMIF($U$4:$U738,CONCATENATE("ReinvDiv",$C738),$N$4:$N738))</f>
        <v>-10395.32</v>
      </c>
      <c r="AB738">
        <f>(SUMIF($U$4:$U738,CONCATENATE("Buy",$C738),$F$4:$F738)+SUMIF($U$4:$U738,CONCATENATE("ReinvDiv",$C738),$F$4:$F738)+SUMIF($U$4:$U738,CONCATENATE("StkSplit",$C738),$F$4:$F738)-SUMIF($U$4:$U738,CONCATENATE("Sell",$C738),$F$4:$F738))</f>
        <v>725.22799999999995</v>
      </c>
      <c r="AC738" s="3">
        <f>IF(B738="Sell",F738*INDEX(V:V,LOOKUP(2,1/(X$4:X737=CONCATENATE(C738,"_ACB")),ROW(V$4:V737))),0)</f>
        <v>0</v>
      </c>
    </row>
    <row r="739" spans="1:29" x14ac:dyDescent="0.25">
      <c r="A739" s="20">
        <v>40830</v>
      </c>
      <c r="B739" t="s">
        <v>42</v>
      </c>
      <c r="C739" t="s">
        <v>87</v>
      </c>
      <c r="D739" s="3">
        <v>40.57</v>
      </c>
      <c r="J739">
        <v>0.76</v>
      </c>
      <c r="M739" s="21">
        <f t="shared" si="98"/>
        <v>40.57</v>
      </c>
      <c r="N739" s="8">
        <f t="shared" si="96"/>
        <v>40.57</v>
      </c>
      <c r="O739" s="25">
        <f t="shared" si="93"/>
        <v>25942.819999999934</v>
      </c>
      <c r="P739" s="8">
        <f t="shared" si="99"/>
        <v>0</v>
      </c>
      <c r="Q739" s="4">
        <f>IF(AND(S739&gt;=[1]eRRSP_Rpt!$C$6,S739&lt;=[1]eRRSP_Rpt!$C$7),1,0)</f>
        <v>1</v>
      </c>
      <c r="R739" s="4"/>
      <c r="S739" s="4">
        <f t="shared" si="97"/>
        <v>2011</v>
      </c>
      <c r="T739" s="4"/>
      <c r="U739" s="4" t="str">
        <f t="shared" si="100"/>
        <v>DivAberdeen Asia Pacific Income Fund</v>
      </c>
      <c r="V739" s="23">
        <f>IFERROR(IF(AND(AB739&gt;0,B739&lt;&gt;"Sell"),(AA739-SUMIF(C$4:C738,C739,AC$4:AC739))/AB739,0),"")</f>
        <v>-7.4694020797227028</v>
      </c>
      <c r="W739" s="24" t="str">
        <f t="shared" si="95"/>
        <v/>
      </c>
      <c r="X739" s="25" t="str">
        <f t="shared" si="94"/>
        <v>Aberdeen Asia Pacific Income Fund_ACB</v>
      </c>
      <c r="Y739" s="10" t="str">
        <f>IF(S740&lt;&gt;eRRSP_Tx_Table[[#This Row],[Year]],SUMIFS($W$4:$W739,$S$4:$S739,eRRSP_Tx_Table[[#This Row],[Year]],$W$4:$W739,"&gt;0"),"")</f>
        <v/>
      </c>
      <c r="Z739" s="10" t="str">
        <f>IF(S740&lt;&gt;eRRSP_Tx_Table[[#This Row],[Year]],SUMIFS($W$4:$W739,$S$4:$S739,eRRSP_Tx_Table[[#This Row],[Year]],$W$4:$W739,"&lt;0"),"")</f>
        <v/>
      </c>
      <c r="AA739" s="3">
        <f>(SUMIF($U$4:$U739,CONCATENATE("Buy",$C739),$N$4:$N739)+SUMIF($U$4:$U739,CONCATENATE("ReinvDiv",$C739),$N$4:$N739))</f>
        <v>-8619.6899999999987</v>
      </c>
      <c r="AB739">
        <f>(SUMIF($U$4:$U739,CONCATENATE("Buy",$C739),$F$4:$F739)+SUMIF($U$4:$U739,CONCATENATE("ReinvDiv",$C739),$F$4:$F739)+SUMIF($U$4:$U739,CONCATENATE("StkSplit",$C739),$F$4:$F739)-SUMIF($U$4:$U739,CONCATENATE("Sell",$C739),$F$4:$F739))</f>
        <v>1154</v>
      </c>
      <c r="AC739" s="3">
        <f>IF(B739="Sell",F739*INDEX(V:V,LOOKUP(2,1/(X$4:X738=CONCATENATE(C739,"_ACB")),ROW(V$4:V738))),0)</f>
        <v>0</v>
      </c>
    </row>
    <row r="740" spans="1:29" x14ac:dyDescent="0.25">
      <c r="A740" s="20">
        <v>40832</v>
      </c>
      <c r="B740" t="s">
        <v>43</v>
      </c>
      <c r="C740" t="s">
        <v>36</v>
      </c>
      <c r="D740" s="3">
        <v>0.53</v>
      </c>
      <c r="J740">
        <v>13.6</v>
      </c>
      <c r="M740" s="21">
        <f t="shared" si="98"/>
        <v>0.53</v>
      </c>
      <c r="N740" s="8">
        <f t="shared" si="96"/>
        <v>0.53</v>
      </c>
      <c r="O740" s="25">
        <f t="shared" si="93"/>
        <v>25943.349999999933</v>
      </c>
      <c r="P740" s="8">
        <f t="shared" si="99"/>
        <v>0</v>
      </c>
      <c r="Q740" s="4">
        <f>IF(AND(S740&gt;=[1]eRRSP_Rpt!$C$6,S740&lt;=[1]eRRSP_Rpt!$C$7),1,0)</f>
        <v>1</v>
      </c>
      <c r="R740" s="4"/>
      <c r="S740" s="4">
        <f t="shared" si="97"/>
        <v>2011</v>
      </c>
      <c r="T740" s="4"/>
      <c r="U740" s="4" t="str">
        <f t="shared" si="100"/>
        <v>IntIncTDW</v>
      </c>
      <c r="V740" s="23">
        <f>IFERROR(IF(AND(AB740&gt;0,B740&lt;&gt;"Sell"),(AA740-SUMIF(C$4:C739,C740,AC$4:AC740))/AB740,0),"")</f>
        <v>0</v>
      </c>
      <c r="W740" s="24" t="str">
        <f t="shared" si="95"/>
        <v/>
      </c>
      <c r="X740" s="25" t="str">
        <f t="shared" si="94"/>
        <v/>
      </c>
      <c r="Y740" s="10" t="str">
        <f>IF(S741&lt;&gt;eRRSP_Tx_Table[[#This Row],[Year]],SUMIFS($W$4:$W740,$S$4:$S740,eRRSP_Tx_Table[[#This Row],[Year]],$W$4:$W740,"&gt;0"),"")</f>
        <v/>
      </c>
      <c r="Z740" s="10" t="str">
        <f>IF(S741&lt;&gt;eRRSP_Tx_Table[[#This Row],[Year]],SUMIFS($W$4:$W740,$S$4:$S740,eRRSP_Tx_Table[[#This Row],[Year]],$W$4:$W740,"&lt;0"),"")</f>
        <v/>
      </c>
      <c r="AA740" s="3">
        <f>(SUMIF($U$4:$U740,CONCATENATE("Buy",$C740),$N$4:$N740)+SUMIF($U$4:$U740,CONCATENATE("ReinvDiv",$C740),$N$4:$N740))</f>
        <v>0</v>
      </c>
      <c r="AB740">
        <f>(SUMIF($U$4:$U740,CONCATENATE("Buy",$C740),$F$4:$F740)+SUMIF($U$4:$U740,CONCATENATE("ReinvDiv",$C740),$F$4:$F740)+SUMIF($U$4:$U740,CONCATENATE("StkSplit",$C740),$F$4:$F740)-SUMIF($U$4:$U740,CONCATENATE("Sell",$C740),$F$4:$F740))</f>
        <v>0</v>
      </c>
      <c r="AC740" s="3">
        <f>IF(B740="Sell",F740*INDEX(V:V,LOOKUP(2,1/(X$4:X739=CONCATENATE(C740,"_ACB")),ROW(V$4:V739))),0)</f>
        <v>0</v>
      </c>
    </row>
    <row r="741" spans="1:29" x14ac:dyDescent="0.25">
      <c r="A741" s="20">
        <v>40847</v>
      </c>
      <c r="B741" t="s">
        <v>42</v>
      </c>
      <c r="C741" t="s">
        <v>47</v>
      </c>
      <c r="D741" s="3">
        <v>0.76</v>
      </c>
      <c r="J741">
        <v>40.229999999999997</v>
      </c>
      <c r="M741" s="21">
        <f t="shared" si="98"/>
        <v>0.76</v>
      </c>
      <c r="N741" s="8">
        <f t="shared" si="96"/>
        <v>0.76</v>
      </c>
      <c r="O741" s="25">
        <f t="shared" si="93"/>
        <v>25944.109999999931</v>
      </c>
      <c r="P741" s="8">
        <f t="shared" si="99"/>
        <v>0</v>
      </c>
      <c r="Q741" s="4">
        <f>IF(AND(S741&gt;=[1]eRRSP_Rpt!$C$6,S741&lt;=[1]eRRSP_Rpt!$C$7),1,0)</f>
        <v>1</v>
      </c>
      <c r="R741" s="4"/>
      <c r="S741" s="4">
        <f t="shared" si="97"/>
        <v>2011</v>
      </c>
      <c r="T741" s="4"/>
      <c r="U741" s="4" t="str">
        <f t="shared" si="100"/>
        <v>DivBombardier</v>
      </c>
      <c r="V741" s="23">
        <f>IFERROR(IF(AND(AB741&gt;0,B741&lt;&gt;"Sell"),(AA741-SUMIF(C$4:C740,C741,AC$4:AC741))/AB741,0),"")</f>
        <v>-23.216666666666665</v>
      </c>
      <c r="W741" s="24" t="str">
        <f t="shared" si="95"/>
        <v/>
      </c>
      <c r="X741" s="25" t="str">
        <f t="shared" si="94"/>
        <v>Bombardier_ACB</v>
      </c>
      <c r="Y741" s="10" t="str">
        <f>IF(S742&lt;&gt;eRRSP_Tx_Table[[#This Row],[Year]],SUMIFS($W$4:$W741,$S$4:$S741,eRRSP_Tx_Table[[#This Row],[Year]],$W$4:$W741,"&gt;0"),"")</f>
        <v/>
      </c>
      <c r="Z741" s="10" t="str">
        <f>IF(S742&lt;&gt;eRRSP_Tx_Table[[#This Row],[Year]],SUMIFS($W$4:$W741,$S$4:$S741,eRRSP_Tx_Table[[#This Row],[Year]],$W$4:$W741,"&lt;0"),"")</f>
        <v/>
      </c>
      <c r="AA741" s="3">
        <f>(SUMIF($U$4:$U741,CONCATENATE("Buy",$C741),$N$4:$N741)+SUMIF($U$4:$U741,CONCATENATE("ReinvDiv",$C741),$N$4:$N741))</f>
        <v>-696.5</v>
      </c>
      <c r="AB741">
        <f>(SUMIF($U$4:$U741,CONCATENATE("Buy",$C741),$F$4:$F741)+SUMIF($U$4:$U741,CONCATENATE("ReinvDiv",$C741),$F$4:$F741)+SUMIF($U$4:$U741,CONCATENATE("StkSplit",$C741),$F$4:$F741)-SUMIF($U$4:$U741,CONCATENATE("Sell",$C741),$F$4:$F741))</f>
        <v>30</v>
      </c>
      <c r="AC741" s="3">
        <f>IF(B741="Sell",F741*INDEX(V:V,LOOKUP(2,1/(X$4:X740=CONCATENATE(C741,"_ACB")),ROW(V$4:V740))),0)</f>
        <v>0</v>
      </c>
    </row>
    <row r="742" spans="1:29" x14ac:dyDescent="0.25">
      <c r="A742" s="20">
        <v>40847</v>
      </c>
      <c r="B742" t="s">
        <v>42</v>
      </c>
      <c r="C742" t="s">
        <v>45</v>
      </c>
      <c r="D742" s="3">
        <v>13.6</v>
      </c>
      <c r="J742">
        <v>2.2400000000000002</v>
      </c>
      <c r="M742" s="21">
        <f t="shared" si="98"/>
        <v>13.6</v>
      </c>
      <c r="N742" s="8">
        <f t="shared" si="96"/>
        <v>13.6</v>
      </c>
      <c r="O742" s="25">
        <f t="shared" si="93"/>
        <v>25957.70999999993</v>
      </c>
      <c r="P742" s="8">
        <f t="shared" si="99"/>
        <v>0</v>
      </c>
      <c r="Q742" s="4">
        <f>IF(AND(S742&gt;=[1]eRRSP_Rpt!$C$6,S742&lt;=[1]eRRSP_Rpt!$C$7),1,0)</f>
        <v>1</v>
      </c>
      <c r="R742" s="4"/>
      <c r="S742" s="4">
        <f t="shared" si="97"/>
        <v>2011</v>
      </c>
      <c r="T742" s="4"/>
      <c r="U742" s="4" t="str">
        <f t="shared" si="100"/>
        <v>DivTD Bank</v>
      </c>
      <c r="V742" s="23">
        <f>IFERROR(IF(AND(AB742&gt;0,B742&lt;&gt;"Sell"),(AA742-SUMIF(C$4:C741,C742,AC$4:AC742))/AB742,0),"")</f>
        <v>-44.29</v>
      </c>
      <c r="W742" s="24" t="str">
        <f t="shared" si="95"/>
        <v/>
      </c>
      <c r="X742" s="25" t="str">
        <f t="shared" si="94"/>
        <v>TD Bank_ACB</v>
      </c>
      <c r="Y742" s="10" t="str">
        <f>IF(S743&lt;&gt;eRRSP_Tx_Table[[#This Row],[Year]],SUMIFS($W$4:$W742,$S$4:$S742,eRRSP_Tx_Table[[#This Row],[Year]],$W$4:$W742,"&gt;0"),"")</f>
        <v/>
      </c>
      <c r="Z742" s="10" t="str">
        <f>IF(S743&lt;&gt;eRRSP_Tx_Table[[#This Row],[Year]],SUMIFS($W$4:$W742,$S$4:$S742,eRRSP_Tx_Table[[#This Row],[Year]],$W$4:$W742,"&lt;0"),"")</f>
        <v/>
      </c>
      <c r="AA742" s="3">
        <f>(SUMIF($U$4:$U742,CONCATENATE("Buy",$C742),$N$4:$N742)+SUMIF($U$4:$U742,CONCATENATE("ReinvDiv",$C742),$N$4:$N742))</f>
        <v>-885.8</v>
      </c>
      <c r="AB742">
        <f>(SUMIF($U$4:$U742,CONCATENATE("Buy",$C742),$F$4:$F742)+SUMIF($U$4:$U742,CONCATENATE("ReinvDiv",$C742),$F$4:$F742)+SUMIF($U$4:$U742,CONCATENATE("StkSplit",$C742),$F$4:$F742)-SUMIF($U$4:$U742,CONCATENATE("Sell",$C742),$F$4:$F742))</f>
        <v>20</v>
      </c>
      <c r="AC742" s="3">
        <f>IF(B742="Sell",F742*INDEX(V:V,LOOKUP(2,1/(X$4:X741=CONCATENATE(C742,"_ACB")),ROW(V$4:V741))),0)</f>
        <v>0</v>
      </c>
    </row>
    <row r="743" spans="1:29" x14ac:dyDescent="0.25">
      <c r="A743" s="20">
        <v>40861</v>
      </c>
      <c r="B743" t="s">
        <v>42</v>
      </c>
      <c r="C743" t="s">
        <v>87</v>
      </c>
      <c r="D743" s="3">
        <v>40.229999999999997</v>
      </c>
      <c r="J743">
        <v>0.55000000000000004</v>
      </c>
      <c r="M743" s="21">
        <f t="shared" si="98"/>
        <v>40.229999999999997</v>
      </c>
      <c r="N743" s="8">
        <f t="shared" si="96"/>
        <v>40.229999999999997</v>
      </c>
      <c r="O743" s="25">
        <f t="shared" si="93"/>
        <v>25997.93999999993</v>
      </c>
      <c r="P743" s="8">
        <f t="shared" si="99"/>
        <v>0</v>
      </c>
      <c r="Q743" s="4">
        <f>IF(AND(S743&gt;=[1]eRRSP_Rpt!$C$6,S743&lt;=[1]eRRSP_Rpt!$C$7),1,0)</f>
        <v>1</v>
      </c>
      <c r="R743" s="4"/>
      <c r="S743" s="4">
        <f t="shared" si="97"/>
        <v>2011</v>
      </c>
      <c r="T743" s="4"/>
      <c r="U743" s="4" t="str">
        <f t="shared" si="100"/>
        <v>DivAberdeen Asia Pacific Income Fund</v>
      </c>
      <c r="V743" s="23">
        <f>IFERROR(IF(AND(AB743&gt;0,B743&lt;&gt;"Sell"),(AA743-SUMIF(C$4:C742,C743,AC$4:AC743))/AB743,0),"")</f>
        <v>-7.4694020797227028</v>
      </c>
      <c r="W743" s="24" t="str">
        <f t="shared" si="95"/>
        <v/>
      </c>
      <c r="X743" s="25" t="str">
        <f t="shared" si="94"/>
        <v>Aberdeen Asia Pacific Income Fund_ACB</v>
      </c>
      <c r="Y743" s="10" t="str">
        <f>IF(S744&lt;&gt;eRRSP_Tx_Table[[#This Row],[Year]],SUMIFS($W$4:$W743,$S$4:$S743,eRRSP_Tx_Table[[#This Row],[Year]],$W$4:$W743,"&gt;0"),"")</f>
        <v/>
      </c>
      <c r="Z743" s="10" t="str">
        <f>IF(S744&lt;&gt;eRRSP_Tx_Table[[#This Row],[Year]],SUMIFS($W$4:$W743,$S$4:$S743,eRRSP_Tx_Table[[#This Row],[Year]],$W$4:$W743,"&lt;0"),"")</f>
        <v/>
      </c>
      <c r="AA743" s="3">
        <f>(SUMIF($U$4:$U743,CONCATENATE("Buy",$C743),$N$4:$N743)+SUMIF($U$4:$U743,CONCATENATE("ReinvDiv",$C743),$N$4:$N743))</f>
        <v>-8619.6899999999987</v>
      </c>
      <c r="AB743">
        <f>(SUMIF($U$4:$U743,CONCATENATE("Buy",$C743),$F$4:$F743)+SUMIF($U$4:$U743,CONCATENATE("ReinvDiv",$C743),$F$4:$F743)+SUMIF($U$4:$U743,CONCATENATE("StkSplit",$C743),$F$4:$F743)-SUMIF($U$4:$U743,CONCATENATE("Sell",$C743),$F$4:$F743))</f>
        <v>1154</v>
      </c>
      <c r="AC743" s="3">
        <f>IF(B743="Sell",F743*INDEX(V:V,LOOKUP(2,1/(X$4:X742=CONCATENATE(C743,"_ACB")),ROW(V$4:V742))),0)</f>
        <v>0</v>
      </c>
    </row>
    <row r="744" spans="1:29" x14ac:dyDescent="0.25">
      <c r="A744" s="20">
        <v>40861</v>
      </c>
      <c r="B744" t="s">
        <v>42</v>
      </c>
      <c r="C744" t="s">
        <v>79</v>
      </c>
      <c r="D744" s="3">
        <v>2.2400000000000002</v>
      </c>
      <c r="J744">
        <v>84.77</v>
      </c>
      <c r="M744" s="21">
        <f t="shared" si="98"/>
        <v>2.2400000000000002</v>
      </c>
      <c r="N744" s="8">
        <f t="shared" si="96"/>
        <v>2.2400000000000002</v>
      </c>
      <c r="O744" s="25">
        <f t="shared" si="93"/>
        <v>26000.179999999931</v>
      </c>
      <c r="P744" s="8">
        <f t="shared" si="99"/>
        <v>0</v>
      </c>
      <c r="Q744" s="4">
        <f>IF(AND(S744&gt;=[1]eRRSP_Rpt!$C$6,S744&lt;=[1]eRRSP_Rpt!$C$7),1,0)</f>
        <v>1</v>
      </c>
      <c r="R744" s="4"/>
      <c r="S744" s="4">
        <f t="shared" si="97"/>
        <v>2011</v>
      </c>
      <c r="T744" s="4"/>
      <c r="U744" s="4" t="str">
        <f t="shared" si="100"/>
        <v>DivCentral Fund of Canada</v>
      </c>
      <c r="V744" s="23">
        <f>IFERROR(IF(AND(AB744&gt;0,B744&lt;&gt;"Sell"),(AA744-SUMIF(C$4:C743,C744,AC$4:AC744))/AB744,0),"")</f>
        <v>-10.243200000000002</v>
      </c>
      <c r="W744" s="24" t="str">
        <f t="shared" si="95"/>
        <v/>
      </c>
      <c r="X744" s="25" t="str">
        <f t="shared" si="94"/>
        <v>Central Fund of Canada_ACB</v>
      </c>
      <c r="Y744" s="10" t="str">
        <f>IF(S745&lt;&gt;eRRSP_Tx_Table[[#This Row],[Year]],SUMIFS($W$4:$W744,$S$4:$S744,eRRSP_Tx_Table[[#This Row],[Year]],$W$4:$W744,"&gt;0"),"")</f>
        <v/>
      </c>
      <c r="Z744" s="10" t="str">
        <f>IF(S745&lt;&gt;eRRSP_Tx_Table[[#This Row],[Year]],SUMIFS($W$4:$W744,$S$4:$S744,eRRSP_Tx_Table[[#This Row],[Year]],$W$4:$W744,"&lt;0"),"")</f>
        <v/>
      </c>
      <c r="AA744" s="3">
        <f>(SUMIF($U$4:$U744,CONCATENATE("Buy",$C744),$N$4:$N744)+SUMIF($U$4:$U744,CONCATENATE("ReinvDiv",$C744),$N$4:$N744))</f>
        <v>-2304.7200000000003</v>
      </c>
      <c r="AB744">
        <f>(SUMIF($U$4:$U744,CONCATENATE("Buy",$C744),$F$4:$F744)+SUMIF($U$4:$U744,CONCATENATE("ReinvDiv",$C744),$F$4:$F744)+SUMIF($U$4:$U744,CONCATENATE("StkSplit",$C744),$F$4:$F744)-SUMIF($U$4:$U744,CONCATENATE("Sell",$C744),$F$4:$F744))</f>
        <v>225</v>
      </c>
      <c r="AC744" s="3">
        <f>IF(B744="Sell",F744*INDEX(V:V,LOOKUP(2,1/(X$4:X743=CONCATENATE(C744,"_ACB")),ROW(V$4:V743))),0)</f>
        <v>0</v>
      </c>
    </row>
    <row r="745" spans="1:29" x14ac:dyDescent="0.25">
      <c r="A745" s="20">
        <v>40863</v>
      </c>
      <c r="B745" t="s">
        <v>43</v>
      </c>
      <c r="C745" t="s">
        <v>36</v>
      </c>
      <c r="D745" s="3">
        <v>0.55000000000000004</v>
      </c>
      <c r="J745">
        <v>293.26</v>
      </c>
      <c r="M745" s="21">
        <f t="shared" si="98"/>
        <v>0.55000000000000004</v>
      </c>
      <c r="N745" s="8">
        <f t="shared" si="96"/>
        <v>0.55000000000000004</v>
      </c>
      <c r="O745" s="25">
        <f t="shared" si="93"/>
        <v>26000.72999999993</v>
      </c>
      <c r="P745" s="8">
        <f t="shared" si="99"/>
        <v>0</v>
      </c>
      <c r="Q745" s="4">
        <f>IF(AND(S745&gt;=[1]eRRSP_Rpt!$C$6,S745&lt;=[1]eRRSP_Rpt!$C$7),1,0)</f>
        <v>1</v>
      </c>
      <c r="R745" s="4"/>
      <c r="S745" s="4">
        <f t="shared" si="97"/>
        <v>2011</v>
      </c>
      <c r="T745" s="4"/>
      <c r="U745" s="4" t="str">
        <f t="shared" si="100"/>
        <v>IntIncTDW</v>
      </c>
      <c r="V745" s="23">
        <f>IFERROR(IF(AND(AB745&gt;0,B745&lt;&gt;"Sell"),(AA745-SUMIF(C$4:C744,C745,AC$4:AC745))/AB745,0),"")</f>
        <v>0</v>
      </c>
      <c r="W745" s="24" t="str">
        <f t="shared" si="95"/>
        <v/>
      </c>
      <c r="X745" s="25" t="str">
        <f t="shared" si="94"/>
        <v/>
      </c>
      <c r="Y745" s="10" t="str">
        <f>IF(S746&lt;&gt;eRRSP_Tx_Table[[#This Row],[Year]],SUMIFS($W$4:$W745,$S$4:$S745,eRRSP_Tx_Table[[#This Row],[Year]],$W$4:$W745,"&gt;0"),"")</f>
        <v/>
      </c>
      <c r="Z745" s="10" t="str">
        <f>IF(S746&lt;&gt;eRRSP_Tx_Table[[#This Row],[Year]],SUMIFS($W$4:$W745,$S$4:$S745,eRRSP_Tx_Table[[#This Row],[Year]],$W$4:$W745,"&lt;0"),"")</f>
        <v/>
      </c>
      <c r="AA745" s="3">
        <f>(SUMIF($U$4:$U745,CONCATENATE("Buy",$C745),$N$4:$N745)+SUMIF($U$4:$U745,CONCATENATE("ReinvDiv",$C745),$N$4:$N745))</f>
        <v>0</v>
      </c>
      <c r="AB745">
        <f>(SUMIF($U$4:$U745,CONCATENATE("Buy",$C745),$F$4:$F745)+SUMIF($U$4:$U745,CONCATENATE("ReinvDiv",$C745),$F$4:$F745)+SUMIF($U$4:$U745,CONCATENATE("StkSplit",$C745),$F$4:$F745)-SUMIF($U$4:$U745,CONCATENATE("Sell",$C745),$F$4:$F745))</f>
        <v>0</v>
      </c>
      <c r="AC745" s="3">
        <f>IF(B745="Sell",F745*INDEX(V:V,LOOKUP(2,1/(X$4:X744=CONCATENATE(C745,"_ACB")),ROW(V$4:V744))),0)</f>
        <v>0</v>
      </c>
    </row>
    <row r="746" spans="1:29" x14ac:dyDescent="0.25">
      <c r="A746" s="20">
        <v>40878</v>
      </c>
      <c r="B746" t="s">
        <v>42</v>
      </c>
      <c r="C746" t="s">
        <v>33</v>
      </c>
      <c r="D746" s="3">
        <v>84.77</v>
      </c>
      <c r="J746">
        <v>324.55</v>
      </c>
      <c r="M746" s="21">
        <f t="shared" si="98"/>
        <v>84.77</v>
      </c>
      <c r="N746" s="8">
        <f t="shared" si="96"/>
        <v>84.77</v>
      </c>
      <c r="O746" s="25">
        <f t="shared" si="93"/>
        <v>26085.499999999931</v>
      </c>
      <c r="P746" s="8">
        <f t="shared" si="99"/>
        <v>0</v>
      </c>
      <c r="Q746" s="4">
        <f>IF(AND(S746&gt;=[1]eRRSP_Rpt!$C$6,S746&lt;=[1]eRRSP_Rpt!$C$7),1,0)</f>
        <v>1</v>
      </c>
      <c r="R746" s="4"/>
      <c r="S746" s="4">
        <f t="shared" si="97"/>
        <v>2011</v>
      </c>
      <c r="T746" s="4"/>
      <c r="U746" s="4" t="str">
        <f t="shared" si="100"/>
        <v>DivEnbridge</v>
      </c>
      <c r="V746" s="23">
        <f>IFERROR(IF(AND(AB746&gt;0,B746&lt;&gt;"Sell"),(AA746-SUMIF(C$4:C745,C746,AC$4:AC746))/AB746,0),"")</f>
        <v>-16.981789097623633</v>
      </c>
      <c r="W746" s="24" t="str">
        <f t="shared" si="95"/>
        <v/>
      </c>
      <c r="X746" s="25" t="str">
        <f t="shared" si="94"/>
        <v>Enbridge_ACB</v>
      </c>
      <c r="Y746" s="10" t="str">
        <f>IF(S747&lt;&gt;eRRSP_Tx_Table[[#This Row],[Year]],SUMIFS($W$4:$W746,$S$4:$S746,eRRSP_Tx_Table[[#This Row],[Year]],$W$4:$W746,"&gt;0"),"")</f>
        <v/>
      </c>
      <c r="Z746" s="10" t="str">
        <f>IF(S747&lt;&gt;eRRSP_Tx_Table[[#This Row],[Year]],SUMIFS($W$4:$W746,$S$4:$S746,eRRSP_Tx_Table[[#This Row],[Year]],$W$4:$W746,"&lt;0"),"")</f>
        <v/>
      </c>
      <c r="AA746" s="3">
        <f>(SUMIF($U$4:$U746,CONCATENATE("Buy",$C746),$N$4:$N746)+SUMIF($U$4:$U746,CONCATENATE("ReinvDiv",$C746),$N$4:$N746))</f>
        <v>-6788.69</v>
      </c>
      <c r="AB746">
        <f>(SUMIF($U$4:$U746,CONCATENATE("Buy",$C746),$F$4:$F746)+SUMIF($U$4:$U746,CONCATENATE("ReinvDiv",$C746),$F$4:$F746)+SUMIF($U$4:$U746,CONCATENATE("StkSplit",$C746),$F$4:$F746)-SUMIF($U$4:$U746,CONCATENATE("Sell",$C746),$F$4:$F746))</f>
        <v>346</v>
      </c>
      <c r="AC746" s="3">
        <f>IF(B746="Sell",F746*INDEX(V:V,LOOKUP(2,1/(X$4:X745=CONCATENATE(C746,"_ACB")),ROW(V$4:V745))),0)</f>
        <v>0</v>
      </c>
    </row>
    <row r="747" spans="1:29" x14ac:dyDescent="0.25">
      <c r="A747" s="20">
        <v>40892</v>
      </c>
      <c r="B747" t="s">
        <v>41</v>
      </c>
      <c r="C747" t="s">
        <v>96</v>
      </c>
      <c r="D747" s="3">
        <v>293.26</v>
      </c>
      <c r="E747">
        <v>18.5702</v>
      </c>
      <c r="F747" s="3">
        <v>15.792</v>
      </c>
      <c r="J747">
        <v>214.59</v>
      </c>
      <c r="M747" s="21">
        <f t="shared" si="98"/>
        <v>293.26</v>
      </c>
      <c r="N747" s="8">
        <f t="shared" si="96"/>
        <v>-293.26</v>
      </c>
      <c r="O747" s="25">
        <f t="shared" si="93"/>
        <v>26085.499999999931</v>
      </c>
      <c r="P747" s="8">
        <f t="shared" si="99"/>
        <v>0</v>
      </c>
      <c r="Q747" s="4">
        <f>IF(AND(S747&gt;=[1]eRRSP_Rpt!$C$6,S747&lt;=[1]eRRSP_Rpt!$C$7),1,0)</f>
        <v>1</v>
      </c>
      <c r="R747" s="4"/>
      <c r="S747" s="4">
        <f t="shared" si="97"/>
        <v>2011</v>
      </c>
      <c r="T747" s="4"/>
      <c r="U747" s="4" t="str">
        <f t="shared" si="100"/>
        <v>ReinvDivTD Canadian Index - e</v>
      </c>
      <c r="V747" s="23">
        <f>IFERROR(IF(AND(AB747&gt;0,B747&lt;&gt;"Sell"),(AA747-SUMIF(C$4:C746,C747,AC$4:AC747))/AB747,0),"")</f>
        <v>-19.498994738632042</v>
      </c>
      <c r="W747" s="24" t="str">
        <f t="shared" si="95"/>
        <v/>
      </c>
      <c r="X747" s="25" t="str">
        <f t="shared" si="94"/>
        <v>TD Canadian Index - e_ACB</v>
      </c>
      <c r="Y747" s="10" t="str">
        <f>IF(S748&lt;&gt;eRRSP_Tx_Table[[#This Row],[Year]],SUMIFS($W$4:$W747,$S$4:$S747,eRRSP_Tx_Table[[#This Row],[Year]],$W$4:$W747,"&gt;0"),"")</f>
        <v/>
      </c>
      <c r="Z747" s="10" t="str">
        <f>IF(S748&lt;&gt;eRRSP_Tx_Table[[#This Row],[Year]],SUMIFS($W$4:$W747,$S$4:$S747,eRRSP_Tx_Table[[#This Row],[Year]],$W$4:$W747,"&lt;0"),"")</f>
        <v/>
      </c>
      <c r="AA747" s="3">
        <f>(SUMIF($U$4:$U747,CONCATENATE("Buy",$C747),$N$4:$N747)+SUMIF($U$4:$U747,CONCATENATE("ReinvDiv",$C747),$N$4:$N747))</f>
        <v>-15595.14</v>
      </c>
      <c r="AB747">
        <f>(SUMIF($U$4:$U747,CONCATENATE("Buy",$C747),$F$4:$F747)+SUMIF($U$4:$U747,CONCATENATE("ReinvDiv",$C747),$F$4:$F747)+SUMIF($U$4:$U747,CONCATENATE("StkSplit",$C747),$F$4:$F747)-SUMIF($U$4:$U747,CONCATENATE("Sell",$C747),$F$4:$F747))</f>
        <v>799.79200000000003</v>
      </c>
      <c r="AC747" s="3">
        <f>IF(B747="Sell",F747*INDEX(V:V,LOOKUP(2,1/(X$4:X746=CONCATENATE(C747,"_ACB")),ROW(V$4:V746))),0)</f>
        <v>0</v>
      </c>
    </row>
    <row r="748" spans="1:29" x14ac:dyDescent="0.25">
      <c r="A748" s="20">
        <v>40892</v>
      </c>
      <c r="B748" t="s">
        <v>41</v>
      </c>
      <c r="C748" t="s">
        <v>58</v>
      </c>
      <c r="D748" s="3">
        <v>324.55</v>
      </c>
      <c r="E748">
        <v>8.1300000000000008</v>
      </c>
      <c r="F748" s="3">
        <v>39.92</v>
      </c>
      <c r="J748">
        <v>0.53</v>
      </c>
      <c r="M748" s="21">
        <f t="shared" si="98"/>
        <v>324.55</v>
      </c>
      <c r="N748" s="8">
        <f t="shared" si="96"/>
        <v>-324.55</v>
      </c>
      <c r="O748" s="25">
        <f t="shared" si="93"/>
        <v>26085.499999999931</v>
      </c>
      <c r="P748" s="8">
        <f t="shared" si="99"/>
        <v>0</v>
      </c>
      <c r="Q748" s="4">
        <f>IF(AND(S748&gt;=[1]eRRSP_Rpt!$C$6,S748&lt;=[1]eRRSP_Rpt!$C$7),1,0)</f>
        <v>1</v>
      </c>
      <c r="R748" s="4"/>
      <c r="S748" s="4">
        <f t="shared" si="97"/>
        <v>2011</v>
      </c>
      <c r="T748" s="4"/>
      <c r="U748" s="4" t="str">
        <f t="shared" si="100"/>
        <v>ReinvDivTD DJIA Index</v>
      </c>
      <c r="V748" s="23">
        <f>IFERROR(IF(AND(AB748&gt;0,B748&lt;&gt;"Sell"),(AA748-SUMIF(C$4:C747,C748,AC$4:AC748))/AB748,0),"")</f>
        <v>-7.2552236948898745</v>
      </c>
      <c r="W748" s="24" t="str">
        <f t="shared" si="95"/>
        <v/>
      </c>
      <c r="X748" s="25" t="str">
        <f t="shared" si="94"/>
        <v>TD DJIA Index_ACB</v>
      </c>
      <c r="Y748" s="10" t="str">
        <f>IF(S749&lt;&gt;eRRSP_Tx_Table[[#This Row],[Year]],SUMIFS($W$4:$W748,$S$4:$S748,eRRSP_Tx_Table[[#This Row],[Year]],$W$4:$W748,"&gt;0"),"")</f>
        <v/>
      </c>
      <c r="Z748" s="10" t="str">
        <f>IF(S749&lt;&gt;eRRSP_Tx_Table[[#This Row],[Year]],SUMIFS($W$4:$W748,$S$4:$S748,eRRSP_Tx_Table[[#This Row],[Year]],$W$4:$W748,"&lt;0"),"")</f>
        <v/>
      </c>
      <c r="AA748" s="3">
        <f>(SUMIF($U$4:$U748,CONCATENATE("Buy",$C748),$N$4:$N748)+SUMIF($U$4:$U748,CONCATENATE("ReinvDiv",$C748),$N$4:$N748))</f>
        <v>-17740.689999999999</v>
      </c>
      <c r="AB748">
        <f>(SUMIF($U$4:$U748,CONCATENATE("Buy",$C748),$F$4:$F748)+SUMIF($U$4:$U748,CONCATENATE("ReinvDiv",$C748),$F$4:$F748)+SUMIF($U$4:$U748,CONCATENATE("StkSplit",$C748),$F$4:$F748)-SUMIF($U$4:$U748,CONCATENATE("Sell",$C748),$F$4:$F748))</f>
        <v>2291.886</v>
      </c>
      <c r="AC748" s="3">
        <f>IF(B748="Sell",F748*INDEX(V:V,LOOKUP(2,1/(X$4:X747=CONCATENATE(C748,"_ACB")),ROW(V$4:V747))),0)</f>
        <v>0</v>
      </c>
    </row>
    <row r="749" spans="1:29" x14ac:dyDescent="0.25">
      <c r="A749" s="20">
        <v>40892</v>
      </c>
      <c r="B749" t="s">
        <v>41</v>
      </c>
      <c r="C749" t="s">
        <v>97</v>
      </c>
      <c r="D749" s="3">
        <v>214.59</v>
      </c>
      <c r="E749">
        <f>eRRSP_Tx_Table[[#This Row],[Amount]]/eRRSP_Tx_Table[[#This Row],[Quantity]]</f>
        <v>7.789958979199187</v>
      </c>
      <c r="F749" s="3">
        <v>27.547000000000001</v>
      </c>
      <c r="J749">
        <v>41.1</v>
      </c>
      <c r="M749" s="21">
        <f t="shared" si="98"/>
        <v>214.59</v>
      </c>
      <c r="N749" s="8">
        <f t="shared" si="96"/>
        <v>-214.59</v>
      </c>
      <c r="O749" s="25">
        <f t="shared" si="93"/>
        <v>26085.499999999931</v>
      </c>
      <c r="P749" s="8">
        <f t="shared" si="99"/>
        <v>0</v>
      </c>
      <c r="Q749" s="4">
        <f>IF(AND(S749&gt;=[1]eRRSP_Rpt!$C$6,S749&lt;=[1]eRRSP_Rpt!$C$7),1,0)</f>
        <v>1</v>
      </c>
      <c r="R749" s="4"/>
      <c r="S749" s="4">
        <f t="shared" si="97"/>
        <v>2011</v>
      </c>
      <c r="T749" s="4"/>
      <c r="U749" s="4" t="str">
        <f t="shared" si="100"/>
        <v>ReinvDivTD International Index - e</v>
      </c>
      <c r="V749" s="23">
        <f>IFERROR(IF(AND(AB749&gt;0,B749&lt;&gt;"Sell"),(AA749-SUMIF(C$4:C748,C749,AC$4:AC749))/AB749,0),"")</f>
        <v>-8.3445985964893428</v>
      </c>
      <c r="W749" s="24" t="str">
        <f t="shared" si="95"/>
        <v/>
      </c>
      <c r="X749" s="25" t="str">
        <f t="shared" si="94"/>
        <v>TD International Index - e_ACB</v>
      </c>
      <c r="Y749" s="10" t="str">
        <f>IF(S750&lt;&gt;eRRSP_Tx_Table[[#This Row],[Year]],SUMIFS($W$4:$W749,$S$4:$S749,eRRSP_Tx_Table[[#This Row],[Year]],$W$4:$W749,"&gt;0"),"")</f>
        <v/>
      </c>
      <c r="Z749" s="10" t="str">
        <f>IF(S750&lt;&gt;eRRSP_Tx_Table[[#This Row],[Year]],SUMIFS($W$4:$W749,$S$4:$S749,eRRSP_Tx_Table[[#This Row],[Year]],$W$4:$W749,"&lt;0"),"")</f>
        <v/>
      </c>
      <c r="AA749" s="3">
        <f>(SUMIF($U$4:$U749,CONCATENATE("Buy",$C749),$N$4:$N749)+SUMIF($U$4:$U749,CONCATENATE("ReinvDiv",$C749),$N$4:$N749))</f>
        <v>-27966.53</v>
      </c>
      <c r="AB749">
        <f>(SUMIF($U$4:$U749,CONCATENATE("Buy",$C749),$F$4:$F749)+SUMIF($U$4:$U749,CONCATENATE("ReinvDiv",$C749),$F$4:$F749)+SUMIF($U$4:$U749,CONCATENATE("StkSplit",$C749),$F$4:$F749)-SUMIF($U$4:$U749,CONCATENATE("Sell",$C749),$F$4:$F749))</f>
        <v>3351.453</v>
      </c>
      <c r="AC749" s="3">
        <f>IF(B749="Sell",F749*INDEX(V:V,LOOKUP(2,1/(X$4:X748=CONCATENATE(C749,"_ACB")),ROW(V$4:V748))),0)</f>
        <v>0</v>
      </c>
    </row>
    <row r="750" spans="1:29" x14ac:dyDescent="0.25">
      <c r="A750" s="20">
        <v>40893</v>
      </c>
      <c r="B750" t="s">
        <v>43</v>
      </c>
      <c r="C750" t="s">
        <v>36</v>
      </c>
      <c r="D750" s="3">
        <v>0.53</v>
      </c>
      <c r="J750">
        <v>83.85</v>
      </c>
      <c r="M750" s="21">
        <f t="shared" si="98"/>
        <v>0.53</v>
      </c>
      <c r="N750" s="8">
        <f t="shared" si="96"/>
        <v>0.53</v>
      </c>
      <c r="O750" s="25">
        <f t="shared" si="93"/>
        <v>26086.02999999993</v>
      </c>
      <c r="P750" s="8">
        <f t="shared" si="99"/>
        <v>0</v>
      </c>
      <c r="Q750" s="4">
        <f>IF(AND(S750&gt;=[1]eRRSP_Rpt!$C$6,S750&lt;=[1]eRRSP_Rpt!$C$7),1,0)</f>
        <v>1</v>
      </c>
      <c r="R750" s="4"/>
      <c r="S750" s="4">
        <f t="shared" si="97"/>
        <v>2011</v>
      </c>
      <c r="T750" s="4"/>
      <c r="U750" s="4" t="str">
        <f t="shared" si="100"/>
        <v>IntIncTDW</v>
      </c>
      <c r="V750" s="23">
        <f>IFERROR(IF(AND(AB750&gt;0,B750&lt;&gt;"Sell"),(AA750-SUMIF(C$4:C749,C750,AC$4:AC750))/AB750,0),"")</f>
        <v>0</v>
      </c>
      <c r="W750" s="24" t="str">
        <f t="shared" si="95"/>
        <v/>
      </c>
      <c r="X750" s="25" t="str">
        <f t="shared" si="94"/>
        <v/>
      </c>
      <c r="Y750" s="10" t="str">
        <f>IF(S751&lt;&gt;eRRSP_Tx_Table[[#This Row],[Year]],SUMIFS($W$4:$W750,$S$4:$S750,eRRSP_Tx_Table[[#This Row],[Year]],$W$4:$W750,"&gt;0"),"")</f>
        <v/>
      </c>
      <c r="Z750" s="10" t="str">
        <f>IF(S751&lt;&gt;eRRSP_Tx_Table[[#This Row],[Year]],SUMIFS($W$4:$W750,$S$4:$S750,eRRSP_Tx_Table[[#This Row],[Year]],$W$4:$W750,"&lt;0"),"")</f>
        <v/>
      </c>
      <c r="AA750" s="3">
        <f>(SUMIF($U$4:$U750,CONCATENATE("Buy",$C750),$N$4:$N750)+SUMIF($U$4:$U750,CONCATENATE("ReinvDiv",$C750),$N$4:$N750))</f>
        <v>0</v>
      </c>
      <c r="AB750">
        <f>(SUMIF($U$4:$U750,CONCATENATE("Buy",$C750),$F$4:$F750)+SUMIF($U$4:$U750,CONCATENATE("ReinvDiv",$C750),$F$4:$F750)+SUMIF($U$4:$U750,CONCATENATE("StkSplit",$C750),$F$4:$F750)-SUMIF($U$4:$U750,CONCATENATE("Sell",$C750),$F$4:$F750))</f>
        <v>0</v>
      </c>
      <c r="AC750" s="3">
        <f>IF(B750="Sell",F750*INDEX(V:V,LOOKUP(2,1/(X$4:X749=CONCATENATE(C750,"_ACB")),ROW(V$4:V749))),0)</f>
        <v>0</v>
      </c>
    </row>
    <row r="751" spans="1:29" x14ac:dyDescent="0.25">
      <c r="A751" s="20">
        <v>40893</v>
      </c>
      <c r="B751" t="s">
        <v>42</v>
      </c>
      <c r="C751" t="s">
        <v>87</v>
      </c>
      <c r="D751" s="3">
        <v>41.1</v>
      </c>
      <c r="J751">
        <v>23.64</v>
      </c>
      <c r="M751" s="21">
        <f t="shared" si="98"/>
        <v>41.1</v>
      </c>
      <c r="N751" s="8">
        <f t="shared" si="96"/>
        <v>41.1</v>
      </c>
      <c r="O751" s="25">
        <f t="shared" si="93"/>
        <v>26127.129999999928</v>
      </c>
      <c r="P751" s="8">
        <f t="shared" si="99"/>
        <v>0</v>
      </c>
      <c r="Q751" s="4">
        <f>IF(AND(S751&gt;=[1]eRRSP_Rpt!$C$6,S751&lt;=[1]eRRSP_Rpt!$C$7),1,0)</f>
        <v>1</v>
      </c>
      <c r="R751" s="4"/>
      <c r="S751" s="4">
        <f t="shared" si="97"/>
        <v>2011</v>
      </c>
      <c r="T751" s="4"/>
      <c r="U751" s="4" t="str">
        <f t="shared" si="100"/>
        <v>DivAberdeen Asia Pacific Income Fund</v>
      </c>
      <c r="V751" s="23">
        <f>IFERROR(IF(AND(AB751&gt;0,B751&lt;&gt;"Sell"),(AA751-SUMIF(C$4:C750,C751,AC$4:AC751))/AB751,0),"")</f>
        <v>-7.4694020797227028</v>
      </c>
      <c r="W751" s="24" t="str">
        <f t="shared" si="95"/>
        <v/>
      </c>
      <c r="X751" s="25" t="str">
        <f t="shared" si="94"/>
        <v>Aberdeen Asia Pacific Income Fund_ACB</v>
      </c>
      <c r="Y751" s="10" t="str">
        <f>IF(S752&lt;&gt;eRRSP_Tx_Table[[#This Row],[Year]],SUMIFS($W$4:$W751,$S$4:$S751,eRRSP_Tx_Table[[#This Row],[Year]],$W$4:$W751,"&gt;0"),"")</f>
        <v/>
      </c>
      <c r="Z751" s="10" t="str">
        <f>IF(S752&lt;&gt;eRRSP_Tx_Table[[#This Row],[Year]],SUMIFS($W$4:$W751,$S$4:$S751,eRRSP_Tx_Table[[#This Row],[Year]],$W$4:$W751,"&lt;0"),"")</f>
        <v/>
      </c>
      <c r="AA751" s="3">
        <f>(SUMIF($U$4:$U751,CONCATENATE("Buy",$C751),$N$4:$N751)+SUMIF($U$4:$U751,CONCATENATE("ReinvDiv",$C751),$N$4:$N751))</f>
        <v>-8619.6899999999987</v>
      </c>
      <c r="AB751">
        <f>(SUMIF($U$4:$U751,CONCATENATE("Buy",$C751),$F$4:$F751)+SUMIF($U$4:$U751,CONCATENATE("ReinvDiv",$C751),$F$4:$F751)+SUMIF($U$4:$U751,CONCATENATE("StkSplit",$C751),$F$4:$F751)-SUMIF($U$4:$U751,CONCATENATE("Sell",$C751),$F$4:$F751))</f>
        <v>1154</v>
      </c>
      <c r="AC751" s="3">
        <f>IF(B751="Sell",F751*INDEX(V:V,LOOKUP(2,1/(X$4:X750=CONCATENATE(C751,"_ACB")),ROW(V$4:V750))),0)</f>
        <v>0</v>
      </c>
    </row>
    <row r="752" spans="1:29" x14ac:dyDescent="0.25">
      <c r="A752" s="20">
        <v>40893</v>
      </c>
      <c r="B752" t="s">
        <v>41</v>
      </c>
      <c r="C752" t="s">
        <v>62</v>
      </c>
      <c r="D752" s="3">
        <v>83.85</v>
      </c>
      <c r="E752">
        <v>18.724900000000002</v>
      </c>
      <c r="F752" s="3">
        <v>4.4779999999999998</v>
      </c>
      <c r="J752">
        <v>40.49</v>
      </c>
      <c r="M752" s="21">
        <f t="shared" si="98"/>
        <v>83.85</v>
      </c>
      <c r="N752" s="8">
        <f t="shared" si="96"/>
        <v>-83.85</v>
      </c>
      <c r="O752" s="25">
        <f t="shared" si="93"/>
        <v>26127.129999999928</v>
      </c>
      <c r="P752" s="8">
        <f t="shared" si="99"/>
        <v>0</v>
      </c>
      <c r="Q752" s="4">
        <f>IF(AND(S752&gt;=[1]eRRSP_Rpt!$C$6,S752&lt;=[1]eRRSP_Rpt!$C$7),1,0)</f>
        <v>1</v>
      </c>
      <c r="R752" s="4"/>
      <c r="S752" s="4">
        <f t="shared" si="97"/>
        <v>2011</v>
      </c>
      <c r="T752" s="4"/>
      <c r="U752" s="4" t="str">
        <f t="shared" si="100"/>
        <v>ReinvDivTD RR Bond</v>
      </c>
      <c r="V752" s="23">
        <f>IFERROR(IF(AND(AB752&gt;0,B752&lt;&gt;"Sell"),(AA752-SUMIF(C$4:C751,C752,AC$4:AC752))/AB752,0),"")</f>
        <v>-14.360811066374676</v>
      </c>
      <c r="W752" s="24" t="str">
        <f t="shared" si="95"/>
        <v/>
      </c>
      <c r="X752" s="25" t="str">
        <f t="shared" si="94"/>
        <v>TD RR Bond_ACB</v>
      </c>
      <c r="Y752" s="10" t="str">
        <f>IF(S753&lt;&gt;eRRSP_Tx_Table[[#This Row],[Year]],SUMIFS($W$4:$W752,$S$4:$S752,eRRSP_Tx_Table[[#This Row],[Year]],$W$4:$W752,"&gt;0"),"")</f>
        <v/>
      </c>
      <c r="Z752" s="10" t="str">
        <f>IF(S753&lt;&gt;eRRSP_Tx_Table[[#This Row],[Year]],SUMIFS($W$4:$W752,$S$4:$S752,eRRSP_Tx_Table[[#This Row],[Year]],$W$4:$W752,"&lt;0"),"")</f>
        <v/>
      </c>
      <c r="AA752" s="3">
        <f>(SUMIF($U$4:$U752,CONCATENATE("Buy",$C752),$N$4:$N752)+SUMIF($U$4:$U752,CONCATENATE("ReinvDiv",$C752),$N$4:$N752))</f>
        <v>-10479.17</v>
      </c>
      <c r="AB752">
        <f>(SUMIF($U$4:$U752,CONCATENATE("Buy",$C752),$F$4:$F752)+SUMIF($U$4:$U752,CONCATENATE("ReinvDiv",$C752),$F$4:$F752)+SUMIF($U$4:$U752,CONCATENATE("StkSplit",$C752),$F$4:$F752)-SUMIF($U$4:$U752,CONCATENATE("Sell",$C752),$F$4:$F752))</f>
        <v>729.70600000000002</v>
      </c>
      <c r="AC752" s="3">
        <f>IF(B752="Sell",F752*INDEX(V:V,LOOKUP(2,1/(X$4:X751=CONCATENATE(C752,"_ACB")),ROW(V$4:V751))),0)</f>
        <v>0</v>
      </c>
    </row>
    <row r="753" spans="1:29" x14ac:dyDescent="0.25">
      <c r="A753" s="20">
        <v>40907</v>
      </c>
      <c r="B753" t="s">
        <v>42</v>
      </c>
      <c r="C753" t="s">
        <v>90</v>
      </c>
      <c r="D753" s="3">
        <v>23.64</v>
      </c>
      <c r="J753">
        <v>0.55000000000000004</v>
      </c>
      <c r="M753" s="21">
        <f t="shared" si="98"/>
        <v>23.64</v>
      </c>
      <c r="N753" s="8">
        <f t="shared" si="96"/>
        <v>23.64</v>
      </c>
      <c r="O753" s="25">
        <f t="shared" si="93"/>
        <v>26150.769999999928</v>
      </c>
      <c r="P753" s="8">
        <f t="shared" si="99"/>
        <v>0</v>
      </c>
      <c r="Q753" s="4">
        <f>IF(AND(S753&gt;=[1]eRRSP_Rpt!$C$6,S753&lt;=[1]eRRSP_Rpt!$C$7),1,0)</f>
        <v>1</v>
      </c>
      <c r="R753" s="4"/>
      <c r="S753" s="4">
        <f t="shared" si="97"/>
        <v>2011</v>
      </c>
      <c r="T753" s="4"/>
      <c r="U753" s="4" t="str">
        <f t="shared" si="100"/>
        <v>DivVanguard Large Cap ETF</v>
      </c>
      <c r="V753" s="23">
        <f>IFERROR(IF(AND(AB753&gt;0,B753&lt;&gt;"Sell"),(AA753-SUMIF(C$4:C752,C753,AC$4:AC753))/AB753,0),"")</f>
        <v>-74.401142857142858</v>
      </c>
      <c r="W753" s="24" t="str">
        <f t="shared" si="95"/>
        <v/>
      </c>
      <c r="X753" s="25" t="str">
        <f t="shared" si="94"/>
        <v>Vanguard Large Cap ETF_ACB</v>
      </c>
      <c r="Y753" s="10" t="str">
        <f>IF(S754&lt;&gt;eRRSP_Tx_Table[[#This Row],[Year]],SUMIFS($W$4:$W753,$S$4:$S753,eRRSP_Tx_Table[[#This Row],[Year]],$W$4:$W753,"&gt;0"),"")</f>
        <v/>
      </c>
      <c r="Z753" s="10" t="str">
        <f>IF(S754&lt;&gt;eRRSP_Tx_Table[[#This Row],[Year]],SUMIFS($W$4:$W753,$S$4:$S753,eRRSP_Tx_Table[[#This Row],[Year]],$W$4:$W753,"&lt;0"),"")</f>
        <v/>
      </c>
      <c r="AA753" s="3">
        <f>(SUMIF($U$4:$U753,CONCATENATE("Buy",$C753),$N$4:$N753)+SUMIF($U$4:$U753,CONCATENATE("ReinvDiv",$C753),$N$4:$N753))</f>
        <v>-5208.08</v>
      </c>
      <c r="AB753">
        <f>(SUMIF($U$4:$U753,CONCATENATE("Buy",$C753),$F$4:$F753)+SUMIF($U$4:$U753,CONCATENATE("ReinvDiv",$C753),$F$4:$F753)+SUMIF($U$4:$U753,CONCATENATE("StkSplit",$C753),$F$4:$F753)-SUMIF($U$4:$U753,CONCATENATE("Sell",$C753),$F$4:$F753))</f>
        <v>70</v>
      </c>
      <c r="AC753" s="3">
        <f>IF(B753="Sell",F753*INDEX(V:V,LOOKUP(2,1/(X$4:X752=CONCATENATE(C753,"_ACB")),ROW(V$4:V752))),0)</f>
        <v>0</v>
      </c>
    </row>
    <row r="754" spans="1:29" ht="13.5" customHeight="1" x14ac:dyDescent="0.25">
      <c r="A754" s="32">
        <f>A698+364</f>
        <v>40908</v>
      </c>
      <c r="B754" s="33"/>
      <c r="C754" s="33"/>
      <c r="D754" s="34"/>
      <c r="E754" s="33"/>
      <c r="F754" s="34"/>
      <c r="G754" s="33"/>
      <c r="H754" s="33"/>
      <c r="I754" s="33"/>
      <c r="J754" s="33"/>
      <c r="K754" s="33"/>
      <c r="L754" s="33"/>
      <c r="M754" s="35"/>
      <c r="N754" s="8">
        <f t="shared" si="96"/>
        <v>0</v>
      </c>
      <c r="O754" s="36"/>
      <c r="P754" s="37">
        <v>-146800.04</v>
      </c>
      <c r="Q754" s="4">
        <f>IF(AND(S754&gt;=[1]eRRSP_Rpt!$C$6,S754&lt;=[1]eRRSP_Rpt!$C$7),1,0)</f>
        <v>1</v>
      </c>
      <c r="R754" s="4" t="s">
        <v>34</v>
      </c>
      <c r="S754" s="4">
        <f>YEAR(A754)</f>
        <v>2011</v>
      </c>
      <c r="T754" s="22"/>
      <c r="U754" s="4"/>
      <c r="V754" s="23">
        <f>IFERROR(IF(AND(AB754&gt;0,B754&lt;&gt;"Sell"),(AA754-SUMIF(C$4:C753,C754,AC$4:AC754))/AB754,0),"")</f>
        <v>0</v>
      </c>
      <c r="W754" s="24" t="str">
        <f t="shared" si="95"/>
        <v/>
      </c>
      <c r="X754" s="25" t="str">
        <f t="shared" si="94"/>
        <v/>
      </c>
      <c r="Y754" s="10">
        <f>IF(S755&lt;&gt;eRRSP_Tx_Table[[#This Row],[Year]],SUMIFS($W$4:$W754,$S$4:$S754,eRRSP_Tx_Table[[#This Row],[Year]],$W$4:$W754,"&gt;0"),"")</f>
        <v>0</v>
      </c>
      <c r="Z754" s="10">
        <f>IF(S755&lt;&gt;eRRSP_Tx_Table[[#This Row],[Year]],SUMIFS($W$4:$W754,$S$4:$S754,eRRSP_Tx_Table[[#This Row],[Year]],$W$4:$W754,"&lt;0"),"")</f>
        <v>0</v>
      </c>
      <c r="AA754" s="3">
        <f>(SUMIF($U$4:$U754,CONCATENATE("Buy",$C754),$N$4:$N754)+SUMIF($U$4:$U754,CONCATENATE("ReinvDiv",$C754),$N$4:$N754))</f>
        <v>0</v>
      </c>
      <c r="AB754">
        <f>(SUMIF($U$4:$U754,CONCATENATE("Buy",$C754),$F$4:$F754)+SUMIF($U$4:$U754,CONCATENATE("ReinvDiv",$C754),$F$4:$F754)+SUMIF($U$4:$U754,CONCATENATE("StkSplit",$C754),$F$4:$F754)-SUMIF($U$4:$U754,CONCATENATE("Sell",$C754),$F$4:$F754))</f>
        <v>0</v>
      </c>
      <c r="AC754" s="3">
        <f>IF(B754="Sell",F754*INDEX(V:V,LOOKUP(2,1/(X$4:X753=CONCATENATE(C754,"_ACB")),ROW(V$4:V753))),0)</f>
        <v>0</v>
      </c>
    </row>
    <row r="755" spans="1:29" ht="13.5" customHeight="1" x14ac:dyDescent="0.25">
      <c r="A755" s="32">
        <f>A754+1</f>
        <v>40909</v>
      </c>
      <c r="B755" s="33"/>
      <c r="C755" s="33"/>
      <c r="D755" s="34"/>
      <c r="E755" s="33"/>
      <c r="F755" s="34"/>
      <c r="G755" s="33"/>
      <c r="H755" s="33"/>
      <c r="I755" s="33"/>
      <c r="J755" s="33"/>
      <c r="K755" s="33"/>
      <c r="L755" s="33"/>
      <c r="M755" s="35"/>
      <c r="N755" s="8">
        <f t="shared" si="96"/>
        <v>0</v>
      </c>
      <c r="O755" s="36"/>
      <c r="P755" s="37">
        <f>-P754</f>
        <v>146800.04</v>
      </c>
      <c r="Q755" s="4">
        <f>IF(AND(S755&gt;=[1]eRRSP_Rpt!$C$6,S755&lt;=[1]eRRSP_Rpt!$C$7),1,0)</f>
        <v>1</v>
      </c>
      <c r="R755" s="4" t="s">
        <v>34</v>
      </c>
      <c r="S755" s="4">
        <f>YEAR(A755)</f>
        <v>2012</v>
      </c>
      <c r="T755" s="22"/>
      <c r="U755" s="4"/>
      <c r="V755" s="23">
        <f>IFERROR(IF(AND(AB755&gt;0,B755&lt;&gt;"Sell"),(AA755-SUMIF(C$4:C754,C755,AC$4:AC755))/AB755,0),"")</f>
        <v>0</v>
      </c>
      <c r="W755" s="24" t="str">
        <f t="shared" si="95"/>
        <v/>
      </c>
      <c r="X755" s="25" t="str">
        <f t="shared" si="94"/>
        <v/>
      </c>
      <c r="Y755" s="10" t="str">
        <f>IF(S756&lt;&gt;eRRSP_Tx_Table[[#This Row],[Year]],SUMIFS($W$4:$W755,$S$4:$S755,eRRSP_Tx_Table[[#This Row],[Year]],$W$4:$W755,"&gt;0"),"")</f>
        <v/>
      </c>
      <c r="Z755" s="10" t="str">
        <f>IF(S756&lt;&gt;eRRSP_Tx_Table[[#This Row],[Year]],SUMIFS($W$4:$W755,$S$4:$S755,eRRSP_Tx_Table[[#This Row],[Year]],$W$4:$W755,"&lt;0"),"")</f>
        <v/>
      </c>
      <c r="AA755" s="3">
        <f>(SUMIF($U$4:$U755,CONCATENATE("Buy",$C755),$N$4:$N755)+SUMIF($U$4:$U755,CONCATENATE("ReinvDiv",$C755),$N$4:$N755))</f>
        <v>0</v>
      </c>
      <c r="AB755">
        <f>(SUMIF($U$4:$U755,CONCATENATE("Buy",$C755),$F$4:$F755)+SUMIF($U$4:$U755,CONCATENATE("ReinvDiv",$C755),$F$4:$F755)+SUMIF($U$4:$U755,CONCATENATE("StkSplit",$C755),$F$4:$F755)-SUMIF($U$4:$U755,CONCATENATE("Sell",$C755),$F$4:$F755))</f>
        <v>0</v>
      </c>
      <c r="AC755" s="3">
        <f>IF(B755="Sell",F755*INDEX(V:V,LOOKUP(2,1/(X$4:X754=CONCATENATE(C755,"_ACB")),ROW(V$4:V754))),0)</f>
        <v>0</v>
      </c>
    </row>
    <row r="756" spans="1:29" x14ac:dyDescent="0.25">
      <c r="A756" s="20">
        <v>40921</v>
      </c>
      <c r="B756" t="s">
        <v>42</v>
      </c>
      <c r="C756" t="s">
        <v>87</v>
      </c>
      <c r="D756" s="3">
        <v>40.49</v>
      </c>
      <c r="J756">
        <v>486.5</v>
      </c>
      <c r="M756" s="21">
        <f t="shared" si="98"/>
        <v>40.49</v>
      </c>
      <c r="N756" s="8">
        <f t="shared" si="96"/>
        <v>40.49</v>
      </c>
      <c r="O756" s="25">
        <f>O753+IF(OR(B756="Cash",B756="Buy",B756="Sell",B756="Div",B756="Rebate",B756="Fees",B756="IntInc",B756="Tax",B756="Distr"),N756,0)</f>
        <v>26191.259999999929</v>
      </c>
      <c r="P756" s="8">
        <f t="shared" si="99"/>
        <v>0</v>
      </c>
      <c r="Q756" s="4">
        <f>IF(AND(S756&gt;=[1]eRRSP_Rpt!$C$6,S756&lt;=[1]eRRSP_Rpt!$C$7),1,0)</f>
        <v>1</v>
      </c>
      <c r="R756" s="4"/>
      <c r="S756" s="4">
        <f t="shared" si="97"/>
        <v>2012</v>
      </c>
      <c r="T756" s="4"/>
      <c r="U756" s="4" t="str">
        <f t="shared" si="100"/>
        <v>DivAberdeen Asia Pacific Income Fund</v>
      </c>
      <c r="V756" s="23">
        <f>IFERROR(IF(AND(AB756&gt;0,B756&lt;&gt;"Sell"),(AA756-SUMIF(C$4:C755,C756,AC$4:AC756))/AB756,0),"")</f>
        <v>-7.4694020797227028</v>
      </c>
      <c r="W756" s="24" t="str">
        <f t="shared" si="95"/>
        <v/>
      </c>
      <c r="X756" s="25" t="str">
        <f t="shared" si="94"/>
        <v>Aberdeen Asia Pacific Income Fund_ACB</v>
      </c>
      <c r="Y756" s="10" t="str">
        <f>IF(S757&lt;&gt;eRRSP_Tx_Table[[#This Row],[Year]],SUMIFS($W$4:$W756,$S$4:$S756,eRRSP_Tx_Table[[#This Row],[Year]],$W$4:$W756,"&gt;0"),"")</f>
        <v/>
      </c>
      <c r="Z756" s="10" t="str">
        <f>IF(S757&lt;&gt;eRRSP_Tx_Table[[#This Row],[Year]],SUMIFS($W$4:$W756,$S$4:$S756,eRRSP_Tx_Table[[#This Row],[Year]],$W$4:$W756,"&lt;0"),"")</f>
        <v/>
      </c>
      <c r="AA756" s="3">
        <f>(SUMIF($U$4:$U756,CONCATENATE("Buy",$C756),$N$4:$N756)+SUMIF($U$4:$U756,CONCATENATE("ReinvDiv",$C756),$N$4:$N756))</f>
        <v>-8619.6899999999987</v>
      </c>
      <c r="AB756">
        <f>(SUMIF($U$4:$U756,CONCATENATE("Buy",$C756),$F$4:$F756)+SUMIF($U$4:$U756,CONCATENATE("ReinvDiv",$C756),$F$4:$F756)+SUMIF($U$4:$U756,CONCATENATE("StkSplit",$C756),$F$4:$F756)-SUMIF($U$4:$U756,CONCATENATE("Sell",$C756),$F$4:$F756))</f>
        <v>1154</v>
      </c>
      <c r="AC756" s="3">
        <f>IF(B756="Sell",F756*INDEX(V:V,LOOKUP(2,1/(X$4:X755=CONCATENATE(C756,"_ACB")),ROW(V$4:V755))),0)</f>
        <v>0</v>
      </c>
    </row>
    <row r="757" spans="1:29" x14ac:dyDescent="0.25">
      <c r="A757" s="20">
        <v>40924</v>
      </c>
      <c r="B757" t="s">
        <v>43</v>
      </c>
      <c r="C757" t="s">
        <v>36</v>
      </c>
      <c r="D757" s="3">
        <v>0.55000000000000004</v>
      </c>
      <c r="J757">
        <v>0.76</v>
      </c>
      <c r="M757" s="21">
        <f t="shared" si="98"/>
        <v>0.55000000000000004</v>
      </c>
      <c r="N757" s="8">
        <f t="shared" si="96"/>
        <v>0.55000000000000004</v>
      </c>
      <c r="O757" s="25">
        <f t="shared" ref="O757:O820" si="101">O756+IF(OR(B757="Cash",B757="Buy",B757="Sell",B757="Div",B757="Rebate",B757="Fees",B757="IntInc",B757="Tax",B757="Distr"),N757,0)</f>
        <v>26191.809999999929</v>
      </c>
      <c r="P757" s="8">
        <f t="shared" si="99"/>
        <v>0</v>
      </c>
      <c r="Q757" s="4">
        <f>IF(AND(S757&gt;=[1]eRRSP_Rpt!$C$6,S757&lt;=[1]eRRSP_Rpt!$C$7),1,0)</f>
        <v>1</v>
      </c>
      <c r="R757" s="4"/>
      <c r="S757" s="4">
        <f t="shared" si="97"/>
        <v>2012</v>
      </c>
      <c r="T757" s="4"/>
      <c r="U757" s="4" t="str">
        <f t="shared" si="100"/>
        <v>IntIncTDW</v>
      </c>
      <c r="V757" s="23">
        <f>IFERROR(IF(AND(AB757&gt;0,B757&lt;&gt;"Sell"),(AA757-SUMIF(C$4:C756,C757,AC$4:AC757))/AB757,0),"")</f>
        <v>0</v>
      </c>
      <c r="W757" s="24" t="str">
        <f t="shared" si="95"/>
        <v/>
      </c>
      <c r="X757" s="25" t="str">
        <f t="shared" si="94"/>
        <v/>
      </c>
      <c r="Y757" s="10" t="str">
        <f>IF(S758&lt;&gt;eRRSP_Tx_Table[[#This Row],[Year]],SUMIFS($W$4:$W757,$S$4:$S757,eRRSP_Tx_Table[[#This Row],[Year]],$W$4:$W757,"&gt;0"),"")</f>
        <v/>
      </c>
      <c r="Z757" s="10" t="str">
        <f>IF(S758&lt;&gt;eRRSP_Tx_Table[[#This Row],[Year]],SUMIFS($W$4:$W757,$S$4:$S757,eRRSP_Tx_Table[[#This Row],[Year]],$W$4:$W757,"&lt;0"),"")</f>
        <v/>
      </c>
      <c r="AA757" s="3">
        <f>(SUMIF($U$4:$U757,CONCATENATE("Buy",$C757),$N$4:$N757)+SUMIF($U$4:$U757,CONCATENATE("ReinvDiv",$C757),$N$4:$N757))</f>
        <v>0</v>
      </c>
      <c r="AB757">
        <f>(SUMIF($U$4:$U757,CONCATENATE("Buy",$C757),$F$4:$F757)+SUMIF($U$4:$U757,CONCATENATE("ReinvDiv",$C757),$F$4:$F757)+SUMIF($U$4:$U757,CONCATENATE("StkSplit",$C757),$F$4:$F757)-SUMIF($U$4:$U757,CONCATENATE("Sell",$C757),$F$4:$F757))</f>
        <v>0</v>
      </c>
      <c r="AC757" s="3">
        <f>IF(B757="Sell",F757*INDEX(V:V,LOOKUP(2,1/(X$4:X756=CONCATENATE(C757,"_ACB")),ROW(V$4:V756))),0)</f>
        <v>0</v>
      </c>
    </row>
    <row r="758" spans="1:29" x14ac:dyDescent="0.25">
      <c r="A758" s="20">
        <v>40934</v>
      </c>
      <c r="B758" t="s">
        <v>43</v>
      </c>
      <c r="C758" t="s">
        <v>94</v>
      </c>
      <c r="D758" s="3">
        <v>486.5</v>
      </c>
      <c r="J758">
        <v>13.6</v>
      </c>
      <c r="M758" s="21">
        <f t="shared" si="98"/>
        <v>486.5</v>
      </c>
      <c r="N758" s="8">
        <f t="shared" si="96"/>
        <v>486.5</v>
      </c>
      <c r="O758" s="25">
        <f t="shared" si="101"/>
        <v>26678.309999999929</v>
      </c>
      <c r="P758" s="8">
        <f t="shared" si="99"/>
        <v>0</v>
      </c>
      <c r="Q758" s="4">
        <f>IF(AND(S758&gt;=[1]eRRSP_Rpt!$C$6,S758&lt;=[1]eRRSP_Rpt!$C$7),1,0)</f>
        <v>1</v>
      </c>
      <c r="R758" s="4"/>
      <c r="S758" s="4">
        <f t="shared" si="97"/>
        <v>2012</v>
      </c>
      <c r="T758" s="4"/>
      <c r="U758" s="4" t="str">
        <f t="shared" si="100"/>
        <v>IntIncAIMIA SER-3  6.95% 26JA17</v>
      </c>
      <c r="V758" s="23">
        <f>IFERROR(IF(AND(AB758&gt;0,B758&lt;&gt;"Sell"),(AA758-SUMIF(C$4:C757,C758,AC$4:AC758))/AB758,0),"")</f>
        <v>-1.0346899999999999</v>
      </c>
      <c r="W758" s="24" t="str">
        <f t="shared" si="95"/>
        <v/>
      </c>
      <c r="X758" s="25" t="str">
        <f t="shared" si="94"/>
        <v>AIMIA SER-3  6.95% 26JA17_ACB</v>
      </c>
      <c r="Y758" s="10" t="str">
        <f>IF(S759&lt;&gt;eRRSP_Tx_Table[[#This Row],[Year]],SUMIFS($W$4:$W758,$S$4:$S758,eRRSP_Tx_Table[[#This Row],[Year]],$W$4:$W758,"&gt;0"),"")</f>
        <v/>
      </c>
      <c r="Z758" s="10" t="str">
        <f>IF(S759&lt;&gt;eRRSP_Tx_Table[[#This Row],[Year]],SUMIFS($W$4:$W758,$S$4:$S758,eRRSP_Tx_Table[[#This Row],[Year]],$W$4:$W758,"&lt;0"),"")</f>
        <v/>
      </c>
      <c r="AA758" s="3">
        <f>(SUMIF($U$4:$U758,CONCATENATE("Buy",$C758),$N$4:$N758)+SUMIF($U$4:$U758,CONCATENATE("ReinvDiv",$C758),$N$4:$N758))</f>
        <v>-14485.66</v>
      </c>
      <c r="AB758">
        <f>(SUMIF($U$4:$U758,CONCATENATE("Buy",$C758),$F$4:$F758)+SUMIF($U$4:$U758,CONCATENATE("ReinvDiv",$C758),$F$4:$F758)+SUMIF($U$4:$U758,CONCATENATE("StkSplit",$C758),$F$4:$F758)-SUMIF($U$4:$U758,CONCATENATE("Sell",$C758),$F$4:$F758))</f>
        <v>14000</v>
      </c>
      <c r="AC758" s="3">
        <f>IF(B758="Sell",F758*INDEX(V:V,LOOKUP(2,1/(X$4:X757=CONCATENATE(C758,"_ACB")),ROW(V$4:V757))),0)</f>
        <v>0</v>
      </c>
    </row>
    <row r="759" spans="1:29" x14ac:dyDescent="0.25">
      <c r="A759" s="20">
        <v>40939</v>
      </c>
      <c r="B759" t="s">
        <v>42</v>
      </c>
      <c r="C759" t="s">
        <v>47</v>
      </c>
      <c r="D759" s="3">
        <v>0.76</v>
      </c>
      <c r="J759">
        <v>0.56000000000000005</v>
      </c>
      <c r="M759" s="21">
        <f t="shared" si="98"/>
        <v>0.76</v>
      </c>
      <c r="N759" s="8">
        <f t="shared" si="96"/>
        <v>0.76</v>
      </c>
      <c r="O759" s="25">
        <f t="shared" si="101"/>
        <v>26679.069999999927</v>
      </c>
      <c r="P759" s="8">
        <f t="shared" si="99"/>
        <v>0</v>
      </c>
      <c r="Q759" s="4">
        <f>IF(AND(S759&gt;=[1]eRRSP_Rpt!$C$6,S759&lt;=[1]eRRSP_Rpt!$C$7),1,0)</f>
        <v>1</v>
      </c>
      <c r="R759" s="4"/>
      <c r="S759" s="4">
        <f t="shared" si="97"/>
        <v>2012</v>
      </c>
      <c r="T759" s="4"/>
      <c r="U759" s="4" t="str">
        <f t="shared" si="100"/>
        <v>DivBombardier</v>
      </c>
      <c r="V759" s="23">
        <f>IFERROR(IF(AND(AB759&gt;0,B759&lt;&gt;"Sell"),(AA759-SUMIF(C$4:C758,C759,AC$4:AC759))/AB759,0),"")</f>
        <v>-23.216666666666665</v>
      </c>
      <c r="W759" s="24" t="str">
        <f t="shared" si="95"/>
        <v/>
      </c>
      <c r="X759" s="25" t="str">
        <f t="shared" si="94"/>
        <v>Bombardier_ACB</v>
      </c>
      <c r="Y759" s="10" t="str">
        <f>IF(S760&lt;&gt;eRRSP_Tx_Table[[#This Row],[Year]],SUMIFS($W$4:$W759,$S$4:$S759,eRRSP_Tx_Table[[#This Row],[Year]],$W$4:$W759,"&gt;0"),"")</f>
        <v/>
      </c>
      <c r="Z759" s="10" t="str">
        <f>IF(S760&lt;&gt;eRRSP_Tx_Table[[#This Row],[Year]],SUMIFS($W$4:$W759,$S$4:$S759,eRRSP_Tx_Table[[#This Row],[Year]],$W$4:$W759,"&lt;0"),"")</f>
        <v/>
      </c>
      <c r="AA759" s="3">
        <f>(SUMIF($U$4:$U759,CONCATENATE("Buy",$C759),$N$4:$N759)+SUMIF($U$4:$U759,CONCATENATE("ReinvDiv",$C759),$N$4:$N759))</f>
        <v>-696.5</v>
      </c>
      <c r="AB759">
        <f>(SUMIF($U$4:$U759,CONCATENATE("Buy",$C759),$F$4:$F759)+SUMIF($U$4:$U759,CONCATENATE("ReinvDiv",$C759),$F$4:$F759)+SUMIF($U$4:$U759,CONCATENATE("StkSplit",$C759),$F$4:$F759)-SUMIF($U$4:$U759,CONCATENATE("Sell",$C759),$F$4:$F759))</f>
        <v>30</v>
      </c>
      <c r="AC759" s="3">
        <f>IF(B759="Sell",F759*INDEX(V:V,LOOKUP(2,1/(X$4:X758=CONCATENATE(C759,"_ACB")),ROW(V$4:V758))),0)</f>
        <v>0</v>
      </c>
    </row>
    <row r="760" spans="1:29" x14ac:dyDescent="0.25">
      <c r="A760" s="20">
        <v>40939</v>
      </c>
      <c r="B760" t="s">
        <v>42</v>
      </c>
      <c r="C760" t="s">
        <v>45</v>
      </c>
      <c r="D760" s="3">
        <v>13.6</v>
      </c>
      <c r="J760">
        <v>39.659999999999997</v>
      </c>
      <c r="M760" s="21">
        <f t="shared" si="98"/>
        <v>13.6</v>
      </c>
      <c r="N760" s="8">
        <f t="shared" si="96"/>
        <v>13.6</v>
      </c>
      <c r="O760" s="25">
        <f t="shared" si="101"/>
        <v>26692.669999999925</v>
      </c>
      <c r="P760" s="8">
        <f t="shared" si="99"/>
        <v>0</v>
      </c>
      <c r="Q760" s="4">
        <f>IF(AND(S760&gt;=[1]eRRSP_Rpt!$C$6,S760&lt;=[1]eRRSP_Rpt!$C$7),1,0)</f>
        <v>1</v>
      </c>
      <c r="R760" s="4"/>
      <c r="S760" s="4">
        <f t="shared" si="97"/>
        <v>2012</v>
      </c>
      <c r="T760" s="4"/>
      <c r="U760" s="4" t="str">
        <f t="shared" si="100"/>
        <v>DivTD Bank</v>
      </c>
      <c r="V760" s="23">
        <f>IFERROR(IF(AND(AB760&gt;0,B760&lt;&gt;"Sell"),(AA760-SUMIF(C$4:C759,C760,AC$4:AC760))/AB760,0),"")</f>
        <v>-44.29</v>
      </c>
      <c r="W760" s="24" t="str">
        <f t="shared" si="95"/>
        <v/>
      </c>
      <c r="X760" s="25" t="str">
        <f t="shared" si="94"/>
        <v>TD Bank_ACB</v>
      </c>
      <c r="Y760" s="10" t="str">
        <f>IF(S761&lt;&gt;eRRSP_Tx_Table[[#This Row],[Year]],SUMIFS($W$4:$W760,$S$4:$S760,eRRSP_Tx_Table[[#This Row],[Year]],$W$4:$W760,"&gt;0"),"")</f>
        <v/>
      </c>
      <c r="Z760" s="10" t="str">
        <f>IF(S761&lt;&gt;eRRSP_Tx_Table[[#This Row],[Year]],SUMIFS($W$4:$W760,$S$4:$S760,eRRSP_Tx_Table[[#This Row],[Year]],$W$4:$W760,"&lt;0"),"")</f>
        <v/>
      </c>
      <c r="AA760" s="3">
        <f>(SUMIF($U$4:$U760,CONCATENATE("Buy",$C760),$N$4:$N760)+SUMIF($U$4:$U760,CONCATENATE("ReinvDiv",$C760),$N$4:$N760))</f>
        <v>-885.8</v>
      </c>
      <c r="AB760">
        <f>(SUMIF($U$4:$U760,CONCATENATE("Buy",$C760),$F$4:$F760)+SUMIF($U$4:$U760,CONCATENATE("ReinvDiv",$C760),$F$4:$F760)+SUMIF($U$4:$U760,CONCATENATE("StkSplit",$C760),$F$4:$F760)-SUMIF($U$4:$U760,CONCATENATE("Sell",$C760),$F$4:$F760))</f>
        <v>20</v>
      </c>
      <c r="AC760" s="3">
        <f>IF(B760="Sell",F760*INDEX(V:V,LOOKUP(2,1/(X$4:X759=CONCATENATE(C760,"_ACB")),ROW(V$4:V759))),0)</f>
        <v>0</v>
      </c>
    </row>
    <row r="761" spans="1:29" x14ac:dyDescent="0.25">
      <c r="A761" s="20">
        <v>40955</v>
      </c>
      <c r="B761" t="s">
        <v>43</v>
      </c>
      <c r="C761" t="s">
        <v>36</v>
      </c>
      <c r="D761" s="3">
        <v>0.56000000000000005</v>
      </c>
      <c r="J761">
        <v>5256</v>
      </c>
      <c r="M761" s="21">
        <f t="shared" si="98"/>
        <v>0.56000000000000005</v>
      </c>
      <c r="N761" s="8">
        <f t="shared" si="96"/>
        <v>0.56000000000000005</v>
      </c>
      <c r="O761" s="25">
        <f t="shared" si="101"/>
        <v>26693.229999999927</v>
      </c>
      <c r="P761" s="8">
        <f t="shared" si="99"/>
        <v>0</v>
      </c>
      <c r="Q761" s="4">
        <f>IF(AND(S761&gt;=[1]eRRSP_Rpt!$C$6,S761&lt;=[1]eRRSP_Rpt!$C$7),1,0)</f>
        <v>1</v>
      </c>
      <c r="R761" s="4"/>
      <c r="S761" s="4">
        <f t="shared" si="97"/>
        <v>2012</v>
      </c>
      <c r="T761" s="4"/>
      <c r="U761" s="4" t="str">
        <f t="shared" si="100"/>
        <v>IntIncTDW</v>
      </c>
      <c r="V761" s="23">
        <f>IFERROR(IF(AND(AB761&gt;0,B761&lt;&gt;"Sell"),(AA761-SUMIF(C$4:C760,C761,AC$4:AC761))/AB761,0),"")</f>
        <v>0</v>
      </c>
      <c r="W761" s="24" t="str">
        <f t="shared" si="95"/>
        <v/>
      </c>
      <c r="X761" s="25" t="str">
        <f t="shared" si="94"/>
        <v/>
      </c>
      <c r="Y761" s="10" t="str">
        <f>IF(S762&lt;&gt;eRRSP_Tx_Table[[#This Row],[Year]],SUMIFS($W$4:$W761,$S$4:$S761,eRRSP_Tx_Table[[#This Row],[Year]],$W$4:$W761,"&gt;0"),"")</f>
        <v/>
      </c>
      <c r="Z761" s="10" t="str">
        <f>IF(S762&lt;&gt;eRRSP_Tx_Table[[#This Row],[Year]],SUMIFS($W$4:$W761,$S$4:$S761,eRRSP_Tx_Table[[#This Row],[Year]],$W$4:$W761,"&lt;0"),"")</f>
        <v/>
      </c>
      <c r="AA761" s="3">
        <f>(SUMIF($U$4:$U761,CONCATENATE("Buy",$C761),$N$4:$N761)+SUMIF($U$4:$U761,CONCATENATE("ReinvDiv",$C761),$N$4:$N761))</f>
        <v>0</v>
      </c>
      <c r="AB761">
        <f>(SUMIF($U$4:$U761,CONCATENATE("Buy",$C761),$F$4:$F761)+SUMIF($U$4:$U761,CONCATENATE("ReinvDiv",$C761),$F$4:$F761)+SUMIF($U$4:$U761,CONCATENATE("StkSplit",$C761),$F$4:$F761)-SUMIF($U$4:$U761,CONCATENATE("Sell",$C761),$F$4:$F761))</f>
        <v>0</v>
      </c>
      <c r="AC761" s="3">
        <f>IF(B761="Sell",F761*INDEX(V:V,LOOKUP(2,1/(X$4:X760=CONCATENATE(C761,"_ACB")),ROW(V$4:V760))),0)</f>
        <v>0</v>
      </c>
    </row>
    <row r="762" spans="1:29" x14ac:dyDescent="0.25">
      <c r="A762" s="20">
        <v>40956</v>
      </c>
      <c r="B762" t="s">
        <v>42</v>
      </c>
      <c r="C762" t="s">
        <v>87</v>
      </c>
      <c r="D762" s="3">
        <v>39.659999999999997</v>
      </c>
      <c r="J762">
        <v>97.75</v>
      </c>
      <c r="M762" s="21">
        <f t="shared" si="98"/>
        <v>39.659999999999997</v>
      </c>
      <c r="N762" s="8">
        <f t="shared" si="96"/>
        <v>39.659999999999997</v>
      </c>
      <c r="O762" s="25">
        <f t="shared" si="101"/>
        <v>26732.889999999927</v>
      </c>
      <c r="P762" s="8">
        <f t="shared" si="99"/>
        <v>0</v>
      </c>
      <c r="Q762" s="4">
        <f>IF(AND(S762&gt;=[1]eRRSP_Rpt!$C$6,S762&lt;=[1]eRRSP_Rpt!$C$7),1,0)</f>
        <v>1</v>
      </c>
      <c r="R762" s="4"/>
      <c r="S762" s="4">
        <f t="shared" si="97"/>
        <v>2012</v>
      </c>
      <c r="T762" s="4"/>
      <c r="U762" s="4" t="str">
        <f t="shared" si="100"/>
        <v>DivAberdeen Asia Pacific Income Fund</v>
      </c>
      <c r="V762" s="23">
        <f>IFERROR(IF(AND(AB762&gt;0,B762&lt;&gt;"Sell"),(AA762-SUMIF(C$4:C761,C762,AC$4:AC762))/AB762,0),"")</f>
        <v>-7.4694020797227028</v>
      </c>
      <c r="W762" s="24" t="str">
        <f t="shared" si="95"/>
        <v/>
      </c>
      <c r="X762" s="25" t="str">
        <f t="shared" si="94"/>
        <v>Aberdeen Asia Pacific Income Fund_ACB</v>
      </c>
      <c r="Y762" s="10" t="str">
        <f>IF(S763&lt;&gt;eRRSP_Tx_Table[[#This Row],[Year]],SUMIFS($W$4:$W762,$S$4:$S762,eRRSP_Tx_Table[[#This Row],[Year]],$W$4:$W762,"&gt;0"),"")</f>
        <v/>
      </c>
      <c r="Z762" s="10" t="str">
        <f>IF(S763&lt;&gt;eRRSP_Tx_Table[[#This Row],[Year]],SUMIFS($W$4:$W762,$S$4:$S762,eRRSP_Tx_Table[[#This Row],[Year]],$W$4:$W762,"&lt;0"),"")</f>
        <v/>
      </c>
      <c r="AA762" s="3">
        <f>(SUMIF($U$4:$U762,CONCATENATE("Buy",$C762),$N$4:$N762)+SUMIF($U$4:$U762,CONCATENATE("ReinvDiv",$C762),$N$4:$N762))</f>
        <v>-8619.6899999999987</v>
      </c>
      <c r="AB762">
        <f>(SUMIF($U$4:$U762,CONCATENATE("Buy",$C762),$F$4:$F762)+SUMIF($U$4:$U762,CONCATENATE("ReinvDiv",$C762),$F$4:$F762)+SUMIF($U$4:$U762,CONCATENATE("StkSplit",$C762),$F$4:$F762)-SUMIF($U$4:$U762,CONCATENATE("Sell",$C762),$F$4:$F762))</f>
        <v>1154</v>
      </c>
      <c r="AC762" s="3">
        <f>IF(B762="Sell",F762*INDEX(V:V,LOOKUP(2,1/(X$4:X761=CONCATENATE(C762,"_ACB")),ROW(V$4:V761))),0)</f>
        <v>0</v>
      </c>
    </row>
    <row r="763" spans="1:29" x14ac:dyDescent="0.25">
      <c r="A763" s="20">
        <v>40960</v>
      </c>
      <c r="B763" t="s">
        <v>30</v>
      </c>
      <c r="C763" t="s">
        <v>31</v>
      </c>
      <c r="D763" s="3">
        <v>5256</v>
      </c>
      <c r="J763">
        <v>-27000</v>
      </c>
      <c r="M763" s="21">
        <f t="shared" si="98"/>
        <v>5256</v>
      </c>
      <c r="N763" s="8">
        <f t="shared" si="96"/>
        <v>5256</v>
      </c>
      <c r="O763" s="25">
        <f t="shared" si="101"/>
        <v>31988.889999999927</v>
      </c>
      <c r="P763" s="8">
        <f t="shared" si="99"/>
        <v>5256</v>
      </c>
      <c r="Q763" s="4">
        <f>IF(AND(S763&gt;=[1]eRRSP_Rpt!$C$6,S763&lt;=[1]eRRSP_Rpt!$C$7),1,0)</f>
        <v>1</v>
      </c>
      <c r="R763" s="4"/>
      <c r="S763" s="4">
        <f t="shared" si="97"/>
        <v>2012</v>
      </c>
      <c r="T763" s="4"/>
      <c r="U763" s="4" t="str">
        <f t="shared" si="100"/>
        <v>CashContribution</v>
      </c>
      <c r="V763" s="23">
        <f>IFERROR(IF(AND(AB763&gt;0,B763&lt;&gt;"Sell"),(AA763-SUMIF(C$4:C762,C763,AC$4:AC763))/AB763,0),"")</f>
        <v>0</v>
      </c>
      <c r="W763" s="24" t="str">
        <f t="shared" si="95"/>
        <v/>
      </c>
      <c r="X763" s="25" t="str">
        <f t="shared" si="94"/>
        <v/>
      </c>
      <c r="Y763" s="10" t="str">
        <f>IF(S764&lt;&gt;eRRSP_Tx_Table[[#This Row],[Year]],SUMIFS($W$4:$W763,$S$4:$S763,eRRSP_Tx_Table[[#This Row],[Year]],$W$4:$W763,"&gt;0"),"")</f>
        <v/>
      </c>
      <c r="Z763" s="10" t="str">
        <f>IF(S764&lt;&gt;eRRSP_Tx_Table[[#This Row],[Year]],SUMIFS($W$4:$W763,$S$4:$S763,eRRSP_Tx_Table[[#This Row],[Year]],$W$4:$W763,"&lt;0"),"")</f>
        <v/>
      </c>
      <c r="AA763" s="3">
        <f>(SUMIF($U$4:$U763,CONCATENATE("Buy",$C763),$N$4:$N763)+SUMIF($U$4:$U763,CONCATENATE("ReinvDiv",$C763),$N$4:$N763))</f>
        <v>0</v>
      </c>
      <c r="AB763">
        <f>(SUMIF($U$4:$U763,CONCATENATE("Buy",$C763),$F$4:$F763)+SUMIF($U$4:$U763,CONCATENATE("ReinvDiv",$C763),$F$4:$F763)+SUMIF($U$4:$U763,CONCATENATE("StkSplit",$C763),$F$4:$F763)-SUMIF($U$4:$U763,CONCATENATE("Sell",$C763),$F$4:$F763))</f>
        <v>0</v>
      </c>
      <c r="AC763" s="3">
        <f>IF(B763="Sell",F763*INDEX(V:V,LOOKUP(2,1/(X$4:X762=CONCATENATE(C763,"_ACB")),ROW(V$4:V762))),0)</f>
        <v>0</v>
      </c>
    </row>
    <row r="764" spans="1:29" x14ac:dyDescent="0.25">
      <c r="A764" s="20">
        <v>40969</v>
      </c>
      <c r="B764" t="s">
        <v>42</v>
      </c>
      <c r="C764" t="s">
        <v>33</v>
      </c>
      <c r="D764" s="3">
        <v>97.75</v>
      </c>
      <c r="J764">
        <v>39.44</v>
      </c>
      <c r="M764" s="21">
        <f t="shared" si="98"/>
        <v>97.75</v>
      </c>
      <c r="N764" s="8">
        <f t="shared" si="96"/>
        <v>97.75</v>
      </c>
      <c r="O764" s="25">
        <f t="shared" si="101"/>
        <v>32086.639999999927</v>
      </c>
      <c r="P764" s="8">
        <f t="shared" si="99"/>
        <v>0</v>
      </c>
      <c r="Q764" s="4">
        <f>IF(AND(S764&gt;=[1]eRRSP_Rpt!$C$6,S764&lt;=[1]eRRSP_Rpt!$C$7),1,0)</f>
        <v>1</v>
      </c>
      <c r="R764" s="4"/>
      <c r="S764" s="4">
        <f t="shared" si="97"/>
        <v>2012</v>
      </c>
      <c r="T764" s="4"/>
      <c r="U764" s="4" t="str">
        <f t="shared" si="100"/>
        <v>DivEnbridge</v>
      </c>
      <c r="V764" s="23">
        <f>IFERROR(IF(AND(AB764&gt;0,B764&lt;&gt;"Sell"),(AA764-SUMIF(C$4:C763,C764,AC$4:AC764))/AB764,0),"")</f>
        <v>-16.981789097623633</v>
      </c>
      <c r="W764" s="24" t="str">
        <f t="shared" si="95"/>
        <v/>
      </c>
      <c r="X764" s="25" t="str">
        <f t="shared" si="94"/>
        <v>Enbridge_ACB</v>
      </c>
      <c r="Y764" s="10" t="str">
        <f>IF(S765&lt;&gt;eRRSP_Tx_Table[[#This Row],[Year]],SUMIFS($W$4:$W764,$S$4:$S764,eRRSP_Tx_Table[[#This Row],[Year]],$W$4:$W764,"&gt;0"),"")</f>
        <v/>
      </c>
      <c r="Z764" s="10" t="str">
        <f>IF(S765&lt;&gt;eRRSP_Tx_Table[[#This Row],[Year]],SUMIFS($W$4:$W764,$S$4:$S764,eRRSP_Tx_Table[[#This Row],[Year]],$W$4:$W764,"&lt;0"),"")</f>
        <v/>
      </c>
      <c r="AA764" s="3">
        <f>(SUMIF($U$4:$U764,CONCATENATE("Buy",$C764),$N$4:$N764)+SUMIF($U$4:$U764,CONCATENATE("ReinvDiv",$C764),$N$4:$N764))</f>
        <v>-6788.69</v>
      </c>
      <c r="AB764">
        <f>(SUMIF($U$4:$U764,CONCATENATE("Buy",$C764),$F$4:$F764)+SUMIF($U$4:$U764,CONCATENATE("ReinvDiv",$C764),$F$4:$F764)+SUMIF($U$4:$U764,CONCATENATE("StkSplit",$C764),$F$4:$F764)-SUMIF($U$4:$U764,CONCATENATE("Sell",$C764),$F$4:$F764))</f>
        <v>346</v>
      </c>
      <c r="AC764" s="3">
        <f>IF(B764="Sell",F764*INDEX(V:V,LOOKUP(2,1/(X$4:X763=CONCATENATE(C764,"_ACB")),ROW(V$4:V763))),0)</f>
        <v>0</v>
      </c>
    </row>
    <row r="765" spans="1:29" x14ac:dyDescent="0.25">
      <c r="A765" s="20">
        <v>40973</v>
      </c>
      <c r="B765" t="s">
        <v>32</v>
      </c>
      <c r="C765" t="s">
        <v>99</v>
      </c>
      <c r="D765" s="3">
        <v>27000</v>
      </c>
      <c r="E765">
        <v>10</v>
      </c>
      <c r="F765" s="3">
        <v>2700</v>
      </c>
      <c r="J765">
        <v>0.41</v>
      </c>
      <c r="M765" s="21">
        <f t="shared" si="98"/>
        <v>27000</v>
      </c>
      <c r="N765" s="8">
        <f t="shared" si="96"/>
        <v>-27000</v>
      </c>
      <c r="O765" s="25">
        <f t="shared" si="101"/>
        <v>5086.6399999999267</v>
      </c>
      <c r="P765" s="8">
        <f t="shared" si="99"/>
        <v>0</v>
      </c>
      <c r="Q765" s="4">
        <f>IF(AND(S765&gt;=[1]eRRSP_Rpt!$C$6,S765&lt;=[1]eRRSP_Rpt!$C$7),1,0)</f>
        <v>1</v>
      </c>
      <c r="R765" s="4"/>
      <c r="S765" s="4">
        <f t="shared" si="97"/>
        <v>2012</v>
      </c>
      <c r="T765" s="4"/>
      <c r="U765" s="4" t="str">
        <f t="shared" si="100"/>
        <v>BuyTD INV SAV ACCT  /NL'FRAC</v>
      </c>
      <c r="V765" s="23">
        <f>IFERROR(IF(AND(AB765&gt;0,B765&lt;&gt;"Sell"),(AA765-SUMIF(C$4:C764,C765,AC$4:AC765))/AB765,0),"")</f>
        <v>-10</v>
      </c>
      <c r="W765" s="24" t="str">
        <f t="shared" si="95"/>
        <v/>
      </c>
      <c r="X765" s="25" t="str">
        <f t="shared" si="94"/>
        <v>TD INV SAV ACCT  /NL'FRAC_ACB</v>
      </c>
      <c r="Y765" s="10" t="str">
        <f>IF(S766&lt;&gt;eRRSP_Tx_Table[[#This Row],[Year]],SUMIFS($W$4:$W765,$S$4:$S765,eRRSP_Tx_Table[[#This Row],[Year]],$W$4:$W765,"&gt;0"),"")</f>
        <v/>
      </c>
      <c r="Z765" s="10" t="str">
        <f>IF(S766&lt;&gt;eRRSP_Tx_Table[[#This Row],[Year]],SUMIFS($W$4:$W765,$S$4:$S765,eRRSP_Tx_Table[[#This Row],[Year]],$W$4:$W765,"&lt;0"),"")</f>
        <v/>
      </c>
      <c r="AA765" s="3">
        <f>(SUMIF($U$4:$U765,CONCATENATE("Buy",$C765),$N$4:$N765)+SUMIF($U$4:$U765,CONCATENATE("ReinvDiv",$C765),$N$4:$N765))</f>
        <v>-27000</v>
      </c>
      <c r="AB765">
        <f>(SUMIF($U$4:$U765,CONCATENATE("Buy",$C765),$F$4:$F765)+SUMIF($U$4:$U765,CONCATENATE("ReinvDiv",$C765),$F$4:$F765)+SUMIF($U$4:$U765,CONCATENATE("StkSplit",$C765),$F$4:$F765)-SUMIF($U$4:$U765,CONCATENATE("Sell",$C765),$F$4:$F765))</f>
        <v>2700</v>
      </c>
      <c r="AC765" s="3">
        <f>IF(B765="Sell",F765*INDEX(V:V,LOOKUP(2,1/(X$4:X764=CONCATENATE(C765,"_ACB")),ROW(V$4:V764))),0)</f>
        <v>0</v>
      </c>
    </row>
    <row r="766" spans="1:29" x14ac:dyDescent="0.25">
      <c r="A766" s="20">
        <v>40984</v>
      </c>
      <c r="B766" t="s">
        <v>42</v>
      </c>
      <c r="C766" t="s">
        <v>87</v>
      </c>
      <c r="D766" s="3">
        <v>39.44</v>
      </c>
      <c r="J766">
        <v>134.32</v>
      </c>
      <c r="M766" s="21">
        <f t="shared" si="98"/>
        <v>39.44</v>
      </c>
      <c r="N766" s="8">
        <f t="shared" si="96"/>
        <v>39.44</v>
      </c>
      <c r="O766" s="25">
        <f t="shared" si="101"/>
        <v>5126.0799999999263</v>
      </c>
      <c r="P766" s="8">
        <f t="shared" si="99"/>
        <v>0</v>
      </c>
      <c r="Q766" s="4">
        <f>IF(AND(S766&gt;=[1]eRRSP_Rpt!$C$6,S766&lt;=[1]eRRSP_Rpt!$C$7),1,0)</f>
        <v>1</v>
      </c>
      <c r="R766" s="4"/>
      <c r="S766" s="4">
        <f t="shared" si="97"/>
        <v>2012</v>
      </c>
      <c r="T766" s="4"/>
      <c r="U766" s="4" t="str">
        <f t="shared" si="100"/>
        <v>DivAberdeen Asia Pacific Income Fund</v>
      </c>
      <c r="V766" s="23">
        <f>IFERROR(IF(AND(AB766&gt;0,B766&lt;&gt;"Sell"),(AA766-SUMIF(C$4:C765,C766,AC$4:AC766))/AB766,0),"")</f>
        <v>-7.4694020797227028</v>
      </c>
      <c r="W766" s="24" t="str">
        <f t="shared" si="95"/>
        <v/>
      </c>
      <c r="X766" s="25" t="str">
        <f t="shared" si="94"/>
        <v>Aberdeen Asia Pacific Income Fund_ACB</v>
      </c>
      <c r="Y766" s="10" t="str">
        <f>IF(S767&lt;&gt;eRRSP_Tx_Table[[#This Row],[Year]],SUMIFS($W$4:$W766,$S$4:$S766,eRRSP_Tx_Table[[#This Row],[Year]],$W$4:$W766,"&gt;0"),"")</f>
        <v/>
      </c>
      <c r="Z766" s="10" t="str">
        <f>IF(S767&lt;&gt;eRRSP_Tx_Table[[#This Row],[Year]],SUMIFS($W$4:$W766,$S$4:$S766,eRRSP_Tx_Table[[#This Row],[Year]],$W$4:$W766,"&lt;0"),"")</f>
        <v/>
      </c>
      <c r="AA766" s="3">
        <f>(SUMIF($U$4:$U766,CONCATENATE("Buy",$C766),$N$4:$N766)+SUMIF($U$4:$U766,CONCATENATE("ReinvDiv",$C766),$N$4:$N766))</f>
        <v>-8619.6899999999987</v>
      </c>
      <c r="AB766">
        <f>(SUMIF($U$4:$U766,CONCATENATE("Buy",$C766),$F$4:$F766)+SUMIF($U$4:$U766,CONCATENATE("ReinvDiv",$C766),$F$4:$F766)+SUMIF($U$4:$U766,CONCATENATE("StkSplit",$C766),$F$4:$F766)-SUMIF($U$4:$U766,CONCATENATE("Sell",$C766),$F$4:$F766))</f>
        <v>1154</v>
      </c>
      <c r="AC766" s="3">
        <f>IF(B766="Sell",F766*INDEX(V:V,LOOKUP(2,1/(X$4:X765=CONCATENATE(C766,"_ACB")),ROW(V$4:V765))),0)</f>
        <v>0</v>
      </c>
    </row>
    <row r="767" spans="1:29" x14ac:dyDescent="0.25">
      <c r="A767" s="20">
        <v>40984</v>
      </c>
      <c r="B767" t="s">
        <v>43</v>
      </c>
      <c r="C767" t="s">
        <v>36</v>
      </c>
      <c r="D767" s="3">
        <v>0.41</v>
      </c>
      <c r="J767">
        <v>16.77</v>
      </c>
      <c r="M767" s="21">
        <f t="shared" si="98"/>
        <v>0.41</v>
      </c>
      <c r="N767" s="8">
        <f t="shared" si="96"/>
        <v>0.41</v>
      </c>
      <c r="O767" s="25">
        <f t="shared" si="101"/>
        <v>5126.4899999999261</v>
      </c>
      <c r="P767" s="8">
        <f t="shared" si="99"/>
        <v>0</v>
      </c>
      <c r="Q767" s="4">
        <f>IF(AND(S767&gt;=[1]eRRSP_Rpt!$C$6,S767&lt;=[1]eRRSP_Rpt!$C$7),1,0)</f>
        <v>1</v>
      </c>
      <c r="R767" s="4"/>
      <c r="S767" s="4">
        <f t="shared" si="97"/>
        <v>2012</v>
      </c>
      <c r="T767" s="4"/>
      <c r="U767" s="4" t="str">
        <f t="shared" si="100"/>
        <v>IntIncTDW</v>
      </c>
      <c r="V767" s="23">
        <f>IFERROR(IF(AND(AB767&gt;0,B767&lt;&gt;"Sell"),(AA767-SUMIF(C$4:C766,C767,AC$4:AC767))/AB767,0),"")</f>
        <v>0</v>
      </c>
      <c r="W767" s="24" t="str">
        <f t="shared" si="95"/>
        <v/>
      </c>
      <c r="X767" s="25" t="str">
        <f t="shared" si="94"/>
        <v/>
      </c>
      <c r="Y767" s="10" t="str">
        <f>IF(S768&lt;&gt;eRRSP_Tx_Table[[#This Row],[Year]],SUMIFS($W$4:$W767,$S$4:$S767,eRRSP_Tx_Table[[#This Row],[Year]],$W$4:$W767,"&gt;0"),"")</f>
        <v/>
      </c>
      <c r="Z767" s="10" t="str">
        <f>IF(S768&lt;&gt;eRRSP_Tx_Table[[#This Row],[Year]],SUMIFS($W$4:$W767,$S$4:$S767,eRRSP_Tx_Table[[#This Row],[Year]],$W$4:$W767,"&lt;0"),"")</f>
        <v/>
      </c>
      <c r="AA767" s="3">
        <f>(SUMIF($U$4:$U767,CONCATENATE("Buy",$C767),$N$4:$N767)+SUMIF($U$4:$U767,CONCATENATE("ReinvDiv",$C767),$N$4:$N767))</f>
        <v>0</v>
      </c>
      <c r="AB767">
        <f>(SUMIF($U$4:$U767,CONCATENATE("Buy",$C767),$F$4:$F767)+SUMIF($U$4:$U767,CONCATENATE("ReinvDiv",$C767),$F$4:$F767)+SUMIF($U$4:$U767,CONCATENATE("StkSplit",$C767),$F$4:$F767)-SUMIF($U$4:$U767,CONCATENATE("Sell",$C767),$F$4:$F767))</f>
        <v>0</v>
      </c>
      <c r="AC767" s="3">
        <f>IF(B767="Sell",F767*INDEX(V:V,LOOKUP(2,1/(X$4:X766=CONCATENATE(C767,"_ACB")),ROW(V$4:V766))),0)</f>
        <v>0</v>
      </c>
    </row>
    <row r="768" spans="1:29" x14ac:dyDescent="0.25">
      <c r="A768" s="20">
        <v>40997</v>
      </c>
      <c r="B768" t="s">
        <v>41</v>
      </c>
      <c r="C768" t="s">
        <v>97</v>
      </c>
      <c r="D768" s="3">
        <v>134.32</v>
      </c>
      <c r="E768">
        <f>eRRSP_Tx_Table[[#This Row],[Amount]]/eRRSP_Tx_Table[[#This Row],[Quantity]]</f>
        <v>8.5201395496352674</v>
      </c>
      <c r="F768" s="3">
        <v>15.765000000000001</v>
      </c>
      <c r="J768">
        <v>25.89</v>
      </c>
      <c r="M768" s="21">
        <f t="shared" si="98"/>
        <v>134.32</v>
      </c>
      <c r="N768" s="8">
        <f t="shared" si="96"/>
        <v>-134.32</v>
      </c>
      <c r="O768" s="25">
        <f t="shared" si="101"/>
        <v>5126.4899999999261</v>
      </c>
      <c r="P768" s="8">
        <f t="shared" si="99"/>
        <v>0</v>
      </c>
      <c r="Q768" s="4">
        <f>IF(AND(S768&gt;=[1]eRRSP_Rpt!$C$6,S768&lt;=[1]eRRSP_Rpt!$C$7),1,0)</f>
        <v>1</v>
      </c>
      <c r="R768" s="4"/>
      <c r="S768" s="4">
        <f t="shared" si="97"/>
        <v>2012</v>
      </c>
      <c r="T768" s="4"/>
      <c r="U768" s="4" t="str">
        <f t="shared" si="100"/>
        <v>ReinvDivTD International Index - e</v>
      </c>
      <c r="V768" s="23">
        <f>IFERROR(IF(AND(AB768&gt;0,B768&lt;&gt;"Sell"),(AA768-SUMIF(C$4:C767,C768,AC$4:AC768))/AB768,0),"")</f>
        <v>-8.3454204628271764</v>
      </c>
      <c r="W768" s="24" t="str">
        <f t="shared" si="95"/>
        <v/>
      </c>
      <c r="X768" s="25" t="str">
        <f t="shared" si="94"/>
        <v>TD International Index - e_ACB</v>
      </c>
      <c r="Y768" s="10" t="str">
        <f>IF(S769&lt;&gt;eRRSP_Tx_Table[[#This Row],[Year]],SUMIFS($W$4:$W768,$S$4:$S768,eRRSP_Tx_Table[[#This Row],[Year]],$W$4:$W768,"&gt;0"),"")</f>
        <v/>
      </c>
      <c r="Z768" s="10" t="str">
        <f>IF(S769&lt;&gt;eRRSP_Tx_Table[[#This Row],[Year]],SUMIFS($W$4:$W768,$S$4:$S768,eRRSP_Tx_Table[[#This Row],[Year]],$W$4:$W768,"&lt;0"),"")</f>
        <v/>
      </c>
      <c r="AA768" s="3">
        <f>(SUMIF($U$4:$U768,CONCATENATE("Buy",$C768),$N$4:$N768)+SUMIF($U$4:$U768,CONCATENATE("ReinvDiv",$C768),$N$4:$N768))</f>
        <v>-28100.85</v>
      </c>
      <c r="AB768">
        <f>(SUMIF($U$4:$U768,CONCATENATE("Buy",$C768),$F$4:$F768)+SUMIF($U$4:$U768,CONCATENATE("ReinvDiv",$C768),$F$4:$F768)+SUMIF($U$4:$U768,CONCATENATE("StkSplit",$C768),$F$4:$F768)-SUMIF($U$4:$U768,CONCATENATE("Sell",$C768),$F$4:$F768))</f>
        <v>3367.2179999999998</v>
      </c>
      <c r="AC768" s="3">
        <f>IF(B768="Sell",F768*INDEX(V:V,LOOKUP(2,1/(X$4:X767=CONCATENATE(C768,"_ACB")),ROW(V$4:V767))),0)</f>
        <v>0</v>
      </c>
    </row>
    <row r="769" spans="1:29" x14ac:dyDescent="0.25">
      <c r="A769" s="20">
        <v>40997</v>
      </c>
      <c r="B769" t="s">
        <v>41</v>
      </c>
      <c r="C769" t="s">
        <v>62</v>
      </c>
      <c r="D769" s="3">
        <v>16.77</v>
      </c>
      <c r="E769">
        <v>18.090599999999998</v>
      </c>
      <c r="F769" s="3">
        <v>0.92700000000000005</v>
      </c>
      <c r="J769">
        <v>19.18</v>
      </c>
      <c r="M769" s="21">
        <f t="shared" si="98"/>
        <v>16.77</v>
      </c>
      <c r="N769" s="8">
        <f t="shared" si="96"/>
        <v>-16.77</v>
      </c>
      <c r="O769" s="25">
        <f t="shared" si="101"/>
        <v>5126.4899999999261</v>
      </c>
      <c r="P769" s="8">
        <f t="shared" si="99"/>
        <v>0</v>
      </c>
      <c r="Q769" s="4">
        <f>IF(AND(S769&gt;=[1]eRRSP_Rpt!$C$6,S769&lt;=[1]eRRSP_Rpt!$C$7),1,0)</f>
        <v>1</v>
      </c>
      <c r="R769" s="4"/>
      <c r="S769" s="4">
        <f t="shared" si="97"/>
        <v>2012</v>
      </c>
      <c r="T769" s="4"/>
      <c r="U769" s="4" t="str">
        <f t="shared" si="100"/>
        <v>ReinvDivTD RR Bond</v>
      </c>
      <c r="V769" s="23">
        <f>IFERROR(IF(AND(AB769&gt;0,B769&lt;&gt;"Sell"),(AA769-SUMIF(C$4:C768,C769,AC$4:AC769))/AB769,0),"")</f>
        <v>-14.365543302862037</v>
      </c>
      <c r="W769" s="24" t="str">
        <f t="shared" si="95"/>
        <v/>
      </c>
      <c r="X769" s="25" t="str">
        <f t="shared" si="94"/>
        <v>TD RR Bond_ACB</v>
      </c>
      <c r="Y769" s="10" t="str">
        <f>IF(S770&lt;&gt;eRRSP_Tx_Table[[#This Row],[Year]],SUMIFS($W$4:$W769,$S$4:$S769,eRRSP_Tx_Table[[#This Row],[Year]],$W$4:$W769,"&gt;0"),"")</f>
        <v/>
      </c>
      <c r="Z769" s="10" t="str">
        <f>IF(S770&lt;&gt;eRRSP_Tx_Table[[#This Row],[Year]],SUMIFS($W$4:$W769,$S$4:$S769,eRRSP_Tx_Table[[#This Row],[Year]],$W$4:$W769,"&lt;0"),"")</f>
        <v/>
      </c>
      <c r="AA769" s="3">
        <f>(SUMIF($U$4:$U769,CONCATENATE("Buy",$C769),$N$4:$N769)+SUMIF($U$4:$U769,CONCATENATE("ReinvDiv",$C769),$N$4:$N769))</f>
        <v>-10495.939999999999</v>
      </c>
      <c r="AB769">
        <f>(SUMIF($U$4:$U769,CONCATENATE("Buy",$C769),$F$4:$F769)+SUMIF($U$4:$U769,CONCATENATE("ReinvDiv",$C769),$F$4:$F769)+SUMIF($U$4:$U769,CONCATENATE("StkSplit",$C769),$F$4:$F769)-SUMIF($U$4:$U769,CONCATENATE("Sell",$C769),$F$4:$F769))</f>
        <v>730.63300000000004</v>
      </c>
      <c r="AC769" s="3">
        <f>IF(B769="Sell",F769*INDEX(V:V,LOOKUP(2,1/(X$4:X768=CONCATENATE(C769,"_ACB")),ROW(V$4:V768))),0)</f>
        <v>0</v>
      </c>
    </row>
    <row r="770" spans="1:29" x14ac:dyDescent="0.25">
      <c r="A770" s="20">
        <v>40998</v>
      </c>
      <c r="B770" t="s">
        <v>43</v>
      </c>
      <c r="C770" t="s">
        <v>99</v>
      </c>
      <c r="D770" s="3">
        <v>25.89</v>
      </c>
      <c r="J770">
        <v>0.76</v>
      </c>
      <c r="M770" s="21">
        <f t="shared" si="98"/>
        <v>25.89</v>
      </c>
      <c r="N770" s="8">
        <f t="shared" si="96"/>
        <v>25.89</v>
      </c>
      <c r="O770" s="25">
        <f t="shared" si="101"/>
        <v>5152.3799999999264</v>
      </c>
      <c r="P770" s="8">
        <f t="shared" si="99"/>
        <v>0</v>
      </c>
      <c r="Q770" s="4">
        <f>IF(AND(S770&gt;=[1]eRRSP_Rpt!$C$6,S770&lt;=[1]eRRSP_Rpt!$C$7),1,0)</f>
        <v>1</v>
      </c>
      <c r="R770" s="4"/>
      <c r="S770" s="4">
        <f t="shared" si="97"/>
        <v>2012</v>
      </c>
      <c r="T770" s="4"/>
      <c r="U770" s="4" t="str">
        <f t="shared" si="100"/>
        <v>IntIncTD INV SAV ACCT  /NL'FRAC</v>
      </c>
      <c r="V770" s="23">
        <f>IFERROR(IF(AND(AB770&gt;0,B770&lt;&gt;"Sell"),(AA770-SUMIF(C$4:C769,C770,AC$4:AC770))/AB770,0),"")</f>
        <v>-10</v>
      </c>
      <c r="W770" s="24" t="str">
        <f t="shared" si="95"/>
        <v/>
      </c>
      <c r="X770" s="25" t="str">
        <f t="shared" si="94"/>
        <v>TD INV SAV ACCT  /NL'FRAC_ACB</v>
      </c>
      <c r="Y770" s="10" t="str">
        <f>IF(S771&lt;&gt;eRRSP_Tx_Table[[#This Row],[Year]],SUMIFS($W$4:$W770,$S$4:$S770,eRRSP_Tx_Table[[#This Row],[Year]],$W$4:$W770,"&gt;0"),"")</f>
        <v/>
      </c>
      <c r="Z770" s="10" t="str">
        <f>IF(S771&lt;&gt;eRRSP_Tx_Table[[#This Row],[Year]],SUMIFS($W$4:$W770,$S$4:$S770,eRRSP_Tx_Table[[#This Row],[Year]],$W$4:$W770,"&lt;0"),"")</f>
        <v/>
      </c>
      <c r="AA770" s="3">
        <f>(SUMIF($U$4:$U770,CONCATENATE("Buy",$C770),$N$4:$N770)+SUMIF($U$4:$U770,CONCATENATE("ReinvDiv",$C770),$N$4:$N770))</f>
        <v>-27000</v>
      </c>
      <c r="AB770">
        <f>(SUMIF($U$4:$U770,CONCATENATE("Buy",$C770),$F$4:$F770)+SUMIF($U$4:$U770,CONCATENATE("ReinvDiv",$C770),$F$4:$F770)+SUMIF($U$4:$U770,CONCATENATE("StkSplit",$C770),$F$4:$F770)-SUMIF($U$4:$U770,CONCATENATE("Sell",$C770),$F$4:$F770))</f>
        <v>2700</v>
      </c>
      <c r="AC770" s="3">
        <f>IF(B770="Sell",F770*INDEX(V:V,LOOKUP(2,1/(X$4:X769=CONCATENATE(C770,"_ACB")),ROW(V$4:V769))),0)</f>
        <v>0</v>
      </c>
    </row>
    <row r="771" spans="1:29" x14ac:dyDescent="0.25">
      <c r="A771" s="20">
        <v>40998</v>
      </c>
      <c r="B771" t="s">
        <v>42</v>
      </c>
      <c r="C771" t="s">
        <v>90</v>
      </c>
      <c r="D771" s="3">
        <v>19.18</v>
      </c>
      <c r="J771">
        <v>39.6</v>
      </c>
      <c r="M771" s="21">
        <f t="shared" si="98"/>
        <v>19.18</v>
      </c>
      <c r="N771" s="8">
        <f t="shared" si="96"/>
        <v>19.18</v>
      </c>
      <c r="O771" s="25">
        <f t="shared" si="101"/>
        <v>5171.5599999999267</v>
      </c>
      <c r="P771" s="8">
        <f t="shared" si="99"/>
        <v>0</v>
      </c>
      <c r="Q771" s="4">
        <f>IF(AND(S771&gt;=[1]eRRSP_Rpt!$C$6,S771&lt;=[1]eRRSP_Rpt!$C$7),1,0)</f>
        <v>1</v>
      </c>
      <c r="R771" s="4"/>
      <c r="S771" s="4">
        <f t="shared" si="97"/>
        <v>2012</v>
      </c>
      <c r="T771" s="4"/>
      <c r="U771" s="4" t="str">
        <f t="shared" si="100"/>
        <v>DivVanguard Large Cap ETF</v>
      </c>
      <c r="V771" s="23">
        <f>IFERROR(IF(AND(AB771&gt;0,B771&lt;&gt;"Sell"),(AA771-SUMIF(C$4:C770,C771,AC$4:AC771))/AB771,0),"")</f>
        <v>-74.401142857142858</v>
      </c>
      <c r="W771" s="24" t="str">
        <f t="shared" si="95"/>
        <v/>
      </c>
      <c r="X771" s="25" t="str">
        <f t="shared" si="94"/>
        <v>Vanguard Large Cap ETF_ACB</v>
      </c>
      <c r="Y771" s="10" t="str">
        <f>IF(S772&lt;&gt;eRRSP_Tx_Table[[#This Row],[Year]],SUMIFS($W$4:$W771,$S$4:$S771,eRRSP_Tx_Table[[#This Row],[Year]],$W$4:$W771,"&gt;0"),"")</f>
        <v/>
      </c>
      <c r="Z771" s="10" t="str">
        <f>IF(S772&lt;&gt;eRRSP_Tx_Table[[#This Row],[Year]],SUMIFS($W$4:$W771,$S$4:$S771,eRRSP_Tx_Table[[#This Row],[Year]],$W$4:$W771,"&lt;0"),"")</f>
        <v/>
      </c>
      <c r="AA771" s="3">
        <f>(SUMIF($U$4:$U771,CONCATENATE("Buy",$C771),$N$4:$N771)+SUMIF($U$4:$U771,CONCATENATE("ReinvDiv",$C771),$N$4:$N771))</f>
        <v>-5208.08</v>
      </c>
      <c r="AB771">
        <f>(SUMIF($U$4:$U771,CONCATENATE("Buy",$C771),$F$4:$F771)+SUMIF($U$4:$U771,CONCATENATE("ReinvDiv",$C771),$F$4:$F771)+SUMIF($U$4:$U771,CONCATENATE("StkSplit",$C771),$F$4:$F771)-SUMIF($U$4:$U771,CONCATENATE("Sell",$C771),$F$4:$F771))</f>
        <v>70</v>
      </c>
      <c r="AC771" s="3">
        <f>IF(B771="Sell",F771*INDEX(V:V,LOOKUP(2,1/(X$4:X770=CONCATENATE(C771,"_ACB")),ROW(V$4:V770))),0)</f>
        <v>0</v>
      </c>
    </row>
    <row r="772" spans="1:29" x14ac:dyDescent="0.25">
      <c r="A772" s="20">
        <v>40999</v>
      </c>
      <c r="B772" t="s">
        <v>42</v>
      </c>
      <c r="C772" t="s">
        <v>47</v>
      </c>
      <c r="D772" s="3">
        <v>0.76</v>
      </c>
      <c r="J772">
        <v>0.1</v>
      </c>
      <c r="M772" s="21">
        <f t="shared" si="98"/>
        <v>0.76</v>
      </c>
      <c r="N772" s="8">
        <f t="shared" si="96"/>
        <v>0.76</v>
      </c>
      <c r="O772" s="25">
        <f t="shared" si="101"/>
        <v>5172.3199999999269</v>
      </c>
      <c r="P772" s="8">
        <f t="shared" si="99"/>
        <v>0</v>
      </c>
      <c r="Q772" s="4">
        <f>IF(AND(S772&gt;=[1]eRRSP_Rpt!$C$6,S772&lt;=[1]eRRSP_Rpt!$C$7),1,0)</f>
        <v>1</v>
      </c>
      <c r="R772" s="4"/>
      <c r="S772" s="4">
        <f t="shared" si="97"/>
        <v>2012</v>
      </c>
      <c r="T772" s="4"/>
      <c r="U772" s="4" t="str">
        <f t="shared" si="100"/>
        <v>DivBombardier</v>
      </c>
      <c r="V772" s="23">
        <f>IFERROR(IF(AND(AB772&gt;0,B772&lt;&gt;"Sell"),(AA772-SUMIF(C$4:C771,C772,AC$4:AC772))/AB772,0),"")</f>
        <v>-23.216666666666665</v>
      </c>
      <c r="W772" s="24" t="str">
        <f t="shared" si="95"/>
        <v/>
      </c>
      <c r="X772" s="25" t="str">
        <f t="shared" ref="X772:X835" si="102">IF(V772,CONCATENATE(C772,"_ACB"),"")</f>
        <v>Bombardier_ACB</v>
      </c>
      <c r="Y772" s="10" t="str">
        <f>IF(S773&lt;&gt;eRRSP_Tx_Table[[#This Row],[Year]],SUMIFS($W$4:$W772,$S$4:$S772,eRRSP_Tx_Table[[#This Row],[Year]],$W$4:$W772,"&gt;0"),"")</f>
        <v/>
      </c>
      <c r="Z772" s="10" t="str">
        <f>IF(S773&lt;&gt;eRRSP_Tx_Table[[#This Row],[Year]],SUMIFS($W$4:$W772,$S$4:$S772,eRRSP_Tx_Table[[#This Row],[Year]],$W$4:$W772,"&lt;0"),"")</f>
        <v/>
      </c>
      <c r="AA772" s="3">
        <f>(SUMIF($U$4:$U772,CONCATENATE("Buy",$C772),$N$4:$N772)+SUMIF($U$4:$U772,CONCATENATE("ReinvDiv",$C772),$N$4:$N772))</f>
        <v>-696.5</v>
      </c>
      <c r="AB772">
        <f>(SUMIF($U$4:$U772,CONCATENATE("Buy",$C772),$F$4:$F772)+SUMIF($U$4:$U772,CONCATENATE("ReinvDiv",$C772),$F$4:$F772)+SUMIF($U$4:$U772,CONCATENATE("StkSplit",$C772),$F$4:$F772)-SUMIF($U$4:$U772,CONCATENATE("Sell",$C772),$F$4:$F772))</f>
        <v>30</v>
      </c>
      <c r="AC772" s="3">
        <f>IF(B772="Sell",F772*INDEX(V:V,LOOKUP(2,1/(X$4:X771=CONCATENATE(C772,"_ACB")),ROW(V$4:V771))),0)</f>
        <v>0</v>
      </c>
    </row>
    <row r="773" spans="1:29" x14ac:dyDescent="0.25">
      <c r="A773" s="20">
        <v>41012</v>
      </c>
      <c r="B773" t="s">
        <v>42</v>
      </c>
      <c r="C773" t="s">
        <v>87</v>
      </c>
      <c r="D773" s="3">
        <v>39.6</v>
      </c>
      <c r="J773">
        <v>14.4</v>
      </c>
      <c r="M773" s="21">
        <f t="shared" si="98"/>
        <v>39.6</v>
      </c>
      <c r="N773" s="8">
        <f t="shared" si="96"/>
        <v>39.6</v>
      </c>
      <c r="O773" s="25">
        <f t="shared" si="101"/>
        <v>5211.9199999999273</v>
      </c>
      <c r="P773" s="8">
        <f t="shared" si="99"/>
        <v>0</v>
      </c>
      <c r="Q773" s="4">
        <f>IF(AND(S773&gt;=[1]eRRSP_Rpt!$C$6,S773&lt;=[1]eRRSP_Rpt!$C$7),1,0)</f>
        <v>1</v>
      </c>
      <c r="R773" s="4"/>
      <c r="S773" s="4">
        <f t="shared" si="97"/>
        <v>2012</v>
      </c>
      <c r="T773" s="4"/>
      <c r="U773" s="4" t="str">
        <f t="shared" si="100"/>
        <v>DivAberdeen Asia Pacific Income Fund</v>
      </c>
      <c r="V773" s="23">
        <f>IFERROR(IF(AND(AB773&gt;0,B773&lt;&gt;"Sell"),(AA773-SUMIF(C$4:C772,C773,AC$4:AC773))/AB773,0),"")</f>
        <v>-7.4694020797227028</v>
      </c>
      <c r="W773" s="24" t="str">
        <f t="shared" ref="W773:W836" si="103">IF(B773="Sell",N773+AC773,"")</f>
        <v/>
      </c>
      <c r="X773" s="25" t="str">
        <f t="shared" si="102"/>
        <v>Aberdeen Asia Pacific Income Fund_ACB</v>
      </c>
      <c r="Y773" s="10" t="str">
        <f>IF(S774&lt;&gt;eRRSP_Tx_Table[[#This Row],[Year]],SUMIFS($W$4:$W773,$S$4:$S773,eRRSP_Tx_Table[[#This Row],[Year]],$W$4:$W773,"&gt;0"),"")</f>
        <v/>
      </c>
      <c r="Z773" s="10" t="str">
        <f>IF(S774&lt;&gt;eRRSP_Tx_Table[[#This Row],[Year]],SUMIFS($W$4:$W773,$S$4:$S773,eRRSP_Tx_Table[[#This Row],[Year]],$W$4:$W773,"&lt;0"),"")</f>
        <v/>
      </c>
      <c r="AA773" s="3">
        <f>(SUMIF($U$4:$U773,CONCATENATE("Buy",$C773),$N$4:$N773)+SUMIF($U$4:$U773,CONCATENATE("ReinvDiv",$C773),$N$4:$N773))</f>
        <v>-8619.6899999999987</v>
      </c>
      <c r="AB773">
        <f>(SUMIF($U$4:$U773,CONCATENATE("Buy",$C773),$F$4:$F773)+SUMIF($U$4:$U773,CONCATENATE("ReinvDiv",$C773),$F$4:$F773)+SUMIF($U$4:$U773,CONCATENATE("StkSplit",$C773),$F$4:$F773)-SUMIF($U$4:$U773,CONCATENATE("Sell",$C773),$F$4:$F773))</f>
        <v>1154</v>
      </c>
      <c r="AC773" s="3">
        <f>IF(B773="Sell",F773*INDEX(V:V,LOOKUP(2,1/(X$4:X772=CONCATENATE(C773,"_ACB")),ROW(V$4:V772))),0)</f>
        <v>0</v>
      </c>
    </row>
    <row r="774" spans="1:29" x14ac:dyDescent="0.25">
      <c r="A774" s="20">
        <v>41015</v>
      </c>
      <c r="B774" t="s">
        <v>43</v>
      </c>
      <c r="C774" t="s">
        <v>36</v>
      </c>
      <c r="D774" s="3">
        <v>0.1</v>
      </c>
      <c r="J774">
        <v>26.81</v>
      </c>
      <c r="M774" s="21">
        <f t="shared" si="98"/>
        <v>0.1</v>
      </c>
      <c r="N774" s="8">
        <f t="shared" si="96"/>
        <v>0.1</v>
      </c>
      <c r="O774" s="25">
        <f t="shared" si="101"/>
        <v>5212.0199999999277</v>
      </c>
      <c r="P774" s="8">
        <f t="shared" si="99"/>
        <v>0</v>
      </c>
      <c r="Q774" s="4">
        <f>IF(AND(S774&gt;=[1]eRRSP_Rpt!$C$6,S774&lt;=[1]eRRSP_Rpt!$C$7),1,0)</f>
        <v>1</v>
      </c>
      <c r="R774" s="4"/>
      <c r="S774" s="4">
        <f t="shared" si="97"/>
        <v>2012</v>
      </c>
      <c r="T774" s="4"/>
      <c r="U774" s="4" t="str">
        <f t="shared" si="100"/>
        <v>IntIncTDW</v>
      </c>
      <c r="V774" s="23">
        <f>IFERROR(IF(AND(AB774&gt;0,B774&lt;&gt;"Sell"),(AA774-SUMIF(C$4:C773,C774,AC$4:AC774))/AB774,0),"")</f>
        <v>0</v>
      </c>
      <c r="W774" s="24" t="str">
        <f t="shared" si="103"/>
        <v/>
      </c>
      <c r="X774" s="25" t="str">
        <f t="shared" si="102"/>
        <v/>
      </c>
      <c r="Y774" s="10" t="str">
        <f>IF(S775&lt;&gt;eRRSP_Tx_Table[[#This Row],[Year]],SUMIFS($W$4:$W774,$S$4:$S774,eRRSP_Tx_Table[[#This Row],[Year]],$W$4:$W774,"&gt;0"),"")</f>
        <v/>
      </c>
      <c r="Z774" s="10" t="str">
        <f>IF(S775&lt;&gt;eRRSP_Tx_Table[[#This Row],[Year]],SUMIFS($W$4:$W774,$S$4:$S774,eRRSP_Tx_Table[[#This Row],[Year]],$W$4:$W774,"&lt;0"),"")</f>
        <v/>
      </c>
      <c r="AA774" s="3">
        <f>(SUMIF($U$4:$U774,CONCATENATE("Buy",$C774),$N$4:$N774)+SUMIF($U$4:$U774,CONCATENATE("ReinvDiv",$C774),$N$4:$N774))</f>
        <v>0</v>
      </c>
      <c r="AB774">
        <f>(SUMIF($U$4:$U774,CONCATENATE("Buy",$C774),$F$4:$F774)+SUMIF($U$4:$U774,CONCATENATE("ReinvDiv",$C774),$F$4:$F774)+SUMIF($U$4:$U774,CONCATENATE("StkSplit",$C774),$F$4:$F774)-SUMIF($U$4:$U774,CONCATENATE("Sell",$C774),$F$4:$F774))</f>
        <v>0</v>
      </c>
      <c r="AC774" s="3">
        <f>IF(B774="Sell",F774*INDEX(V:V,LOOKUP(2,1/(X$4:X773=CONCATENATE(C774,"_ACB")),ROW(V$4:V773))),0)</f>
        <v>0</v>
      </c>
    </row>
    <row r="775" spans="1:29" x14ac:dyDescent="0.25">
      <c r="A775" s="20">
        <v>41029</v>
      </c>
      <c r="B775" t="s">
        <v>42</v>
      </c>
      <c r="C775" t="s">
        <v>45</v>
      </c>
      <c r="D775" s="3">
        <v>14.4</v>
      </c>
      <c r="J775">
        <v>39.74</v>
      </c>
      <c r="M775" s="21">
        <f t="shared" si="98"/>
        <v>14.4</v>
      </c>
      <c r="N775" s="8">
        <f t="shared" si="96"/>
        <v>14.4</v>
      </c>
      <c r="O775" s="25">
        <f t="shared" si="101"/>
        <v>5226.4199999999273</v>
      </c>
      <c r="P775" s="8">
        <f t="shared" si="99"/>
        <v>0</v>
      </c>
      <c r="Q775" s="4">
        <f>IF(AND(S775&gt;=[1]eRRSP_Rpt!$C$6,S775&lt;=[1]eRRSP_Rpt!$C$7),1,0)</f>
        <v>1</v>
      </c>
      <c r="R775" s="4"/>
      <c r="S775" s="4">
        <f t="shared" si="97"/>
        <v>2012</v>
      </c>
      <c r="T775" s="4"/>
      <c r="U775" s="4" t="str">
        <f t="shared" si="100"/>
        <v>DivTD Bank</v>
      </c>
      <c r="V775" s="23">
        <f>IFERROR(IF(AND(AB775&gt;0,B775&lt;&gt;"Sell"),(AA775-SUMIF(C$4:C774,C775,AC$4:AC775))/AB775,0),"")</f>
        <v>-44.29</v>
      </c>
      <c r="W775" s="24" t="str">
        <f t="shared" si="103"/>
        <v/>
      </c>
      <c r="X775" s="25" t="str">
        <f t="shared" si="102"/>
        <v>TD Bank_ACB</v>
      </c>
      <c r="Y775" s="10" t="str">
        <f>IF(S776&lt;&gt;eRRSP_Tx_Table[[#This Row],[Year]],SUMIFS($W$4:$W775,$S$4:$S775,eRRSP_Tx_Table[[#This Row],[Year]],$W$4:$W775,"&gt;0"),"")</f>
        <v/>
      </c>
      <c r="Z775" s="10" t="str">
        <f>IF(S776&lt;&gt;eRRSP_Tx_Table[[#This Row],[Year]],SUMIFS($W$4:$W775,$S$4:$S775,eRRSP_Tx_Table[[#This Row],[Year]],$W$4:$W775,"&lt;0"),"")</f>
        <v/>
      </c>
      <c r="AA775" s="3">
        <f>(SUMIF($U$4:$U775,CONCATENATE("Buy",$C775),$N$4:$N775)+SUMIF($U$4:$U775,CONCATENATE("ReinvDiv",$C775),$N$4:$N775))</f>
        <v>-885.8</v>
      </c>
      <c r="AB775">
        <f>(SUMIF($U$4:$U775,CONCATENATE("Buy",$C775),$F$4:$F775)+SUMIF($U$4:$U775,CONCATENATE("ReinvDiv",$C775),$F$4:$F775)+SUMIF($U$4:$U775,CONCATENATE("StkSplit",$C775),$F$4:$F775)-SUMIF($U$4:$U775,CONCATENATE("Sell",$C775),$F$4:$F775))</f>
        <v>20</v>
      </c>
      <c r="AC775" s="3">
        <f>IF(B775="Sell",F775*INDEX(V:V,LOOKUP(2,1/(X$4:X774=CONCATENATE(C775,"_ACB")),ROW(V$4:V774))),0)</f>
        <v>0</v>
      </c>
    </row>
    <row r="776" spans="1:29" x14ac:dyDescent="0.25">
      <c r="A776" s="20">
        <v>41029</v>
      </c>
      <c r="B776" t="s">
        <v>43</v>
      </c>
      <c r="C776" t="s">
        <v>99</v>
      </c>
      <c r="D776" s="3">
        <v>26.81</v>
      </c>
      <c r="J776">
        <v>0.1</v>
      </c>
      <c r="M776" s="21">
        <f t="shared" si="98"/>
        <v>26.81</v>
      </c>
      <c r="N776" s="8">
        <f t="shared" si="96"/>
        <v>26.81</v>
      </c>
      <c r="O776" s="25">
        <f t="shared" si="101"/>
        <v>5253.2299999999277</v>
      </c>
      <c r="P776" s="8">
        <f t="shared" si="99"/>
        <v>0</v>
      </c>
      <c r="Q776" s="4">
        <f>IF(AND(S776&gt;=[1]eRRSP_Rpt!$C$6,S776&lt;=[1]eRRSP_Rpt!$C$7),1,0)</f>
        <v>1</v>
      </c>
      <c r="R776" s="4"/>
      <c r="S776" s="4">
        <f t="shared" si="97"/>
        <v>2012</v>
      </c>
      <c r="T776" s="4"/>
      <c r="U776" s="4" t="str">
        <f t="shared" si="100"/>
        <v>IntIncTD INV SAV ACCT  /NL'FRAC</v>
      </c>
      <c r="V776" s="23">
        <f>IFERROR(IF(AND(AB776&gt;0,B776&lt;&gt;"Sell"),(AA776-SUMIF(C$4:C775,C776,AC$4:AC776))/AB776,0),"")</f>
        <v>-10</v>
      </c>
      <c r="W776" s="24" t="str">
        <f t="shared" si="103"/>
        <v/>
      </c>
      <c r="X776" s="25" t="str">
        <f t="shared" si="102"/>
        <v>TD INV SAV ACCT  /NL'FRAC_ACB</v>
      </c>
      <c r="Y776" s="10" t="str">
        <f>IF(S777&lt;&gt;eRRSP_Tx_Table[[#This Row],[Year]],SUMIFS($W$4:$W776,$S$4:$S776,eRRSP_Tx_Table[[#This Row],[Year]],$W$4:$W776,"&gt;0"),"")</f>
        <v/>
      </c>
      <c r="Z776" s="10" t="str">
        <f>IF(S777&lt;&gt;eRRSP_Tx_Table[[#This Row],[Year]],SUMIFS($W$4:$W776,$S$4:$S776,eRRSP_Tx_Table[[#This Row],[Year]],$W$4:$W776,"&lt;0"),"")</f>
        <v/>
      </c>
      <c r="AA776" s="3">
        <f>(SUMIF($U$4:$U776,CONCATENATE("Buy",$C776),$N$4:$N776)+SUMIF($U$4:$U776,CONCATENATE("ReinvDiv",$C776),$N$4:$N776))</f>
        <v>-27000</v>
      </c>
      <c r="AB776">
        <f>(SUMIF($U$4:$U776,CONCATENATE("Buy",$C776),$F$4:$F776)+SUMIF($U$4:$U776,CONCATENATE("ReinvDiv",$C776),$F$4:$F776)+SUMIF($U$4:$U776,CONCATENATE("StkSplit",$C776),$F$4:$F776)-SUMIF($U$4:$U776,CONCATENATE("Sell",$C776),$F$4:$F776))</f>
        <v>2700</v>
      </c>
      <c r="AC776" s="3">
        <f>IF(B776="Sell",F776*INDEX(V:V,LOOKUP(2,1/(X$4:X775=CONCATENATE(C776,"_ACB")),ROW(V$4:V775))),0)</f>
        <v>0</v>
      </c>
    </row>
    <row r="777" spans="1:29" x14ac:dyDescent="0.25">
      <c r="A777" s="20">
        <v>41040</v>
      </c>
      <c r="B777" t="s">
        <v>42</v>
      </c>
      <c r="C777" t="s">
        <v>87</v>
      </c>
      <c r="D777" s="3">
        <v>39.74</v>
      </c>
      <c r="J777">
        <v>28.66</v>
      </c>
      <c r="M777" s="21">
        <f t="shared" si="98"/>
        <v>39.74</v>
      </c>
      <c r="N777" s="8">
        <f t="shared" si="96"/>
        <v>39.74</v>
      </c>
      <c r="O777" s="25">
        <f t="shared" si="101"/>
        <v>5292.9699999999275</v>
      </c>
      <c r="P777" s="8">
        <f t="shared" si="99"/>
        <v>0</v>
      </c>
      <c r="Q777" s="4">
        <f>IF(AND(S777&gt;=[1]eRRSP_Rpt!$C$6,S777&lt;=[1]eRRSP_Rpt!$C$7),1,0)</f>
        <v>1</v>
      </c>
      <c r="R777" s="4"/>
      <c r="S777" s="4">
        <f t="shared" si="97"/>
        <v>2012</v>
      </c>
      <c r="T777" s="4"/>
      <c r="U777" s="4" t="str">
        <f t="shared" si="100"/>
        <v>DivAberdeen Asia Pacific Income Fund</v>
      </c>
      <c r="V777" s="23">
        <f>IFERROR(IF(AND(AB777&gt;0,B777&lt;&gt;"Sell"),(AA777-SUMIF(C$4:C776,C777,AC$4:AC777))/AB777,0),"")</f>
        <v>-7.4694020797227028</v>
      </c>
      <c r="W777" s="24" t="str">
        <f t="shared" si="103"/>
        <v/>
      </c>
      <c r="X777" s="25" t="str">
        <f t="shared" si="102"/>
        <v>Aberdeen Asia Pacific Income Fund_ACB</v>
      </c>
      <c r="Y777" s="10" t="str">
        <f>IF(S778&lt;&gt;eRRSP_Tx_Table[[#This Row],[Year]],SUMIFS($W$4:$W777,$S$4:$S777,eRRSP_Tx_Table[[#This Row],[Year]],$W$4:$W777,"&gt;0"),"")</f>
        <v/>
      </c>
      <c r="Z777" s="10" t="str">
        <f>IF(S778&lt;&gt;eRRSP_Tx_Table[[#This Row],[Year]],SUMIFS($W$4:$W777,$S$4:$S777,eRRSP_Tx_Table[[#This Row],[Year]],$W$4:$W777,"&lt;0"),"")</f>
        <v/>
      </c>
      <c r="AA777" s="3">
        <f>(SUMIF($U$4:$U777,CONCATENATE("Buy",$C777),$N$4:$N777)+SUMIF($U$4:$U777,CONCATENATE("ReinvDiv",$C777),$N$4:$N777))</f>
        <v>-8619.6899999999987</v>
      </c>
      <c r="AB777">
        <f>(SUMIF($U$4:$U777,CONCATENATE("Buy",$C777),$F$4:$F777)+SUMIF($U$4:$U777,CONCATENATE("ReinvDiv",$C777),$F$4:$F777)+SUMIF($U$4:$U777,CONCATENATE("StkSplit",$C777),$F$4:$F777)-SUMIF($U$4:$U777,CONCATENATE("Sell",$C777),$F$4:$F777))</f>
        <v>1154</v>
      </c>
      <c r="AC777" s="3">
        <f>IF(B777="Sell",F777*INDEX(V:V,LOOKUP(2,1/(X$4:X776=CONCATENATE(C777,"_ACB")),ROW(V$4:V776))),0)</f>
        <v>0</v>
      </c>
    </row>
    <row r="778" spans="1:29" x14ac:dyDescent="0.25">
      <c r="A778" s="20">
        <v>41045</v>
      </c>
      <c r="B778" t="s">
        <v>43</v>
      </c>
      <c r="C778" t="s">
        <v>36</v>
      </c>
      <c r="D778" s="3">
        <v>0.1</v>
      </c>
      <c r="J778">
        <v>15.67</v>
      </c>
      <c r="M778" s="21">
        <f t="shared" si="98"/>
        <v>0.1</v>
      </c>
      <c r="N778" s="8">
        <f t="shared" ref="N778:N841" si="104">IF(OR(B778="Buy",B778="ReinvDiv"),-M778-G778,M778-G778)</f>
        <v>0.1</v>
      </c>
      <c r="O778" s="25">
        <f t="shared" si="101"/>
        <v>5293.0699999999279</v>
      </c>
      <c r="P778" s="8">
        <f t="shared" si="99"/>
        <v>0</v>
      </c>
      <c r="Q778" s="4">
        <f>IF(AND(S778&gt;=[1]eRRSP_Rpt!$C$6,S778&lt;=[1]eRRSP_Rpt!$C$7),1,0)</f>
        <v>1</v>
      </c>
      <c r="R778" s="4"/>
      <c r="S778" s="4">
        <f t="shared" si="97"/>
        <v>2012</v>
      </c>
      <c r="T778" s="4"/>
      <c r="U778" s="4" t="str">
        <f t="shared" si="100"/>
        <v>IntIncTDW</v>
      </c>
      <c r="V778" s="23">
        <f>IFERROR(IF(AND(AB778&gt;0,B778&lt;&gt;"Sell"),(AA778-SUMIF(C$4:C777,C778,AC$4:AC778))/AB778,0),"")</f>
        <v>0</v>
      </c>
      <c r="W778" s="24" t="str">
        <f t="shared" si="103"/>
        <v/>
      </c>
      <c r="X778" s="25" t="str">
        <f t="shared" si="102"/>
        <v/>
      </c>
      <c r="Y778" s="10" t="str">
        <f>IF(S779&lt;&gt;eRRSP_Tx_Table[[#This Row],[Year]],SUMIFS($W$4:$W778,$S$4:$S778,eRRSP_Tx_Table[[#This Row],[Year]],$W$4:$W778,"&gt;0"),"")</f>
        <v/>
      </c>
      <c r="Z778" s="10" t="str">
        <f>IF(S779&lt;&gt;eRRSP_Tx_Table[[#This Row],[Year]],SUMIFS($W$4:$W778,$S$4:$S778,eRRSP_Tx_Table[[#This Row],[Year]],$W$4:$W778,"&lt;0"),"")</f>
        <v/>
      </c>
      <c r="AA778" s="3">
        <f>(SUMIF($U$4:$U778,CONCATENATE("Buy",$C778),$N$4:$N778)+SUMIF($U$4:$U778,CONCATENATE("ReinvDiv",$C778),$N$4:$N778))</f>
        <v>0</v>
      </c>
      <c r="AB778">
        <f>(SUMIF($U$4:$U778,CONCATENATE("Buy",$C778),$F$4:$F778)+SUMIF($U$4:$U778,CONCATENATE("ReinvDiv",$C778),$F$4:$F778)+SUMIF($U$4:$U778,CONCATENATE("StkSplit",$C778),$F$4:$F778)-SUMIF($U$4:$U778,CONCATENATE("Sell",$C778),$F$4:$F778))</f>
        <v>0</v>
      </c>
      <c r="AC778" s="3">
        <f>IF(B778="Sell",F778*INDEX(V:V,LOOKUP(2,1/(X$4:X777=CONCATENATE(C778,"_ACB")),ROW(V$4:V777))),0)</f>
        <v>0</v>
      </c>
    </row>
    <row r="779" spans="1:29" x14ac:dyDescent="0.25">
      <c r="A779" s="20">
        <v>41060</v>
      </c>
      <c r="B779" t="s">
        <v>43</v>
      </c>
      <c r="C779" t="s">
        <v>99</v>
      </c>
      <c r="D779" s="3">
        <v>28.66</v>
      </c>
      <c r="J779">
        <v>82.07</v>
      </c>
      <c r="M779" s="21">
        <f t="shared" si="98"/>
        <v>28.66</v>
      </c>
      <c r="N779" s="8">
        <f t="shared" si="104"/>
        <v>28.66</v>
      </c>
      <c r="O779" s="25">
        <f t="shared" si="101"/>
        <v>5321.7299999999277</v>
      </c>
      <c r="P779" s="8">
        <f t="shared" si="99"/>
        <v>0</v>
      </c>
      <c r="Q779" s="4">
        <f>IF(AND(S779&gt;=[1]eRRSP_Rpt!$C$6,S779&lt;=[1]eRRSP_Rpt!$C$7),1,0)</f>
        <v>1</v>
      </c>
      <c r="R779" s="4"/>
      <c r="S779" s="4">
        <f t="shared" si="97"/>
        <v>2012</v>
      </c>
      <c r="T779" s="4"/>
      <c r="U779" s="4" t="str">
        <f t="shared" si="100"/>
        <v>IntIncTD INV SAV ACCT  /NL'FRAC</v>
      </c>
      <c r="V779" s="23">
        <f>IFERROR(IF(AND(AB779&gt;0,B779&lt;&gt;"Sell"),(AA779-SUMIF(C$4:C778,C779,AC$4:AC779))/AB779,0),"")</f>
        <v>-10</v>
      </c>
      <c r="W779" s="24" t="str">
        <f t="shared" si="103"/>
        <v/>
      </c>
      <c r="X779" s="25" t="str">
        <f t="shared" si="102"/>
        <v>TD INV SAV ACCT  /NL'FRAC_ACB</v>
      </c>
      <c r="Y779" s="10" t="str">
        <f>IF(S780&lt;&gt;eRRSP_Tx_Table[[#This Row],[Year]],SUMIFS($W$4:$W779,$S$4:$S779,eRRSP_Tx_Table[[#This Row],[Year]],$W$4:$W779,"&gt;0"),"")</f>
        <v/>
      </c>
      <c r="Z779" s="10" t="str">
        <f>IF(S780&lt;&gt;eRRSP_Tx_Table[[#This Row],[Year]],SUMIFS($W$4:$W779,$S$4:$S779,eRRSP_Tx_Table[[#This Row],[Year]],$W$4:$W779,"&lt;0"),"")</f>
        <v/>
      </c>
      <c r="AA779" s="3">
        <f>(SUMIF($U$4:$U779,CONCATENATE("Buy",$C779),$N$4:$N779)+SUMIF($U$4:$U779,CONCATENATE("ReinvDiv",$C779),$N$4:$N779))</f>
        <v>-27000</v>
      </c>
      <c r="AB779">
        <f>(SUMIF($U$4:$U779,CONCATENATE("Buy",$C779),$F$4:$F779)+SUMIF($U$4:$U779,CONCATENATE("ReinvDiv",$C779),$F$4:$F779)+SUMIF($U$4:$U779,CONCATENATE("StkSplit",$C779),$F$4:$F779)-SUMIF($U$4:$U779,CONCATENATE("Sell",$C779),$F$4:$F779))</f>
        <v>2700</v>
      </c>
      <c r="AC779" s="3">
        <f>IF(B779="Sell",F779*INDEX(V:V,LOOKUP(2,1/(X$4:X778=CONCATENATE(C779,"_ACB")),ROW(V$4:V778))),0)</f>
        <v>0</v>
      </c>
    </row>
    <row r="780" spans="1:29" x14ac:dyDescent="0.25">
      <c r="A780" s="20">
        <v>41061</v>
      </c>
      <c r="B780" t="s">
        <v>42</v>
      </c>
      <c r="C780" t="s">
        <v>33</v>
      </c>
      <c r="D780" s="3">
        <v>15.67</v>
      </c>
      <c r="J780">
        <v>40.729999999999997</v>
      </c>
      <c r="M780" s="21">
        <f t="shared" si="98"/>
        <v>15.67</v>
      </c>
      <c r="N780" s="8">
        <f t="shared" si="104"/>
        <v>15.67</v>
      </c>
      <c r="O780" s="25">
        <f t="shared" si="101"/>
        <v>5337.3999999999278</v>
      </c>
      <c r="P780" s="8">
        <f t="shared" si="99"/>
        <v>0</v>
      </c>
      <c r="Q780" s="4">
        <f>IF(AND(S780&gt;=[1]eRRSP_Rpt!$C$6,S780&lt;=[1]eRRSP_Rpt!$C$7),1,0)</f>
        <v>1</v>
      </c>
      <c r="R780" s="4"/>
      <c r="S780" s="4">
        <f t="shared" si="97"/>
        <v>2012</v>
      </c>
      <c r="T780" s="4"/>
      <c r="U780" s="4" t="str">
        <f t="shared" si="100"/>
        <v>DivEnbridge</v>
      </c>
      <c r="V780" s="23">
        <f>IFERROR(IF(AND(AB780&gt;0,B780&lt;&gt;"Sell"),(AA780-SUMIF(C$4:C779,C780,AC$4:AC780))/AB780,0),"")</f>
        <v>-16.981789097623633</v>
      </c>
      <c r="W780" s="24" t="str">
        <f t="shared" si="103"/>
        <v/>
      </c>
      <c r="X780" s="25" t="str">
        <f t="shared" si="102"/>
        <v>Enbridge_ACB</v>
      </c>
      <c r="Y780" s="10" t="str">
        <f>IF(S781&lt;&gt;eRRSP_Tx_Table[[#This Row],[Year]],SUMIFS($W$4:$W780,$S$4:$S780,eRRSP_Tx_Table[[#This Row],[Year]],$W$4:$W780,"&gt;0"),"")</f>
        <v/>
      </c>
      <c r="Z780" s="10" t="str">
        <f>IF(S781&lt;&gt;eRRSP_Tx_Table[[#This Row],[Year]],SUMIFS($W$4:$W780,$S$4:$S780,eRRSP_Tx_Table[[#This Row],[Year]],$W$4:$W780,"&lt;0"),"")</f>
        <v/>
      </c>
      <c r="AA780" s="3">
        <f>(SUMIF($U$4:$U780,CONCATENATE("Buy",$C780),$N$4:$N780)+SUMIF($U$4:$U780,CONCATENATE("ReinvDiv",$C780),$N$4:$N780))</f>
        <v>-6788.69</v>
      </c>
      <c r="AB780">
        <f>(SUMIF($U$4:$U780,CONCATENATE("Buy",$C780),$F$4:$F780)+SUMIF($U$4:$U780,CONCATENATE("ReinvDiv",$C780),$F$4:$F780)+SUMIF($U$4:$U780,CONCATENATE("StkSplit",$C780),$F$4:$F780)-SUMIF($U$4:$U780,CONCATENATE("Sell",$C780),$F$4:$F780))</f>
        <v>346</v>
      </c>
      <c r="AC780" s="3">
        <f>IF(B780="Sell",F780*INDEX(V:V,LOOKUP(2,1/(X$4:X779=CONCATENATE(C780,"_ACB")),ROW(V$4:V779))),0)</f>
        <v>0</v>
      </c>
    </row>
    <row r="781" spans="1:29" x14ac:dyDescent="0.25">
      <c r="A781" s="20">
        <v>41061</v>
      </c>
      <c r="B781" t="s">
        <v>42</v>
      </c>
      <c r="C781" t="s">
        <v>33</v>
      </c>
      <c r="D781" s="3">
        <v>82.07</v>
      </c>
      <c r="J781">
        <v>0.11</v>
      </c>
      <c r="M781" s="21">
        <f t="shared" si="98"/>
        <v>82.07</v>
      </c>
      <c r="N781" s="8">
        <f t="shared" si="104"/>
        <v>82.07</v>
      </c>
      <c r="O781" s="25">
        <f t="shared" si="101"/>
        <v>5419.4699999999275</v>
      </c>
      <c r="P781" s="8">
        <f t="shared" si="99"/>
        <v>0</v>
      </c>
      <c r="Q781" s="4">
        <f>IF(AND(S781&gt;=[1]eRRSP_Rpt!$C$6,S781&lt;=[1]eRRSP_Rpt!$C$7),1,0)</f>
        <v>1</v>
      </c>
      <c r="R781" s="4"/>
      <c r="S781" s="4">
        <f t="shared" si="97"/>
        <v>2012</v>
      </c>
      <c r="T781" s="4"/>
      <c r="U781" s="4" t="str">
        <f t="shared" si="100"/>
        <v>DivEnbridge</v>
      </c>
      <c r="V781" s="23">
        <f>IFERROR(IF(AND(AB781&gt;0,B781&lt;&gt;"Sell"),(AA781-SUMIF(C$4:C780,C781,AC$4:AC781))/AB781,0),"")</f>
        <v>-16.981789097623633</v>
      </c>
      <c r="W781" s="24" t="str">
        <f t="shared" si="103"/>
        <v/>
      </c>
      <c r="X781" s="25" t="str">
        <f t="shared" si="102"/>
        <v>Enbridge_ACB</v>
      </c>
      <c r="Y781" s="10" t="str">
        <f>IF(S782&lt;&gt;eRRSP_Tx_Table[[#This Row],[Year]],SUMIFS($W$4:$W781,$S$4:$S781,eRRSP_Tx_Table[[#This Row],[Year]],$W$4:$W781,"&gt;0"),"")</f>
        <v/>
      </c>
      <c r="Z781" s="10" t="str">
        <f>IF(S782&lt;&gt;eRRSP_Tx_Table[[#This Row],[Year]],SUMIFS($W$4:$W781,$S$4:$S781,eRRSP_Tx_Table[[#This Row],[Year]],$W$4:$W781,"&lt;0"),"")</f>
        <v/>
      </c>
      <c r="AA781" s="3">
        <f>(SUMIF($U$4:$U781,CONCATENATE("Buy",$C781),$N$4:$N781)+SUMIF($U$4:$U781,CONCATENATE("ReinvDiv",$C781),$N$4:$N781))</f>
        <v>-6788.69</v>
      </c>
      <c r="AB781">
        <f>(SUMIF($U$4:$U781,CONCATENATE("Buy",$C781),$F$4:$F781)+SUMIF($U$4:$U781,CONCATENATE("ReinvDiv",$C781),$F$4:$F781)+SUMIF($U$4:$U781,CONCATENATE("StkSplit",$C781),$F$4:$F781)-SUMIF($U$4:$U781,CONCATENATE("Sell",$C781),$F$4:$F781))</f>
        <v>346</v>
      </c>
      <c r="AC781" s="3">
        <f>IF(B781="Sell",F781*INDEX(V:V,LOOKUP(2,1/(X$4:X780=CONCATENATE(C781,"_ACB")),ROW(V$4:V780))),0)</f>
        <v>0</v>
      </c>
    </row>
    <row r="782" spans="1:29" x14ac:dyDescent="0.25">
      <c r="A782" s="20">
        <v>41075</v>
      </c>
      <c r="B782" t="s">
        <v>42</v>
      </c>
      <c r="C782" t="s">
        <v>87</v>
      </c>
      <c r="D782" s="3">
        <v>40.729999999999997</v>
      </c>
      <c r="J782">
        <v>22.12</v>
      </c>
      <c r="M782" s="21">
        <f t="shared" si="98"/>
        <v>40.729999999999997</v>
      </c>
      <c r="N782" s="8">
        <f t="shared" si="104"/>
        <v>40.729999999999997</v>
      </c>
      <c r="O782" s="25">
        <f t="shared" si="101"/>
        <v>5460.1999999999271</v>
      </c>
      <c r="P782" s="8">
        <f t="shared" si="99"/>
        <v>0</v>
      </c>
      <c r="Q782" s="4">
        <f>IF(AND(S782&gt;=[1]eRRSP_Rpt!$C$6,S782&lt;=[1]eRRSP_Rpt!$C$7),1,0)</f>
        <v>1</v>
      </c>
      <c r="R782" s="4"/>
      <c r="S782" s="4">
        <f t="shared" si="97"/>
        <v>2012</v>
      </c>
      <c r="T782" s="4"/>
      <c r="U782" s="4" t="str">
        <f t="shared" si="100"/>
        <v>DivAberdeen Asia Pacific Income Fund</v>
      </c>
      <c r="V782" s="23">
        <f>IFERROR(IF(AND(AB782&gt;0,B782&lt;&gt;"Sell"),(AA782-SUMIF(C$4:C781,C782,AC$4:AC782))/AB782,0),"")</f>
        <v>-7.4694020797227028</v>
      </c>
      <c r="W782" s="24" t="str">
        <f t="shared" si="103"/>
        <v/>
      </c>
      <c r="X782" s="25" t="str">
        <f t="shared" si="102"/>
        <v>Aberdeen Asia Pacific Income Fund_ACB</v>
      </c>
      <c r="Y782" s="10" t="str">
        <f>IF(S783&lt;&gt;eRRSP_Tx_Table[[#This Row],[Year]],SUMIFS($W$4:$W782,$S$4:$S782,eRRSP_Tx_Table[[#This Row],[Year]],$W$4:$W782,"&gt;0"),"")</f>
        <v/>
      </c>
      <c r="Z782" s="10" t="str">
        <f>IF(S783&lt;&gt;eRRSP_Tx_Table[[#This Row],[Year]],SUMIFS($W$4:$W782,$S$4:$S782,eRRSP_Tx_Table[[#This Row],[Year]],$W$4:$W782,"&lt;0"),"")</f>
        <v/>
      </c>
      <c r="AA782" s="3">
        <f>(SUMIF($U$4:$U782,CONCATENATE("Buy",$C782),$N$4:$N782)+SUMIF($U$4:$U782,CONCATENATE("ReinvDiv",$C782),$N$4:$N782))</f>
        <v>-8619.6899999999987</v>
      </c>
      <c r="AB782">
        <f>(SUMIF($U$4:$U782,CONCATENATE("Buy",$C782),$F$4:$F782)+SUMIF($U$4:$U782,CONCATENATE("ReinvDiv",$C782),$F$4:$F782)+SUMIF($U$4:$U782,CONCATENATE("StkSplit",$C782),$F$4:$F782)-SUMIF($U$4:$U782,CONCATENATE("Sell",$C782),$F$4:$F782))</f>
        <v>1154</v>
      </c>
      <c r="AC782" s="3">
        <f>IF(B782="Sell",F782*INDEX(V:V,LOOKUP(2,1/(X$4:X781=CONCATENATE(C782,"_ACB")),ROW(V$4:V781))),0)</f>
        <v>0</v>
      </c>
    </row>
    <row r="783" spans="1:29" x14ac:dyDescent="0.25">
      <c r="A783" s="20">
        <v>41076</v>
      </c>
      <c r="B783" t="s">
        <v>43</v>
      </c>
      <c r="C783" t="s">
        <v>36</v>
      </c>
      <c r="D783" s="3">
        <v>0.11</v>
      </c>
      <c r="J783">
        <v>358.11</v>
      </c>
      <c r="M783" s="21">
        <f t="shared" si="98"/>
        <v>0.11</v>
      </c>
      <c r="N783" s="8">
        <f t="shared" si="104"/>
        <v>0.11</v>
      </c>
      <c r="O783" s="25">
        <f t="shared" si="101"/>
        <v>5460.3099999999267</v>
      </c>
      <c r="P783" s="8">
        <f t="shared" si="99"/>
        <v>0</v>
      </c>
      <c r="Q783" s="4">
        <f>IF(AND(S783&gt;=[1]eRRSP_Rpt!$C$6,S783&lt;=[1]eRRSP_Rpt!$C$7),1,0)</f>
        <v>1</v>
      </c>
      <c r="R783" s="4"/>
      <c r="S783" s="4">
        <f t="shared" si="97"/>
        <v>2012</v>
      </c>
      <c r="T783" s="4"/>
      <c r="U783" s="4" t="str">
        <f t="shared" si="100"/>
        <v>IntIncTDW</v>
      </c>
      <c r="V783" s="23">
        <f>IFERROR(IF(AND(AB783&gt;0,B783&lt;&gt;"Sell"),(AA783-SUMIF(C$4:C782,C783,AC$4:AC783))/AB783,0),"")</f>
        <v>0</v>
      </c>
      <c r="W783" s="24" t="str">
        <f t="shared" si="103"/>
        <v/>
      </c>
      <c r="X783" s="25" t="str">
        <f t="shared" si="102"/>
        <v/>
      </c>
      <c r="Y783" s="10" t="str">
        <f>IF(S784&lt;&gt;eRRSP_Tx_Table[[#This Row],[Year]],SUMIFS($W$4:$W783,$S$4:$S783,eRRSP_Tx_Table[[#This Row],[Year]],$W$4:$W783,"&gt;0"),"")</f>
        <v/>
      </c>
      <c r="Z783" s="10" t="str">
        <f>IF(S784&lt;&gt;eRRSP_Tx_Table[[#This Row],[Year]],SUMIFS($W$4:$W783,$S$4:$S783,eRRSP_Tx_Table[[#This Row],[Year]],$W$4:$W783,"&lt;0"),"")</f>
        <v/>
      </c>
      <c r="AA783" s="3">
        <f>(SUMIF($U$4:$U783,CONCATENATE("Buy",$C783),$N$4:$N783)+SUMIF($U$4:$U783,CONCATENATE("ReinvDiv",$C783),$N$4:$N783))</f>
        <v>0</v>
      </c>
      <c r="AB783">
        <f>(SUMIF($U$4:$U783,CONCATENATE("Buy",$C783),$F$4:$F783)+SUMIF($U$4:$U783,CONCATENATE("ReinvDiv",$C783),$F$4:$F783)+SUMIF($U$4:$U783,CONCATENATE("StkSplit",$C783),$F$4:$F783)-SUMIF($U$4:$U783,CONCATENATE("Sell",$C783),$F$4:$F783))</f>
        <v>0</v>
      </c>
      <c r="AC783" s="3">
        <f>IF(B783="Sell",F783*INDEX(V:V,LOOKUP(2,1/(X$4:X782=CONCATENATE(C783,"_ACB")),ROW(V$4:V782))),0)</f>
        <v>0</v>
      </c>
    </row>
    <row r="784" spans="1:29" x14ac:dyDescent="0.25">
      <c r="A784" s="20">
        <v>41088</v>
      </c>
      <c r="B784" t="s">
        <v>41</v>
      </c>
      <c r="C784" t="s">
        <v>97</v>
      </c>
      <c r="D784" s="3">
        <v>358.11</v>
      </c>
      <c r="E784">
        <f>eRRSP_Tx_Table[[#This Row],[Amount]]/eRRSP_Tx_Table[[#This Row],[Quantity]]</f>
        <v>8.0099758432495314</v>
      </c>
      <c r="F784" s="3">
        <v>44.707999999999998</v>
      </c>
      <c r="J784">
        <v>29.09</v>
      </c>
      <c r="M784" s="21">
        <f t="shared" si="98"/>
        <v>358.11</v>
      </c>
      <c r="N784" s="8">
        <f t="shared" si="104"/>
        <v>-358.11</v>
      </c>
      <c r="O784" s="25">
        <f t="shared" si="101"/>
        <v>5460.3099999999267</v>
      </c>
      <c r="P784" s="8">
        <f t="shared" si="99"/>
        <v>0</v>
      </c>
      <c r="Q784" s="4">
        <f>IF(AND(S784&gt;=[1]eRRSP_Rpt!$C$6,S784&lt;=[1]eRRSP_Rpt!$C$7),1,0)</f>
        <v>1</v>
      </c>
      <c r="R784" s="4"/>
      <c r="S784" s="4">
        <f t="shared" si="97"/>
        <v>2012</v>
      </c>
      <c r="T784" s="4"/>
      <c r="U784" s="4" t="str">
        <f t="shared" si="100"/>
        <v>ReinvDivTD International Index - e</v>
      </c>
      <c r="V784" s="23">
        <f>IFERROR(IF(AND(AB784&gt;0,B784&lt;&gt;"Sell"),(AA784-SUMIF(C$4:C783,C784,AC$4:AC784))/AB784,0),"")</f>
        <v>-8.3410249811983022</v>
      </c>
      <c r="W784" s="24" t="str">
        <f t="shared" si="103"/>
        <v/>
      </c>
      <c r="X784" s="25" t="str">
        <f t="shared" si="102"/>
        <v>TD International Index - e_ACB</v>
      </c>
      <c r="Y784" s="10" t="str">
        <f>IF(S785&lt;&gt;eRRSP_Tx_Table[[#This Row],[Year]],SUMIFS($W$4:$W784,$S$4:$S784,eRRSP_Tx_Table[[#This Row],[Year]],$W$4:$W784,"&gt;0"),"")</f>
        <v/>
      </c>
      <c r="Z784" s="10" t="str">
        <f>IF(S785&lt;&gt;eRRSP_Tx_Table[[#This Row],[Year]],SUMIFS($W$4:$W784,$S$4:$S784,eRRSP_Tx_Table[[#This Row],[Year]],$W$4:$W784,"&lt;0"),"")</f>
        <v/>
      </c>
      <c r="AA784" s="3">
        <f>(SUMIF($U$4:$U784,CONCATENATE("Buy",$C784),$N$4:$N784)+SUMIF($U$4:$U784,CONCATENATE("ReinvDiv",$C784),$N$4:$N784))</f>
        <v>-28458.959999999999</v>
      </c>
      <c r="AB784">
        <f>(SUMIF($U$4:$U784,CONCATENATE("Buy",$C784),$F$4:$F784)+SUMIF($U$4:$U784,CONCATENATE("ReinvDiv",$C784),$F$4:$F784)+SUMIF($U$4:$U784,CONCATENATE("StkSplit",$C784),$F$4:$F784)-SUMIF($U$4:$U784,CONCATENATE("Sell",$C784),$F$4:$F784))</f>
        <v>3411.9259999999999</v>
      </c>
      <c r="AC784" s="3">
        <f>IF(B784="Sell",F784*INDEX(V:V,LOOKUP(2,1/(X$4:X783=CONCATENATE(C784,"_ACB")),ROW(V$4:V783))),0)</f>
        <v>0</v>
      </c>
    </row>
    <row r="785" spans="1:29" x14ac:dyDescent="0.25">
      <c r="A785" s="20">
        <v>41088</v>
      </c>
      <c r="B785" t="s">
        <v>41</v>
      </c>
      <c r="C785" t="s">
        <v>62</v>
      </c>
      <c r="D785" s="3">
        <v>29.09</v>
      </c>
      <c r="E785">
        <v>18.458100000000002</v>
      </c>
      <c r="F785" s="3">
        <v>1.5760000000000001</v>
      </c>
      <c r="J785">
        <v>29.59</v>
      </c>
      <c r="M785" s="21">
        <f t="shared" si="98"/>
        <v>29.09</v>
      </c>
      <c r="N785" s="8">
        <f t="shared" si="104"/>
        <v>-29.09</v>
      </c>
      <c r="O785" s="25">
        <f t="shared" si="101"/>
        <v>5460.3099999999267</v>
      </c>
      <c r="P785" s="8">
        <f t="shared" si="99"/>
        <v>0</v>
      </c>
      <c r="Q785" s="4">
        <f>IF(AND(S785&gt;=[1]eRRSP_Rpt!$C$6,S785&lt;=[1]eRRSP_Rpt!$C$7),1,0)</f>
        <v>1</v>
      </c>
      <c r="R785" s="4"/>
      <c r="S785" s="4">
        <f t="shared" si="97"/>
        <v>2012</v>
      </c>
      <c r="T785" s="4"/>
      <c r="U785" s="4" t="str">
        <f t="shared" si="100"/>
        <v>ReinvDivTD RR Bond</v>
      </c>
      <c r="V785" s="23">
        <f>IFERROR(IF(AND(AB785&gt;0,B785&lt;&gt;"Sell"),(AA785-SUMIF(C$4:C784,C785,AC$4:AC785))/AB785,0),"")</f>
        <v>-14.374352131700102</v>
      </c>
      <c r="W785" s="24" t="str">
        <f t="shared" si="103"/>
        <v/>
      </c>
      <c r="X785" s="25" t="str">
        <f t="shared" si="102"/>
        <v>TD RR Bond_ACB</v>
      </c>
      <c r="Y785" s="10" t="str">
        <f>IF(S786&lt;&gt;eRRSP_Tx_Table[[#This Row],[Year]],SUMIFS($W$4:$W785,$S$4:$S785,eRRSP_Tx_Table[[#This Row],[Year]],$W$4:$W785,"&gt;0"),"")</f>
        <v/>
      </c>
      <c r="Z785" s="10" t="str">
        <f>IF(S786&lt;&gt;eRRSP_Tx_Table[[#This Row],[Year]],SUMIFS($W$4:$W785,$S$4:$S785,eRRSP_Tx_Table[[#This Row],[Year]],$W$4:$W785,"&lt;0"),"")</f>
        <v/>
      </c>
      <c r="AA785" s="3">
        <f>(SUMIF($U$4:$U785,CONCATENATE("Buy",$C785),$N$4:$N785)+SUMIF($U$4:$U785,CONCATENATE("ReinvDiv",$C785),$N$4:$N785))</f>
        <v>-10525.029999999999</v>
      </c>
      <c r="AB785">
        <f>(SUMIF($U$4:$U785,CONCATENATE("Buy",$C785),$F$4:$F785)+SUMIF($U$4:$U785,CONCATENATE("ReinvDiv",$C785),$F$4:$F785)+SUMIF($U$4:$U785,CONCATENATE("StkSplit",$C785),$F$4:$F785)-SUMIF($U$4:$U785,CONCATENATE("Sell",$C785),$F$4:$F785))</f>
        <v>732.20899999999995</v>
      </c>
      <c r="AC785" s="3">
        <f>IF(B785="Sell",F785*INDEX(V:V,LOOKUP(2,1/(X$4:X784=CONCATENATE(C785,"_ACB")),ROW(V$4:V784))),0)</f>
        <v>0</v>
      </c>
    </row>
    <row r="786" spans="1:29" x14ac:dyDescent="0.25">
      <c r="A786" s="20">
        <v>41089</v>
      </c>
      <c r="B786" t="s">
        <v>42</v>
      </c>
      <c r="C786" t="s">
        <v>90</v>
      </c>
      <c r="D786" s="3">
        <v>22.12</v>
      </c>
      <c r="J786">
        <v>0.76</v>
      </c>
      <c r="M786" s="21">
        <f t="shared" si="98"/>
        <v>22.12</v>
      </c>
      <c r="N786" s="8">
        <f t="shared" si="104"/>
        <v>22.12</v>
      </c>
      <c r="O786" s="25">
        <f t="shared" si="101"/>
        <v>5482.4299999999266</v>
      </c>
      <c r="P786" s="8">
        <f t="shared" si="99"/>
        <v>0</v>
      </c>
      <c r="Q786" s="4">
        <f>IF(AND(S786&gt;=[1]eRRSP_Rpt!$C$6,S786&lt;=[1]eRRSP_Rpt!$C$7),1,0)</f>
        <v>1</v>
      </c>
      <c r="R786" s="4"/>
      <c r="S786" s="4">
        <f t="shared" si="97"/>
        <v>2012</v>
      </c>
      <c r="T786" s="4"/>
      <c r="U786" s="4" t="str">
        <f t="shared" si="100"/>
        <v>DivVanguard Large Cap ETF</v>
      </c>
      <c r="V786" s="23">
        <f>IFERROR(IF(AND(AB786&gt;0,B786&lt;&gt;"Sell"),(AA786-SUMIF(C$4:C785,C786,AC$4:AC786))/AB786,0),"")</f>
        <v>-74.401142857142858</v>
      </c>
      <c r="W786" s="24" t="str">
        <f t="shared" si="103"/>
        <v/>
      </c>
      <c r="X786" s="25" t="str">
        <f t="shared" si="102"/>
        <v>Vanguard Large Cap ETF_ACB</v>
      </c>
      <c r="Y786" s="10" t="str">
        <f>IF(S787&lt;&gt;eRRSP_Tx_Table[[#This Row],[Year]],SUMIFS($W$4:$W786,$S$4:$S786,eRRSP_Tx_Table[[#This Row],[Year]],$W$4:$W786,"&gt;0"),"")</f>
        <v/>
      </c>
      <c r="Z786" s="10" t="str">
        <f>IF(S787&lt;&gt;eRRSP_Tx_Table[[#This Row],[Year]],SUMIFS($W$4:$W786,$S$4:$S786,eRRSP_Tx_Table[[#This Row],[Year]],$W$4:$W786,"&lt;0"),"")</f>
        <v/>
      </c>
      <c r="AA786" s="3">
        <f>(SUMIF($U$4:$U786,CONCATENATE("Buy",$C786),$N$4:$N786)+SUMIF($U$4:$U786,CONCATENATE("ReinvDiv",$C786),$N$4:$N786))</f>
        <v>-5208.08</v>
      </c>
      <c r="AB786">
        <f>(SUMIF($U$4:$U786,CONCATENATE("Buy",$C786),$F$4:$F786)+SUMIF($U$4:$U786,CONCATENATE("ReinvDiv",$C786),$F$4:$F786)+SUMIF($U$4:$U786,CONCATENATE("StkSplit",$C786),$F$4:$F786)-SUMIF($U$4:$U786,CONCATENATE("Sell",$C786),$F$4:$F786))</f>
        <v>70</v>
      </c>
      <c r="AC786" s="3">
        <f>IF(B786="Sell",F786*INDEX(V:V,LOOKUP(2,1/(X$4:X785=CONCATENATE(C786,"_ACB")),ROW(V$4:V785))),0)</f>
        <v>0</v>
      </c>
    </row>
    <row r="787" spans="1:29" x14ac:dyDescent="0.25">
      <c r="A787" s="20">
        <v>41089</v>
      </c>
      <c r="B787" t="s">
        <v>43</v>
      </c>
      <c r="C787" t="s">
        <v>99</v>
      </c>
      <c r="D787" s="3">
        <v>29.59</v>
      </c>
      <c r="J787">
        <v>40.51</v>
      </c>
      <c r="M787" s="21">
        <f t="shared" si="98"/>
        <v>29.59</v>
      </c>
      <c r="N787" s="8">
        <f t="shared" si="104"/>
        <v>29.59</v>
      </c>
      <c r="O787" s="25">
        <f t="shared" si="101"/>
        <v>5512.0199999999268</v>
      </c>
      <c r="P787" s="8">
        <f t="shared" si="99"/>
        <v>0</v>
      </c>
      <c r="Q787" s="4">
        <f>IF(AND(S787&gt;=[1]eRRSP_Rpt!$C$6,S787&lt;=[1]eRRSP_Rpt!$C$7),1,0)</f>
        <v>1</v>
      </c>
      <c r="R787" s="4"/>
      <c r="S787" s="4">
        <f t="shared" si="97"/>
        <v>2012</v>
      </c>
      <c r="T787" s="4"/>
      <c r="U787" s="4" t="str">
        <f t="shared" si="100"/>
        <v>IntIncTD INV SAV ACCT  /NL'FRAC</v>
      </c>
      <c r="V787" s="23">
        <f>IFERROR(IF(AND(AB787&gt;0,B787&lt;&gt;"Sell"),(AA787-SUMIF(C$4:C786,C787,AC$4:AC787))/AB787,0),"")</f>
        <v>-10</v>
      </c>
      <c r="W787" s="24" t="str">
        <f t="shared" si="103"/>
        <v/>
      </c>
      <c r="X787" s="25" t="str">
        <f t="shared" si="102"/>
        <v>TD INV SAV ACCT  /NL'FRAC_ACB</v>
      </c>
      <c r="Y787" s="10" t="str">
        <f>IF(S788&lt;&gt;eRRSP_Tx_Table[[#This Row],[Year]],SUMIFS($W$4:$W787,$S$4:$S787,eRRSP_Tx_Table[[#This Row],[Year]],$W$4:$W787,"&gt;0"),"")</f>
        <v/>
      </c>
      <c r="Z787" s="10" t="str">
        <f>IF(S788&lt;&gt;eRRSP_Tx_Table[[#This Row],[Year]],SUMIFS($W$4:$W787,$S$4:$S787,eRRSP_Tx_Table[[#This Row],[Year]],$W$4:$W787,"&lt;0"),"")</f>
        <v/>
      </c>
      <c r="AA787" s="3">
        <f>(SUMIF($U$4:$U787,CONCATENATE("Buy",$C787),$N$4:$N787)+SUMIF($U$4:$U787,CONCATENATE("ReinvDiv",$C787),$N$4:$N787))</f>
        <v>-27000</v>
      </c>
      <c r="AB787">
        <f>(SUMIF($U$4:$U787,CONCATENATE("Buy",$C787),$F$4:$F787)+SUMIF($U$4:$U787,CONCATENATE("ReinvDiv",$C787),$F$4:$F787)+SUMIF($U$4:$U787,CONCATENATE("StkSplit",$C787),$F$4:$F787)-SUMIF($U$4:$U787,CONCATENATE("Sell",$C787),$F$4:$F787))</f>
        <v>2700</v>
      </c>
      <c r="AC787" s="3">
        <f>IF(B787="Sell",F787*INDEX(V:V,LOOKUP(2,1/(X$4:X786=CONCATENATE(C787,"_ACB")),ROW(V$4:V786))),0)</f>
        <v>0</v>
      </c>
    </row>
    <row r="788" spans="1:29" x14ac:dyDescent="0.25">
      <c r="A788" s="20">
        <v>41090</v>
      </c>
      <c r="B788" t="s">
        <v>42</v>
      </c>
      <c r="C788" t="s">
        <v>47</v>
      </c>
      <c r="D788" s="3">
        <v>0.76</v>
      </c>
      <c r="J788">
        <v>0.11</v>
      </c>
      <c r="M788" s="21">
        <f t="shared" si="98"/>
        <v>0.76</v>
      </c>
      <c r="N788" s="8">
        <f t="shared" si="104"/>
        <v>0.76</v>
      </c>
      <c r="O788" s="25">
        <f t="shared" si="101"/>
        <v>5512.779999999927</v>
      </c>
      <c r="P788" s="8">
        <f t="shared" si="99"/>
        <v>0</v>
      </c>
      <c r="Q788" s="4">
        <f>IF(AND(S788&gt;=[1]eRRSP_Rpt!$C$6,S788&lt;=[1]eRRSP_Rpt!$C$7),1,0)</f>
        <v>1</v>
      </c>
      <c r="R788" s="4"/>
      <c r="S788" s="4">
        <f t="shared" si="97"/>
        <v>2012</v>
      </c>
      <c r="T788" s="4"/>
      <c r="U788" s="4" t="str">
        <f t="shared" si="100"/>
        <v>DivBombardier</v>
      </c>
      <c r="V788" s="23">
        <f>IFERROR(IF(AND(AB788&gt;0,B788&lt;&gt;"Sell"),(AA788-SUMIF(C$4:C787,C788,AC$4:AC788))/AB788,0),"")</f>
        <v>-23.216666666666665</v>
      </c>
      <c r="W788" s="24" t="str">
        <f t="shared" si="103"/>
        <v/>
      </c>
      <c r="X788" s="25" t="str">
        <f t="shared" si="102"/>
        <v>Bombardier_ACB</v>
      </c>
      <c r="Y788" s="10" t="str">
        <f>IF(S789&lt;&gt;eRRSP_Tx_Table[[#This Row],[Year]],SUMIFS($W$4:$W788,$S$4:$S788,eRRSP_Tx_Table[[#This Row],[Year]],$W$4:$W788,"&gt;0"),"")</f>
        <v/>
      </c>
      <c r="Z788" s="10" t="str">
        <f>IF(S789&lt;&gt;eRRSP_Tx_Table[[#This Row],[Year]],SUMIFS($W$4:$W788,$S$4:$S788,eRRSP_Tx_Table[[#This Row],[Year]],$W$4:$W788,"&lt;0"),"")</f>
        <v/>
      </c>
      <c r="AA788" s="3">
        <f>(SUMIF($U$4:$U788,CONCATENATE("Buy",$C788),$N$4:$N788)+SUMIF($U$4:$U788,CONCATENATE("ReinvDiv",$C788),$N$4:$N788))</f>
        <v>-696.5</v>
      </c>
      <c r="AB788">
        <f>(SUMIF($U$4:$U788,CONCATENATE("Buy",$C788),$F$4:$F788)+SUMIF($U$4:$U788,CONCATENATE("ReinvDiv",$C788),$F$4:$F788)+SUMIF($U$4:$U788,CONCATENATE("StkSplit",$C788),$F$4:$F788)-SUMIF($U$4:$U788,CONCATENATE("Sell",$C788),$F$4:$F788))</f>
        <v>30</v>
      </c>
      <c r="AC788" s="3">
        <f>IF(B788="Sell",F788*INDEX(V:V,LOOKUP(2,1/(X$4:X787=CONCATENATE(C788,"_ACB")),ROW(V$4:V787))),0)</f>
        <v>0</v>
      </c>
    </row>
    <row r="789" spans="1:29" x14ac:dyDescent="0.25">
      <c r="A789" s="20">
        <v>41103</v>
      </c>
      <c r="B789" t="s">
        <v>42</v>
      </c>
      <c r="C789" t="s">
        <v>87</v>
      </c>
      <c r="D789" s="3">
        <v>40.51</v>
      </c>
      <c r="J789">
        <v>486.5</v>
      </c>
      <c r="M789" s="21">
        <f t="shared" si="98"/>
        <v>40.51</v>
      </c>
      <c r="N789" s="8">
        <f t="shared" si="104"/>
        <v>40.51</v>
      </c>
      <c r="O789" s="25">
        <f t="shared" si="101"/>
        <v>5553.2899999999272</v>
      </c>
      <c r="P789" s="8">
        <f t="shared" si="99"/>
        <v>0</v>
      </c>
      <c r="Q789" s="4">
        <f>IF(AND(S789&gt;=[1]eRRSP_Rpt!$C$6,S789&lt;=[1]eRRSP_Rpt!$C$7),1,0)</f>
        <v>1</v>
      </c>
      <c r="R789" s="4"/>
      <c r="S789" s="4">
        <f t="shared" si="97"/>
        <v>2012</v>
      </c>
      <c r="T789" s="4"/>
      <c r="U789" s="4" t="str">
        <f t="shared" si="100"/>
        <v>DivAberdeen Asia Pacific Income Fund</v>
      </c>
      <c r="V789" s="23">
        <f>IFERROR(IF(AND(AB789&gt;0,B789&lt;&gt;"Sell"),(AA789-SUMIF(C$4:C788,C789,AC$4:AC789))/AB789,0),"")</f>
        <v>-7.4694020797227028</v>
      </c>
      <c r="W789" s="24" t="str">
        <f t="shared" si="103"/>
        <v/>
      </c>
      <c r="X789" s="25" t="str">
        <f t="shared" si="102"/>
        <v>Aberdeen Asia Pacific Income Fund_ACB</v>
      </c>
      <c r="Y789" s="10" t="str">
        <f>IF(S790&lt;&gt;eRRSP_Tx_Table[[#This Row],[Year]],SUMIFS($W$4:$W789,$S$4:$S789,eRRSP_Tx_Table[[#This Row],[Year]],$W$4:$W789,"&gt;0"),"")</f>
        <v/>
      </c>
      <c r="Z789" s="10" t="str">
        <f>IF(S790&lt;&gt;eRRSP_Tx_Table[[#This Row],[Year]],SUMIFS($W$4:$W789,$S$4:$S789,eRRSP_Tx_Table[[#This Row],[Year]],$W$4:$W789,"&lt;0"),"")</f>
        <v/>
      </c>
      <c r="AA789" s="3">
        <f>(SUMIF($U$4:$U789,CONCATENATE("Buy",$C789),$N$4:$N789)+SUMIF($U$4:$U789,CONCATENATE("ReinvDiv",$C789),$N$4:$N789))</f>
        <v>-8619.6899999999987</v>
      </c>
      <c r="AB789">
        <f>(SUMIF($U$4:$U789,CONCATENATE("Buy",$C789),$F$4:$F789)+SUMIF($U$4:$U789,CONCATENATE("ReinvDiv",$C789),$F$4:$F789)+SUMIF($U$4:$U789,CONCATENATE("StkSplit",$C789),$F$4:$F789)-SUMIF($U$4:$U789,CONCATENATE("Sell",$C789),$F$4:$F789))</f>
        <v>1154</v>
      </c>
      <c r="AC789" s="3">
        <f>IF(B789="Sell",F789*INDEX(V:V,LOOKUP(2,1/(X$4:X788=CONCATENATE(C789,"_ACB")),ROW(V$4:V788))),0)</f>
        <v>0</v>
      </c>
    </row>
    <row r="790" spans="1:29" x14ac:dyDescent="0.25">
      <c r="A790" s="20">
        <v>41106</v>
      </c>
      <c r="B790" t="s">
        <v>43</v>
      </c>
      <c r="C790" t="s">
        <v>36</v>
      </c>
      <c r="D790" s="3">
        <v>0.11</v>
      </c>
      <c r="J790">
        <v>14.4</v>
      </c>
      <c r="M790" s="21">
        <f t="shared" si="98"/>
        <v>0.11</v>
      </c>
      <c r="N790" s="8">
        <f t="shared" si="104"/>
        <v>0.11</v>
      </c>
      <c r="O790" s="25">
        <f t="shared" si="101"/>
        <v>5553.3999999999269</v>
      </c>
      <c r="P790" s="8">
        <f t="shared" si="99"/>
        <v>0</v>
      </c>
      <c r="Q790" s="4">
        <f>IF(AND(S790&gt;=[1]eRRSP_Rpt!$C$6,S790&lt;=[1]eRRSP_Rpt!$C$7),1,0)</f>
        <v>1</v>
      </c>
      <c r="R790" s="4"/>
      <c r="S790" s="4">
        <f t="shared" si="97"/>
        <v>2012</v>
      </c>
      <c r="T790" s="4"/>
      <c r="U790" s="4" t="str">
        <f t="shared" si="100"/>
        <v>IntIncTDW</v>
      </c>
      <c r="V790" s="23">
        <f>IFERROR(IF(AND(AB790&gt;0,B790&lt;&gt;"Sell"),(AA790-SUMIF(C$4:C789,C790,AC$4:AC790))/AB790,0),"")</f>
        <v>0</v>
      </c>
      <c r="W790" s="24" t="str">
        <f t="shared" si="103"/>
        <v/>
      </c>
      <c r="X790" s="25" t="str">
        <f t="shared" si="102"/>
        <v/>
      </c>
      <c r="Y790" s="10" t="str">
        <f>IF(S791&lt;&gt;eRRSP_Tx_Table[[#This Row],[Year]],SUMIFS($W$4:$W790,$S$4:$S790,eRRSP_Tx_Table[[#This Row],[Year]],$W$4:$W790,"&gt;0"),"")</f>
        <v/>
      </c>
      <c r="Z790" s="10" t="str">
        <f>IF(S791&lt;&gt;eRRSP_Tx_Table[[#This Row],[Year]],SUMIFS($W$4:$W790,$S$4:$S790,eRRSP_Tx_Table[[#This Row],[Year]],$W$4:$W790,"&lt;0"),"")</f>
        <v/>
      </c>
      <c r="AA790" s="3">
        <f>(SUMIF($U$4:$U790,CONCATENATE("Buy",$C790),$N$4:$N790)+SUMIF($U$4:$U790,CONCATENATE("ReinvDiv",$C790),$N$4:$N790))</f>
        <v>0</v>
      </c>
      <c r="AB790">
        <f>(SUMIF($U$4:$U790,CONCATENATE("Buy",$C790),$F$4:$F790)+SUMIF($U$4:$U790,CONCATENATE("ReinvDiv",$C790),$F$4:$F790)+SUMIF($U$4:$U790,CONCATENATE("StkSplit",$C790),$F$4:$F790)-SUMIF($U$4:$U790,CONCATENATE("Sell",$C790),$F$4:$F790))</f>
        <v>0</v>
      </c>
      <c r="AC790" s="3">
        <f>IF(B790="Sell",F790*INDEX(V:V,LOOKUP(2,1/(X$4:X789=CONCATENATE(C790,"_ACB")),ROW(V$4:V789))),0)</f>
        <v>0</v>
      </c>
    </row>
    <row r="791" spans="1:29" x14ac:dyDescent="0.25">
      <c r="A791" s="20">
        <v>41116</v>
      </c>
      <c r="B791" t="s">
        <v>43</v>
      </c>
      <c r="C791" t="s">
        <v>94</v>
      </c>
      <c r="D791" s="3">
        <v>486.5</v>
      </c>
      <c r="J791">
        <v>26.81</v>
      </c>
      <c r="M791" s="21">
        <f t="shared" si="98"/>
        <v>486.5</v>
      </c>
      <c r="N791" s="8">
        <f t="shared" si="104"/>
        <v>486.5</v>
      </c>
      <c r="O791" s="25">
        <f t="shared" si="101"/>
        <v>6039.8999999999269</v>
      </c>
      <c r="P791" s="8">
        <f t="shared" si="99"/>
        <v>0</v>
      </c>
      <c r="Q791" s="4">
        <f>IF(AND(S791&gt;=[1]eRRSP_Rpt!$C$6,S791&lt;=[1]eRRSP_Rpt!$C$7),1,0)</f>
        <v>1</v>
      </c>
      <c r="R791" s="4"/>
      <c r="S791" s="4">
        <f t="shared" si="97"/>
        <v>2012</v>
      </c>
      <c r="T791" s="4"/>
      <c r="U791" s="4" t="str">
        <f t="shared" si="100"/>
        <v>IntIncAIMIA SER-3  6.95% 26JA17</v>
      </c>
      <c r="V791" s="23">
        <f>IFERROR(IF(AND(AB791&gt;0,B791&lt;&gt;"Sell"),(AA791-SUMIF(C$4:C790,C791,AC$4:AC791))/AB791,0),"")</f>
        <v>-1.0346899999999999</v>
      </c>
      <c r="W791" s="24" t="str">
        <f t="shared" si="103"/>
        <v/>
      </c>
      <c r="X791" s="25" t="str">
        <f t="shared" si="102"/>
        <v>AIMIA SER-3  6.95% 26JA17_ACB</v>
      </c>
      <c r="Y791" s="10" t="str">
        <f>IF(S792&lt;&gt;eRRSP_Tx_Table[[#This Row],[Year]],SUMIFS($W$4:$W791,$S$4:$S791,eRRSP_Tx_Table[[#This Row],[Year]],$W$4:$W791,"&gt;0"),"")</f>
        <v/>
      </c>
      <c r="Z791" s="10" t="str">
        <f>IF(S792&lt;&gt;eRRSP_Tx_Table[[#This Row],[Year]],SUMIFS($W$4:$W791,$S$4:$S791,eRRSP_Tx_Table[[#This Row],[Year]],$W$4:$W791,"&lt;0"),"")</f>
        <v/>
      </c>
      <c r="AA791" s="3">
        <f>(SUMIF($U$4:$U791,CONCATENATE("Buy",$C791),$N$4:$N791)+SUMIF($U$4:$U791,CONCATENATE("ReinvDiv",$C791),$N$4:$N791))</f>
        <v>-14485.66</v>
      </c>
      <c r="AB791">
        <f>(SUMIF($U$4:$U791,CONCATENATE("Buy",$C791),$F$4:$F791)+SUMIF($U$4:$U791,CONCATENATE("ReinvDiv",$C791),$F$4:$F791)+SUMIF($U$4:$U791,CONCATENATE("StkSplit",$C791),$F$4:$F791)-SUMIF($U$4:$U791,CONCATENATE("Sell",$C791),$F$4:$F791))</f>
        <v>14000</v>
      </c>
      <c r="AC791" s="3">
        <f>IF(B791="Sell",F791*INDEX(V:V,LOOKUP(2,1/(X$4:X790=CONCATENATE(C791,"_ACB")),ROW(V$4:V790))),0)</f>
        <v>0</v>
      </c>
    </row>
    <row r="792" spans="1:29" x14ac:dyDescent="0.25">
      <c r="A792" s="20">
        <v>41121</v>
      </c>
      <c r="B792" t="s">
        <v>42</v>
      </c>
      <c r="C792" t="s">
        <v>45</v>
      </c>
      <c r="D792" s="3">
        <v>14.4</v>
      </c>
      <c r="J792">
        <v>0.12</v>
      </c>
      <c r="M792" s="21">
        <f t="shared" si="98"/>
        <v>14.4</v>
      </c>
      <c r="N792" s="8">
        <f t="shared" si="104"/>
        <v>14.4</v>
      </c>
      <c r="O792" s="25">
        <f t="shared" si="101"/>
        <v>6054.2999999999265</v>
      </c>
      <c r="P792" s="8">
        <f t="shared" si="99"/>
        <v>0</v>
      </c>
      <c r="Q792" s="4">
        <f>IF(AND(S792&gt;=[1]eRRSP_Rpt!$C$6,S792&lt;=[1]eRRSP_Rpt!$C$7),1,0)</f>
        <v>1</v>
      </c>
      <c r="R792" s="4"/>
      <c r="S792" s="4">
        <f t="shared" si="97"/>
        <v>2012</v>
      </c>
      <c r="T792" s="4"/>
      <c r="U792" s="4" t="str">
        <f t="shared" si="100"/>
        <v>DivTD Bank</v>
      </c>
      <c r="V792" s="23">
        <f>IFERROR(IF(AND(AB792&gt;0,B792&lt;&gt;"Sell"),(AA792-SUMIF(C$4:C791,C792,AC$4:AC792))/AB792,0),"")</f>
        <v>-44.29</v>
      </c>
      <c r="W792" s="24" t="str">
        <f t="shared" si="103"/>
        <v/>
      </c>
      <c r="X792" s="25" t="str">
        <f t="shared" si="102"/>
        <v>TD Bank_ACB</v>
      </c>
      <c r="Y792" s="10" t="str">
        <f>IF(S793&lt;&gt;eRRSP_Tx_Table[[#This Row],[Year]],SUMIFS($W$4:$W792,$S$4:$S792,eRRSP_Tx_Table[[#This Row],[Year]],$W$4:$W792,"&gt;0"),"")</f>
        <v/>
      </c>
      <c r="Z792" s="10" t="str">
        <f>IF(S793&lt;&gt;eRRSP_Tx_Table[[#This Row],[Year]],SUMIFS($W$4:$W792,$S$4:$S792,eRRSP_Tx_Table[[#This Row],[Year]],$W$4:$W792,"&lt;0"),"")</f>
        <v/>
      </c>
      <c r="AA792" s="3">
        <f>(SUMIF($U$4:$U792,CONCATENATE("Buy",$C792),$N$4:$N792)+SUMIF($U$4:$U792,CONCATENATE("ReinvDiv",$C792),$N$4:$N792))</f>
        <v>-885.8</v>
      </c>
      <c r="AB792">
        <f>(SUMIF($U$4:$U792,CONCATENATE("Buy",$C792),$F$4:$F792)+SUMIF($U$4:$U792,CONCATENATE("ReinvDiv",$C792),$F$4:$F792)+SUMIF($U$4:$U792,CONCATENATE("StkSplit",$C792),$F$4:$F792)-SUMIF($U$4:$U792,CONCATENATE("Sell",$C792),$F$4:$F792))</f>
        <v>20</v>
      </c>
      <c r="AC792" s="3">
        <f>IF(B792="Sell",F792*INDEX(V:V,LOOKUP(2,1/(X$4:X791=CONCATENATE(C792,"_ACB")),ROW(V$4:V791))),0)</f>
        <v>0</v>
      </c>
    </row>
    <row r="793" spans="1:29" x14ac:dyDescent="0.25">
      <c r="A793" s="20">
        <v>41121</v>
      </c>
      <c r="B793" t="s">
        <v>43</v>
      </c>
      <c r="C793" t="s">
        <v>99</v>
      </c>
      <c r="D793" s="3">
        <v>26.81</v>
      </c>
      <c r="J793">
        <v>39.200000000000003</v>
      </c>
      <c r="M793" s="21">
        <f t="shared" si="98"/>
        <v>26.81</v>
      </c>
      <c r="N793" s="8">
        <f t="shared" si="104"/>
        <v>26.81</v>
      </c>
      <c r="O793" s="25">
        <f t="shared" si="101"/>
        <v>6081.1099999999269</v>
      </c>
      <c r="P793" s="8">
        <f t="shared" si="99"/>
        <v>0</v>
      </c>
      <c r="Q793" s="4">
        <f>IF(AND(S793&gt;=[1]eRRSP_Rpt!$C$6,S793&lt;=[1]eRRSP_Rpt!$C$7),1,0)</f>
        <v>1</v>
      </c>
      <c r="R793" s="4"/>
      <c r="S793" s="4">
        <f t="shared" si="97"/>
        <v>2012</v>
      </c>
      <c r="T793" s="4"/>
      <c r="U793" s="4" t="str">
        <f t="shared" si="100"/>
        <v>IntIncTD INV SAV ACCT  /NL'FRAC</v>
      </c>
      <c r="V793" s="23">
        <f>IFERROR(IF(AND(AB793&gt;0,B793&lt;&gt;"Sell"),(AA793-SUMIF(C$4:C792,C793,AC$4:AC793))/AB793,0),"")</f>
        <v>-10</v>
      </c>
      <c r="W793" s="24" t="str">
        <f t="shared" si="103"/>
        <v/>
      </c>
      <c r="X793" s="25" t="str">
        <f t="shared" si="102"/>
        <v>TD INV SAV ACCT  /NL'FRAC_ACB</v>
      </c>
      <c r="Y793" s="10" t="str">
        <f>IF(S794&lt;&gt;eRRSP_Tx_Table[[#This Row],[Year]],SUMIFS($W$4:$W793,$S$4:$S793,eRRSP_Tx_Table[[#This Row],[Year]],$W$4:$W793,"&gt;0"),"")</f>
        <v/>
      </c>
      <c r="Z793" s="10" t="str">
        <f>IF(S794&lt;&gt;eRRSP_Tx_Table[[#This Row],[Year]],SUMIFS($W$4:$W793,$S$4:$S793,eRRSP_Tx_Table[[#This Row],[Year]],$W$4:$W793,"&lt;0"),"")</f>
        <v/>
      </c>
      <c r="AA793" s="3">
        <f>(SUMIF($U$4:$U793,CONCATENATE("Buy",$C793),$N$4:$N793)+SUMIF($U$4:$U793,CONCATENATE("ReinvDiv",$C793),$N$4:$N793))</f>
        <v>-27000</v>
      </c>
      <c r="AB793">
        <f>(SUMIF($U$4:$U793,CONCATENATE("Buy",$C793),$F$4:$F793)+SUMIF($U$4:$U793,CONCATENATE("ReinvDiv",$C793),$F$4:$F793)+SUMIF($U$4:$U793,CONCATENATE("StkSplit",$C793),$F$4:$F793)-SUMIF($U$4:$U793,CONCATENATE("Sell",$C793),$F$4:$F793))</f>
        <v>2700</v>
      </c>
      <c r="AC793" s="3">
        <f>IF(B793="Sell",F793*INDEX(V:V,LOOKUP(2,1/(X$4:X792=CONCATENATE(C793,"_ACB")),ROW(V$4:V792))),0)</f>
        <v>0</v>
      </c>
    </row>
    <row r="794" spans="1:29" x14ac:dyDescent="0.25">
      <c r="A794" s="20">
        <v>41137</v>
      </c>
      <c r="B794" t="s">
        <v>43</v>
      </c>
      <c r="C794" t="s">
        <v>36</v>
      </c>
      <c r="D794" s="3">
        <v>0.12</v>
      </c>
      <c r="J794">
        <v>31.44</v>
      </c>
      <c r="M794" s="21">
        <f t="shared" si="98"/>
        <v>0.12</v>
      </c>
      <c r="N794" s="8">
        <f t="shared" si="104"/>
        <v>0.12</v>
      </c>
      <c r="O794" s="25">
        <f t="shared" si="101"/>
        <v>6081.2299999999268</v>
      </c>
      <c r="P794" s="8">
        <f t="shared" si="99"/>
        <v>0</v>
      </c>
      <c r="Q794" s="4">
        <f>IF(AND(S794&gt;=[1]eRRSP_Rpt!$C$6,S794&lt;=[1]eRRSP_Rpt!$C$7),1,0)</f>
        <v>1</v>
      </c>
      <c r="R794" s="4"/>
      <c r="S794" s="4">
        <f t="shared" si="97"/>
        <v>2012</v>
      </c>
      <c r="T794" s="4"/>
      <c r="U794" s="4" t="str">
        <f t="shared" si="100"/>
        <v>IntIncTDW</v>
      </c>
      <c r="V794" s="23">
        <f>IFERROR(IF(AND(AB794&gt;0,B794&lt;&gt;"Sell"),(AA794-SUMIF(C$4:C793,C794,AC$4:AC794))/AB794,0),"")</f>
        <v>0</v>
      </c>
      <c r="W794" s="24" t="str">
        <f t="shared" si="103"/>
        <v/>
      </c>
      <c r="X794" s="25" t="str">
        <f t="shared" si="102"/>
        <v/>
      </c>
      <c r="Y794" s="10" t="str">
        <f>IF(S795&lt;&gt;eRRSP_Tx_Table[[#This Row],[Year]],SUMIFS($W$4:$W794,$S$4:$S794,eRRSP_Tx_Table[[#This Row],[Year]],$W$4:$W794,"&gt;0"),"")</f>
        <v/>
      </c>
      <c r="Z794" s="10" t="str">
        <f>IF(S795&lt;&gt;eRRSP_Tx_Table[[#This Row],[Year]],SUMIFS($W$4:$W794,$S$4:$S794,eRRSP_Tx_Table[[#This Row],[Year]],$W$4:$W794,"&lt;0"),"")</f>
        <v/>
      </c>
      <c r="AA794" s="3">
        <f>(SUMIF($U$4:$U794,CONCATENATE("Buy",$C794),$N$4:$N794)+SUMIF($U$4:$U794,CONCATENATE("ReinvDiv",$C794),$N$4:$N794))</f>
        <v>0</v>
      </c>
      <c r="AB794">
        <f>(SUMIF($U$4:$U794,CONCATENATE("Buy",$C794),$F$4:$F794)+SUMIF($U$4:$U794,CONCATENATE("ReinvDiv",$C794),$F$4:$F794)+SUMIF($U$4:$U794,CONCATENATE("StkSplit",$C794),$F$4:$F794)-SUMIF($U$4:$U794,CONCATENATE("Sell",$C794),$F$4:$F794))</f>
        <v>0</v>
      </c>
      <c r="AC794" s="3">
        <f>IF(B794="Sell",F794*INDEX(V:V,LOOKUP(2,1/(X$4:X793=CONCATENATE(C794,"_ACB")),ROW(V$4:V793))),0)</f>
        <v>0</v>
      </c>
    </row>
    <row r="795" spans="1:29" x14ac:dyDescent="0.25">
      <c r="A795" s="20">
        <v>41138</v>
      </c>
      <c r="B795" t="s">
        <v>42</v>
      </c>
      <c r="C795" t="s">
        <v>87</v>
      </c>
      <c r="D795" s="3">
        <v>39.200000000000003</v>
      </c>
      <c r="J795">
        <v>97.75</v>
      </c>
      <c r="M795" s="21">
        <f t="shared" si="98"/>
        <v>39.200000000000003</v>
      </c>
      <c r="N795" s="8">
        <f t="shared" si="104"/>
        <v>39.200000000000003</v>
      </c>
      <c r="O795" s="25">
        <f t="shared" si="101"/>
        <v>6120.4299999999266</v>
      </c>
      <c r="P795" s="8">
        <f t="shared" si="99"/>
        <v>0</v>
      </c>
      <c r="Q795" s="4">
        <f>IF(AND(S795&gt;=[1]eRRSP_Rpt!$C$6,S795&lt;=[1]eRRSP_Rpt!$C$7),1,0)</f>
        <v>1</v>
      </c>
      <c r="R795" s="4"/>
      <c r="S795" s="4">
        <f t="shared" ref="S795:S860" si="105">YEAR(A795)</f>
        <v>2012</v>
      </c>
      <c r="T795" s="4"/>
      <c r="U795" s="4" t="str">
        <f t="shared" si="100"/>
        <v>DivAberdeen Asia Pacific Income Fund</v>
      </c>
      <c r="V795" s="23">
        <f>IFERROR(IF(AND(AB795&gt;0,B795&lt;&gt;"Sell"),(AA795-SUMIF(C$4:C794,C795,AC$4:AC795))/AB795,0),"")</f>
        <v>-7.4694020797227028</v>
      </c>
      <c r="W795" s="24" t="str">
        <f t="shared" si="103"/>
        <v/>
      </c>
      <c r="X795" s="25" t="str">
        <f t="shared" si="102"/>
        <v>Aberdeen Asia Pacific Income Fund_ACB</v>
      </c>
      <c r="Y795" s="10" t="str">
        <f>IF(S796&lt;&gt;eRRSP_Tx_Table[[#This Row],[Year]],SUMIFS($W$4:$W795,$S$4:$S795,eRRSP_Tx_Table[[#This Row],[Year]],$W$4:$W795,"&gt;0"),"")</f>
        <v/>
      </c>
      <c r="Z795" s="10" t="str">
        <f>IF(S796&lt;&gt;eRRSP_Tx_Table[[#This Row],[Year]],SUMIFS($W$4:$W795,$S$4:$S795,eRRSP_Tx_Table[[#This Row],[Year]],$W$4:$W795,"&lt;0"),"")</f>
        <v/>
      </c>
      <c r="AA795" s="3">
        <f>(SUMIF($U$4:$U795,CONCATENATE("Buy",$C795),$N$4:$N795)+SUMIF($U$4:$U795,CONCATENATE("ReinvDiv",$C795),$N$4:$N795))</f>
        <v>-8619.6899999999987</v>
      </c>
      <c r="AB795">
        <f>(SUMIF($U$4:$U795,CONCATENATE("Buy",$C795),$F$4:$F795)+SUMIF($U$4:$U795,CONCATENATE("ReinvDiv",$C795),$F$4:$F795)+SUMIF($U$4:$U795,CONCATENATE("StkSplit",$C795),$F$4:$F795)-SUMIF($U$4:$U795,CONCATENATE("Sell",$C795),$F$4:$F795))</f>
        <v>1154</v>
      </c>
      <c r="AC795" s="3">
        <f>IF(B795="Sell",F795*INDEX(V:V,LOOKUP(2,1/(X$4:X794=CONCATENATE(C795,"_ACB")),ROW(V$4:V794))),0)</f>
        <v>0</v>
      </c>
    </row>
    <row r="796" spans="1:29" x14ac:dyDescent="0.25">
      <c r="A796" s="20">
        <v>41152</v>
      </c>
      <c r="B796" t="s">
        <v>43</v>
      </c>
      <c r="C796" t="s">
        <v>99</v>
      </c>
      <c r="D796" s="3">
        <v>31.44</v>
      </c>
      <c r="J796">
        <v>38.43</v>
      </c>
      <c r="M796" s="21">
        <f t="shared" si="98"/>
        <v>31.44</v>
      </c>
      <c r="N796" s="8">
        <f t="shared" si="104"/>
        <v>31.44</v>
      </c>
      <c r="O796" s="25">
        <f t="shared" si="101"/>
        <v>6151.8699999999262</v>
      </c>
      <c r="P796" s="8">
        <f t="shared" si="99"/>
        <v>0</v>
      </c>
      <c r="Q796" s="4">
        <f>IF(AND(S796&gt;=[1]eRRSP_Rpt!$C$6,S796&lt;=[1]eRRSP_Rpt!$C$7),1,0)</f>
        <v>1</v>
      </c>
      <c r="R796" s="4"/>
      <c r="S796" s="4">
        <f t="shared" si="105"/>
        <v>2012</v>
      </c>
      <c r="T796" s="4"/>
      <c r="U796" s="4" t="str">
        <f t="shared" si="100"/>
        <v>IntIncTD INV SAV ACCT  /NL'FRAC</v>
      </c>
      <c r="V796" s="23">
        <f>IFERROR(IF(AND(AB796&gt;0,B796&lt;&gt;"Sell"),(AA796-SUMIF(C$4:C795,C796,AC$4:AC796))/AB796,0),"")</f>
        <v>-10</v>
      </c>
      <c r="W796" s="24" t="str">
        <f t="shared" si="103"/>
        <v/>
      </c>
      <c r="X796" s="25" t="str">
        <f t="shared" si="102"/>
        <v>TD INV SAV ACCT  /NL'FRAC_ACB</v>
      </c>
      <c r="Y796" s="10" t="str">
        <f>IF(S797&lt;&gt;eRRSP_Tx_Table[[#This Row],[Year]],SUMIFS($W$4:$W796,$S$4:$S796,eRRSP_Tx_Table[[#This Row],[Year]],$W$4:$W796,"&gt;0"),"")</f>
        <v/>
      </c>
      <c r="Z796" s="10" t="str">
        <f>IF(S797&lt;&gt;eRRSP_Tx_Table[[#This Row],[Year]],SUMIFS($W$4:$W796,$S$4:$S796,eRRSP_Tx_Table[[#This Row],[Year]],$W$4:$W796,"&lt;0"),"")</f>
        <v/>
      </c>
      <c r="AA796" s="3">
        <f>(SUMIF($U$4:$U796,CONCATENATE("Buy",$C796),$N$4:$N796)+SUMIF($U$4:$U796,CONCATENATE("ReinvDiv",$C796),$N$4:$N796))</f>
        <v>-27000</v>
      </c>
      <c r="AB796">
        <f>(SUMIF($U$4:$U796,CONCATENATE("Buy",$C796),$F$4:$F796)+SUMIF($U$4:$U796,CONCATENATE("ReinvDiv",$C796),$F$4:$F796)+SUMIF($U$4:$U796,CONCATENATE("StkSplit",$C796),$F$4:$F796)-SUMIF($U$4:$U796,CONCATENATE("Sell",$C796),$F$4:$F796))</f>
        <v>2700</v>
      </c>
      <c r="AC796" s="3">
        <f>IF(B796="Sell",F796*INDEX(V:V,LOOKUP(2,1/(X$4:X795=CONCATENATE(C796,"_ACB")),ROW(V$4:V795))),0)</f>
        <v>0</v>
      </c>
    </row>
    <row r="797" spans="1:29" x14ac:dyDescent="0.25">
      <c r="A797" s="20">
        <v>41153</v>
      </c>
      <c r="B797" t="s">
        <v>42</v>
      </c>
      <c r="C797" t="s">
        <v>33</v>
      </c>
      <c r="D797" s="3">
        <v>97.75</v>
      </c>
      <c r="J797">
        <v>0.13</v>
      </c>
      <c r="M797" s="21">
        <f t="shared" si="98"/>
        <v>97.75</v>
      </c>
      <c r="N797" s="8">
        <f t="shared" si="104"/>
        <v>97.75</v>
      </c>
      <c r="O797" s="25">
        <f t="shared" si="101"/>
        <v>6249.6199999999262</v>
      </c>
      <c r="P797" s="8">
        <f t="shared" si="99"/>
        <v>0</v>
      </c>
      <c r="Q797" s="4">
        <f>IF(AND(S797&gt;=[1]eRRSP_Rpt!$C$6,S797&lt;=[1]eRRSP_Rpt!$C$7),1,0)</f>
        <v>1</v>
      </c>
      <c r="R797" s="4"/>
      <c r="S797" s="4">
        <f t="shared" si="105"/>
        <v>2012</v>
      </c>
      <c r="T797" s="4"/>
      <c r="U797" s="4" t="str">
        <f t="shared" si="100"/>
        <v>DivEnbridge</v>
      </c>
      <c r="V797" s="23">
        <f>IFERROR(IF(AND(AB797&gt;0,B797&lt;&gt;"Sell"),(AA797-SUMIF(C$4:C796,C797,AC$4:AC797))/AB797,0),"")</f>
        <v>-16.981789097623633</v>
      </c>
      <c r="W797" s="24" t="str">
        <f t="shared" si="103"/>
        <v/>
      </c>
      <c r="X797" s="25" t="str">
        <f t="shared" si="102"/>
        <v>Enbridge_ACB</v>
      </c>
      <c r="Y797" s="10" t="str">
        <f>IF(S798&lt;&gt;eRRSP_Tx_Table[[#This Row],[Year]],SUMIFS($W$4:$W797,$S$4:$S797,eRRSP_Tx_Table[[#This Row],[Year]],$W$4:$W797,"&gt;0"),"")</f>
        <v/>
      </c>
      <c r="Z797" s="10" t="str">
        <f>IF(S798&lt;&gt;eRRSP_Tx_Table[[#This Row],[Year]],SUMIFS($W$4:$W797,$S$4:$S797,eRRSP_Tx_Table[[#This Row],[Year]],$W$4:$W797,"&lt;0"),"")</f>
        <v/>
      </c>
      <c r="AA797" s="3">
        <f>(SUMIF($U$4:$U797,CONCATENATE("Buy",$C797),$N$4:$N797)+SUMIF($U$4:$U797,CONCATENATE("ReinvDiv",$C797),$N$4:$N797))</f>
        <v>-6788.69</v>
      </c>
      <c r="AB797">
        <f>(SUMIF($U$4:$U797,CONCATENATE("Buy",$C797),$F$4:$F797)+SUMIF($U$4:$U797,CONCATENATE("ReinvDiv",$C797),$F$4:$F797)+SUMIF($U$4:$U797,CONCATENATE("StkSplit",$C797),$F$4:$F797)-SUMIF($U$4:$U797,CONCATENATE("Sell",$C797),$F$4:$F797))</f>
        <v>346</v>
      </c>
      <c r="AC797" s="3">
        <f>IF(B797="Sell",F797*INDEX(V:V,LOOKUP(2,1/(X$4:X796=CONCATENATE(C797,"_ACB")),ROW(V$4:V796))),0)</f>
        <v>0</v>
      </c>
    </row>
    <row r="798" spans="1:29" x14ac:dyDescent="0.25">
      <c r="A798" s="20">
        <v>41166</v>
      </c>
      <c r="B798" t="s">
        <v>42</v>
      </c>
      <c r="C798" t="s">
        <v>87</v>
      </c>
      <c r="D798" s="3">
        <v>38.43</v>
      </c>
      <c r="J798">
        <v>22.21</v>
      </c>
      <c r="M798" s="21">
        <f t="shared" si="98"/>
        <v>38.43</v>
      </c>
      <c r="N798" s="8">
        <f t="shared" si="104"/>
        <v>38.43</v>
      </c>
      <c r="O798" s="25">
        <f t="shared" si="101"/>
        <v>6288.0499999999265</v>
      </c>
      <c r="P798" s="8">
        <f t="shared" si="99"/>
        <v>0</v>
      </c>
      <c r="Q798" s="4">
        <f>IF(AND(S798&gt;=[1]eRRSP_Rpt!$C$6,S798&lt;=[1]eRRSP_Rpt!$C$7),1,0)</f>
        <v>1</v>
      </c>
      <c r="R798" s="4"/>
      <c r="S798" s="4">
        <f t="shared" si="105"/>
        <v>2012</v>
      </c>
      <c r="T798" s="4"/>
      <c r="U798" s="4" t="str">
        <f t="shared" si="100"/>
        <v>DivAberdeen Asia Pacific Income Fund</v>
      </c>
      <c r="V798" s="23">
        <f>IFERROR(IF(AND(AB798&gt;0,B798&lt;&gt;"Sell"),(AA798-SUMIF(C$4:C797,C798,AC$4:AC798))/AB798,0),"")</f>
        <v>-7.4694020797227028</v>
      </c>
      <c r="W798" s="24" t="str">
        <f t="shared" si="103"/>
        <v/>
      </c>
      <c r="X798" s="25" t="str">
        <f t="shared" si="102"/>
        <v>Aberdeen Asia Pacific Income Fund_ACB</v>
      </c>
      <c r="Y798" s="10" t="str">
        <f>IF(S799&lt;&gt;eRRSP_Tx_Table[[#This Row],[Year]],SUMIFS($W$4:$W798,$S$4:$S798,eRRSP_Tx_Table[[#This Row],[Year]],$W$4:$W798,"&gt;0"),"")</f>
        <v/>
      </c>
      <c r="Z798" s="10" t="str">
        <f>IF(S799&lt;&gt;eRRSP_Tx_Table[[#This Row],[Year]],SUMIFS($W$4:$W798,$S$4:$S798,eRRSP_Tx_Table[[#This Row],[Year]],$W$4:$W798,"&lt;0"),"")</f>
        <v/>
      </c>
      <c r="AA798" s="3">
        <f>(SUMIF($U$4:$U798,CONCATENATE("Buy",$C798),$N$4:$N798)+SUMIF($U$4:$U798,CONCATENATE("ReinvDiv",$C798),$N$4:$N798))</f>
        <v>-8619.6899999999987</v>
      </c>
      <c r="AB798">
        <f>(SUMIF($U$4:$U798,CONCATENATE("Buy",$C798),$F$4:$F798)+SUMIF($U$4:$U798,CONCATENATE("ReinvDiv",$C798),$F$4:$F798)+SUMIF($U$4:$U798,CONCATENATE("StkSplit",$C798),$F$4:$F798)-SUMIF($U$4:$U798,CONCATENATE("Sell",$C798),$F$4:$F798))</f>
        <v>1154</v>
      </c>
      <c r="AC798" s="3">
        <f>IF(B798="Sell",F798*INDEX(V:V,LOOKUP(2,1/(X$4:X797=CONCATENATE(C798,"_ACB")),ROW(V$4:V797))),0)</f>
        <v>0</v>
      </c>
    </row>
    <row r="799" spans="1:29" x14ac:dyDescent="0.25">
      <c r="A799" s="20">
        <v>41168</v>
      </c>
      <c r="B799" t="s">
        <v>43</v>
      </c>
      <c r="C799" t="s">
        <v>36</v>
      </c>
      <c r="D799" s="3">
        <v>0.13</v>
      </c>
      <c r="J799">
        <v>146.15</v>
      </c>
      <c r="M799" s="21">
        <f t="shared" ref="M799:M864" si="106">ROUND(IF(OR(B799="Buy",B799="Sell"),E799*F799,D799),2)</f>
        <v>0.13</v>
      </c>
      <c r="N799" s="8">
        <f t="shared" si="104"/>
        <v>0.13</v>
      </c>
      <c r="O799" s="25">
        <f t="shared" si="101"/>
        <v>6288.1799999999266</v>
      </c>
      <c r="P799" s="8">
        <f t="shared" ref="P799:P864" si="107">IF(OR($B799="Cash"),$N799,0)</f>
        <v>0</v>
      </c>
      <c r="Q799" s="4">
        <f>IF(AND(S799&gt;=[1]eRRSP_Rpt!$C$6,S799&lt;=[1]eRRSP_Rpt!$C$7),1,0)</f>
        <v>1</v>
      </c>
      <c r="R799" s="4"/>
      <c r="S799" s="4">
        <f t="shared" si="105"/>
        <v>2012</v>
      </c>
      <c r="T799" s="4"/>
      <c r="U799" s="4" t="str">
        <f t="shared" ref="U799:U864" si="108">CONCATENATE(B799,C799)</f>
        <v>IntIncTDW</v>
      </c>
      <c r="V799" s="23">
        <f>IFERROR(IF(AND(AB799&gt;0,B799&lt;&gt;"Sell"),(AA799-SUMIF(C$4:C798,C799,AC$4:AC799))/AB799,0),"")</f>
        <v>0</v>
      </c>
      <c r="W799" s="24" t="str">
        <f t="shared" si="103"/>
        <v/>
      </c>
      <c r="X799" s="25" t="str">
        <f t="shared" si="102"/>
        <v/>
      </c>
      <c r="Y799" s="10" t="str">
        <f>IF(S800&lt;&gt;eRRSP_Tx_Table[[#This Row],[Year]],SUMIFS($W$4:$W799,$S$4:$S799,eRRSP_Tx_Table[[#This Row],[Year]],$W$4:$W799,"&gt;0"),"")</f>
        <v/>
      </c>
      <c r="Z799" s="10" t="str">
        <f>IF(S800&lt;&gt;eRRSP_Tx_Table[[#This Row],[Year]],SUMIFS($W$4:$W799,$S$4:$S799,eRRSP_Tx_Table[[#This Row],[Year]],$W$4:$W799,"&lt;0"),"")</f>
        <v/>
      </c>
      <c r="AA799" s="3">
        <f>(SUMIF($U$4:$U799,CONCATENATE("Buy",$C799),$N$4:$N799)+SUMIF($U$4:$U799,CONCATENATE("ReinvDiv",$C799),$N$4:$N799))</f>
        <v>0</v>
      </c>
      <c r="AB799">
        <f>(SUMIF($U$4:$U799,CONCATENATE("Buy",$C799),$F$4:$F799)+SUMIF($U$4:$U799,CONCATENATE("ReinvDiv",$C799),$F$4:$F799)+SUMIF($U$4:$U799,CONCATENATE("StkSplit",$C799),$F$4:$F799)-SUMIF($U$4:$U799,CONCATENATE("Sell",$C799),$F$4:$F799))</f>
        <v>0</v>
      </c>
      <c r="AC799" s="3">
        <f>IF(B799="Sell",F799*INDEX(V:V,LOOKUP(2,1/(X$4:X798=CONCATENATE(C799,"_ACB")),ROW(V$4:V798))),0)</f>
        <v>0</v>
      </c>
    </row>
    <row r="800" spans="1:29" x14ac:dyDescent="0.25">
      <c r="A800" s="20">
        <v>41179</v>
      </c>
      <c r="B800" t="s">
        <v>41</v>
      </c>
      <c r="C800" t="s">
        <v>97</v>
      </c>
      <c r="D800" s="3">
        <v>146.15</v>
      </c>
      <c r="E800">
        <f>eRRSP_Tx_Table[[#This Row],[Amount]]/eRRSP_Tx_Table[[#This Row],[Quantity]]</f>
        <v>8.1798847036435891</v>
      </c>
      <c r="F800" s="3">
        <v>17.867000000000001</v>
      </c>
      <c r="J800">
        <v>36.64</v>
      </c>
      <c r="M800" s="21">
        <f t="shared" si="106"/>
        <v>146.15</v>
      </c>
      <c r="N800" s="8">
        <f t="shared" si="104"/>
        <v>-146.15</v>
      </c>
      <c r="O800" s="25">
        <f t="shared" si="101"/>
        <v>6288.1799999999266</v>
      </c>
      <c r="P800" s="8">
        <f t="shared" si="107"/>
        <v>0</v>
      </c>
      <c r="Q800" s="4">
        <f>IF(AND(S800&gt;=[1]eRRSP_Rpt!$C$6,S800&lt;=[1]eRRSP_Rpt!$C$7),1,0)</f>
        <v>1</v>
      </c>
      <c r="R800" s="4"/>
      <c r="S800" s="4">
        <f t="shared" si="105"/>
        <v>2012</v>
      </c>
      <c r="T800" s="4"/>
      <c r="U800" s="4" t="str">
        <f t="shared" si="108"/>
        <v>ReinvDivTD International Index - e</v>
      </c>
      <c r="V800" s="23">
        <f>IFERROR(IF(AND(AB800&gt;0,B800&lt;&gt;"Sell"),(AA800-SUMIF(C$4:C799,C800,AC$4:AC800))/AB800,0),"")</f>
        <v>-8.3401855447252942</v>
      </c>
      <c r="W800" s="24" t="str">
        <f t="shared" si="103"/>
        <v/>
      </c>
      <c r="X800" s="25" t="str">
        <f t="shared" si="102"/>
        <v>TD International Index - e_ACB</v>
      </c>
      <c r="Y800" s="10" t="str">
        <f>IF(S801&lt;&gt;eRRSP_Tx_Table[[#This Row],[Year]],SUMIFS($W$4:$W800,$S$4:$S800,eRRSP_Tx_Table[[#This Row],[Year]],$W$4:$W800,"&gt;0"),"")</f>
        <v/>
      </c>
      <c r="Z800" s="10" t="str">
        <f>IF(S801&lt;&gt;eRRSP_Tx_Table[[#This Row],[Year]],SUMIFS($W$4:$W800,$S$4:$S800,eRRSP_Tx_Table[[#This Row],[Year]],$W$4:$W800,"&lt;0"),"")</f>
        <v/>
      </c>
      <c r="AA800" s="3">
        <f>(SUMIF($U$4:$U800,CONCATENATE("Buy",$C800),$N$4:$N800)+SUMIF($U$4:$U800,CONCATENATE("ReinvDiv",$C800),$N$4:$N800))</f>
        <v>-28605.11</v>
      </c>
      <c r="AB800">
        <f>(SUMIF($U$4:$U800,CONCATENATE("Buy",$C800),$F$4:$F800)+SUMIF($U$4:$U800,CONCATENATE("ReinvDiv",$C800),$F$4:$F800)+SUMIF($U$4:$U800,CONCATENATE("StkSplit",$C800),$F$4:$F800)-SUMIF($U$4:$U800,CONCATENATE("Sell",$C800),$F$4:$F800))</f>
        <v>3429.7930000000001</v>
      </c>
      <c r="AC800" s="3">
        <f>IF(B800="Sell",F800*INDEX(V:V,LOOKUP(2,1/(X$4:X799=CONCATENATE(C800,"_ACB")),ROW(V$4:V799))),0)</f>
        <v>0</v>
      </c>
    </row>
    <row r="801" spans="1:29" x14ac:dyDescent="0.25">
      <c r="A801" s="20">
        <v>41179</v>
      </c>
      <c r="B801" t="s">
        <v>41</v>
      </c>
      <c r="C801" t="s">
        <v>62</v>
      </c>
      <c r="D801" s="3">
        <v>36.64</v>
      </c>
      <c r="E801">
        <v>18.559999999999999</v>
      </c>
      <c r="F801" s="3">
        <v>1.974</v>
      </c>
      <c r="J801">
        <v>24.97</v>
      </c>
      <c r="M801" s="21">
        <f t="shared" si="106"/>
        <v>36.64</v>
      </c>
      <c r="N801" s="8">
        <f t="shared" si="104"/>
        <v>-36.64</v>
      </c>
      <c r="O801" s="25">
        <f t="shared" si="101"/>
        <v>6288.1799999999266</v>
      </c>
      <c r="P801" s="8">
        <f t="shared" si="107"/>
        <v>0</v>
      </c>
      <c r="Q801" s="4">
        <f>IF(AND(S801&gt;=[1]eRRSP_Rpt!$C$6,S801&lt;=[1]eRRSP_Rpt!$C$7),1,0)</f>
        <v>1</v>
      </c>
      <c r="R801" s="4"/>
      <c r="S801" s="4">
        <f t="shared" si="105"/>
        <v>2012</v>
      </c>
      <c r="T801" s="4"/>
      <c r="U801" s="4" t="str">
        <f t="shared" si="108"/>
        <v>ReinvDivTD RR Bond</v>
      </c>
      <c r="V801" s="23">
        <f>IFERROR(IF(AND(AB801&gt;0,B801&lt;&gt;"Sell"),(AA801-SUMIF(C$4:C800,C801,AC$4:AC801))/AB801,0),"")</f>
        <v>-14.385609582352084</v>
      </c>
      <c r="W801" s="24" t="str">
        <f t="shared" si="103"/>
        <v/>
      </c>
      <c r="X801" s="25" t="str">
        <f t="shared" si="102"/>
        <v>TD RR Bond_ACB</v>
      </c>
      <c r="Y801" s="10" t="str">
        <f>IF(S802&lt;&gt;eRRSP_Tx_Table[[#This Row],[Year]],SUMIFS($W$4:$W801,$S$4:$S801,eRRSP_Tx_Table[[#This Row],[Year]],$W$4:$W801,"&gt;0"),"")</f>
        <v/>
      </c>
      <c r="Z801" s="10" t="str">
        <f>IF(S802&lt;&gt;eRRSP_Tx_Table[[#This Row],[Year]],SUMIFS($W$4:$W801,$S$4:$S801,eRRSP_Tx_Table[[#This Row],[Year]],$W$4:$W801,"&lt;0"),"")</f>
        <v/>
      </c>
      <c r="AA801" s="3">
        <f>(SUMIF($U$4:$U801,CONCATENATE("Buy",$C801),$N$4:$N801)+SUMIF($U$4:$U801,CONCATENATE("ReinvDiv",$C801),$N$4:$N801))</f>
        <v>-10561.67</v>
      </c>
      <c r="AB801">
        <f>(SUMIF($U$4:$U801,CONCATENATE("Buy",$C801),$F$4:$F801)+SUMIF($U$4:$U801,CONCATENATE("ReinvDiv",$C801),$F$4:$F801)+SUMIF($U$4:$U801,CONCATENATE("StkSplit",$C801),$F$4:$F801)-SUMIF($U$4:$U801,CONCATENATE("Sell",$C801),$F$4:$F801))</f>
        <v>734.18299999999999</v>
      </c>
      <c r="AC801" s="3">
        <f>IF(B801="Sell",F801*INDEX(V:V,LOOKUP(2,1/(X$4:X800=CONCATENATE(C801,"_ACB")),ROW(V$4:V800))),0)</f>
        <v>0</v>
      </c>
    </row>
    <row r="802" spans="1:29" x14ac:dyDescent="0.25">
      <c r="A802" s="20">
        <v>41180</v>
      </c>
      <c r="B802" t="s">
        <v>42</v>
      </c>
      <c r="C802" t="s">
        <v>90</v>
      </c>
      <c r="D802" s="3">
        <v>22.21</v>
      </c>
      <c r="J802">
        <v>0.76</v>
      </c>
      <c r="M802" s="21">
        <f t="shared" si="106"/>
        <v>22.21</v>
      </c>
      <c r="N802" s="8">
        <f t="shared" si="104"/>
        <v>22.21</v>
      </c>
      <c r="O802" s="25">
        <f t="shared" si="101"/>
        <v>6310.3899999999267</v>
      </c>
      <c r="P802" s="8">
        <f t="shared" si="107"/>
        <v>0</v>
      </c>
      <c r="Q802" s="4">
        <f>IF(AND(S802&gt;=[1]eRRSP_Rpt!$C$6,S802&lt;=[1]eRRSP_Rpt!$C$7),1,0)</f>
        <v>1</v>
      </c>
      <c r="R802" s="4"/>
      <c r="S802" s="4">
        <f t="shared" si="105"/>
        <v>2012</v>
      </c>
      <c r="T802" s="4"/>
      <c r="U802" s="4" t="str">
        <f t="shared" si="108"/>
        <v>DivVanguard Large Cap ETF</v>
      </c>
      <c r="V802" s="23">
        <f>IFERROR(IF(AND(AB802&gt;0,B802&lt;&gt;"Sell"),(AA802-SUMIF(C$4:C801,C802,AC$4:AC802))/AB802,0),"")</f>
        <v>-74.401142857142858</v>
      </c>
      <c r="W802" s="24" t="str">
        <f t="shared" si="103"/>
        <v/>
      </c>
      <c r="X802" s="25" t="str">
        <f t="shared" si="102"/>
        <v>Vanguard Large Cap ETF_ACB</v>
      </c>
      <c r="Y802" s="10" t="str">
        <f>IF(S803&lt;&gt;eRRSP_Tx_Table[[#This Row],[Year]],SUMIFS($W$4:$W802,$S$4:$S802,eRRSP_Tx_Table[[#This Row],[Year]],$W$4:$W802,"&gt;0"),"")</f>
        <v/>
      </c>
      <c r="Z802" s="10" t="str">
        <f>IF(S803&lt;&gt;eRRSP_Tx_Table[[#This Row],[Year]],SUMIFS($W$4:$W802,$S$4:$S802,eRRSP_Tx_Table[[#This Row],[Year]],$W$4:$W802,"&lt;0"),"")</f>
        <v/>
      </c>
      <c r="AA802" s="3">
        <f>(SUMIF($U$4:$U802,CONCATENATE("Buy",$C802),$N$4:$N802)+SUMIF($U$4:$U802,CONCATENATE("ReinvDiv",$C802),$N$4:$N802))</f>
        <v>-5208.08</v>
      </c>
      <c r="AB802">
        <f>(SUMIF($U$4:$U802,CONCATENATE("Buy",$C802),$F$4:$F802)+SUMIF($U$4:$U802,CONCATENATE("ReinvDiv",$C802),$F$4:$F802)+SUMIF($U$4:$U802,CONCATENATE("StkSplit",$C802),$F$4:$F802)-SUMIF($U$4:$U802,CONCATENATE("Sell",$C802),$F$4:$F802))</f>
        <v>70</v>
      </c>
      <c r="AC802" s="3">
        <f>IF(B802="Sell",F802*INDEX(V:V,LOOKUP(2,1/(X$4:X801=CONCATENATE(C802,"_ACB")),ROW(V$4:V801))),0)</f>
        <v>0</v>
      </c>
    </row>
    <row r="803" spans="1:29" x14ac:dyDescent="0.25">
      <c r="A803" s="20">
        <v>41180</v>
      </c>
      <c r="B803" t="s">
        <v>43</v>
      </c>
      <c r="C803" t="s">
        <v>99</v>
      </c>
      <c r="D803" s="3">
        <v>24.97</v>
      </c>
      <c r="J803">
        <v>38.9</v>
      </c>
      <c r="M803" s="21">
        <f t="shared" si="106"/>
        <v>24.97</v>
      </c>
      <c r="N803" s="8">
        <f t="shared" si="104"/>
        <v>24.97</v>
      </c>
      <c r="O803" s="25">
        <f t="shared" si="101"/>
        <v>6335.3599999999269</v>
      </c>
      <c r="P803" s="8">
        <f t="shared" si="107"/>
        <v>0</v>
      </c>
      <c r="Q803" s="4">
        <f>IF(AND(S803&gt;=[1]eRRSP_Rpt!$C$6,S803&lt;=[1]eRRSP_Rpt!$C$7),1,0)</f>
        <v>1</v>
      </c>
      <c r="R803" s="4"/>
      <c r="S803" s="4">
        <f t="shared" si="105"/>
        <v>2012</v>
      </c>
      <c r="T803" s="4"/>
      <c r="U803" s="4" t="str">
        <f t="shared" si="108"/>
        <v>IntIncTD INV SAV ACCT  /NL'FRAC</v>
      </c>
      <c r="V803" s="23">
        <f>IFERROR(IF(AND(AB803&gt;0,B803&lt;&gt;"Sell"),(AA803-SUMIF(C$4:C802,C803,AC$4:AC803))/AB803,0),"")</f>
        <v>-10</v>
      </c>
      <c r="W803" s="24" t="str">
        <f t="shared" si="103"/>
        <v/>
      </c>
      <c r="X803" s="25" t="str">
        <f t="shared" si="102"/>
        <v>TD INV SAV ACCT  /NL'FRAC_ACB</v>
      </c>
      <c r="Y803" s="10" t="str">
        <f>IF(S804&lt;&gt;eRRSP_Tx_Table[[#This Row],[Year]],SUMIFS($W$4:$W803,$S$4:$S803,eRRSP_Tx_Table[[#This Row],[Year]],$W$4:$W803,"&gt;0"),"")</f>
        <v/>
      </c>
      <c r="Z803" s="10" t="str">
        <f>IF(S804&lt;&gt;eRRSP_Tx_Table[[#This Row],[Year]],SUMIFS($W$4:$W803,$S$4:$S803,eRRSP_Tx_Table[[#This Row],[Year]],$W$4:$W803,"&lt;0"),"")</f>
        <v/>
      </c>
      <c r="AA803" s="3">
        <f>(SUMIF($U$4:$U803,CONCATENATE("Buy",$C803),$N$4:$N803)+SUMIF($U$4:$U803,CONCATENATE("ReinvDiv",$C803),$N$4:$N803))</f>
        <v>-27000</v>
      </c>
      <c r="AB803">
        <f>(SUMIF($U$4:$U803,CONCATENATE("Buy",$C803),$F$4:$F803)+SUMIF($U$4:$U803,CONCATENATE("ReinvDiv",$C803),$F$4:$F803)+SUMIF($U$4:$U803,CONCATENATE("StkSplit",$C803),$F$4:$F803)-SUMIF($U$4:$U803,CONCATENATE("Sell",$C803),$F$4:$F803))</f>
        <v>2700</v>
      </c>
      <c r="AC803" s="3">
        <f>IF(B803="Sell",F803*INDEX(V:V,LOOKUP(2,1/(X$4:X802=CONCATENATE(C803,"_ACB")),ROW(V$4:V802))),0)</f>
        <v>0</v>
      </c>
    </row>
    <row r="804" spans="1:29" x14ac:dyDescent="0.25">
      <c r="A804" s="20">
        <v>41182</v>
      </c>
      <c r="B804" t="s">
        <v>42</v>
      </c>
      <c r="C804" t="s">
        <v>47</v>
      </c>
      <c r="D804" s="3">
        <v>0.76</v>
      </c>
      <c r="J804">
        <v>0.12</v>
      </c>
      <c r="M804" s="21">
        <f t="shared" si="106"/>
        <v>0.76</v>
      </c>
      <c r="N804" s="8">
        <f t="shared" si="104"/>
        <v>0.76</v>
      </c>
      <c r="O804" s="25">
        <f t="shared" si="101"/>
        <v>6336.1199999999271</v>
      </c>
      <c r="P804" s="8">
        <f t="shared" si="107"/>
        <v>0</v>
      </c>
      <c r="Q804" s="4">
        <f>IF(AND(S804&gt;=[1]eRRSP_Rpt!$C$6,S804&lt;=[1]eRRSP_Rpt!$C$7),1,0)</f>
        <v>1</v>
      </c>
      <c r="R804" s="4"/>
      <c r="S804" s="4">
        <f t="shared" si="105"/>
        <v>2012</v>
      </c>
      <c r="T804" s="4"/>
      <c r="U804" s="4" t="str">
        <f t="shared" si="108"/>
        <v>DivBombardier</v>
      </c>
      <c r="V804" s="23">
        <f>IFERROR(IF(AND(AB804&gt;0,B804&lt;&gt;"Sell"),(AA804-SUMIF(C$4:C803,C804,AC$4:AC804))/AB804,0),"")</f>
        <v>-23.216666666666665</v>
      </c>
      <c r="W804" s="24" t="str">
        <f t="shared" si="103"/>
        <v/>
      </c>
      <c r="X804" s="25" t="str">
        <f t="shared" si="102"/>
        <v>Bombardier_ACB</v>
      </c>
      <c r="Y804" s="10" t="str">
        <f>IF(S805&lt;&gt;eRRSP_Tx_Table[[#This Row],[Year]],SUMIFS($W$4:$W804,$S$4:$S804,eRRSP_Tx_Table[[#This Row],[Year]],$W$4:$W804,"&gt;0"),"")</f>
        <v/>
      </c>
      <c r="Z804" s="10" t="str">
        <f>IF(S805&lt;&gt;eRRSP_Tx_Table[[#This Row],[Year]],SUMIFS($W$4:$W804,$S$4:$S804,eRRSP_Tx_Table[[#This Row],[Year]],$W$4:$W804,"&lt;0"),"")</f>
        <v/>
      </c>
      <c r="AA804" s="3">
        <f>(SUMIF($U$4:$U804,CONCATENATE("Buy",$C804),$N$4:$N804)+SUMIF($U$4:$U804,CONCATENATE("ReinvDiv",$C804),$N$4:$N804))</f>
        <v>-696.5</v>
      </c>
      <c r="AB804">
        <f>(SUMIF($U$4:$U804,CONCATENATE("Buy",$C804),$F$4:$F804)+SUMIF($U$4:$U804,CONCATENATE("ReinvDiv",$C804),$F$4:$F804)+SUMIF($U$4:$U804,CONCATENATE("StkSplit",$C804),$F$4:$F804)-SUMIF($U$4:$U804,CONCATENATE("Sell",$C804),$F$4:$F804))</f>
        <v>30</v>
      </c>
      <c r="AC804" s="3">
        <f>IF(B804="Sell",F804*INDEX(V:V,LOOKUP(2,1/(X$4:X803=CONCATENATE(C804,"_ACB")),ROW(V$4:V803))),0)</f>
        <v>0</v>
      </c>
    </row>
    <row r="805" spans="1:29" x14ac:dyDescent="0.25">
      <c r="A805" s="20">
        <v>41194</v>
      </c>
      <c r="B805" t="s">
        <v>42</v>
      </c>
      <c r="C805" t="s">
        <v>87</v>
      </c>
      <c r="D805" s="3">
        <v>38.9</v>
      </c>
      <c r="J805">
        <v>15.4</v>
      </c>
      <c r="M805" s="21">
        <f t="shared" si="106"/>
        <v>38.9</v>
      </c>
      <c r="N805" s="8">
        <f t="shared" si="104"/>
        <v>38.9</v>
      </c>
      <c r="O805" s="25">
        <f t="shared" si="101"/>
        <v>6375.0199999999268</v>
      </c>
      <c r="P805" s="8">
        <f t="shared" si="107"/>
        <v>0</v>
      </c>
      <c r="Q805" s="4">
        <f>IF(AND(S805&gt;=[1]eRRSP_Rpt!$C$6,S805&lt;=[1]eRRSP_Rpt!$C$7),1,0)</f>
        <v>1</v>
      </c>
      <c r="R805" s="4"/>
      <c r="S805" s="4">
        <f t="shared" si="105"/>
        <v>2012</v>
      </c>
      <c r="T805" s="4"/>
      <c r="U805" s="4" t="str">
        <f t="shared" si="108"/>
        <v>DivAberdeen Asia Pacific Income Fund</v>
      </c>
      <c r="V805" s="23">
        <f>IFERROR(IF(AND(AB805&gt;0,B805&lt;&gt;"Sell"),(AA805-SUMIF(C$4:C804,C805,AC$4:AC805))/AB805,0),"")</f>
        <v>-7.4694020797227028</v>
      </c>
      <c r="W805" s="24" t="str">
        <f t="shared" si="103"/>
        <v/>
      </c>
      <c r="X805" s="25" t="str">
        <f t="shared" si="102"/>
        <v>Aberdeen Asia Pacific Income Fund_ACB</v>
      </c>
      <c r="Y805" s="10" t="str">
        <f>IF(S806&lt;&gt;eRRSP_Tx_Table[[#This Row],[Year]],SUMIFS($W$4:$W805,$S$4:$S805,eRRSP_Tx_Table[[#This Row],[Year]],$W$4:$W805,"&gt;0"),"")</f>
        <v/>
      </c>
      <c r="Z805" s="10" t="str">
        <f>IF(S806&lt;&gt;eRRSP_Tx_Table[[#This Row],[Year]],SUMIFS($W$4:$W805,$S$4:$S805,eRRSP_Tx_Table[[#This Row],[Year]],$W$4:$W805,"&lt;0"),"")</f>
        <v/>
      </c>
      <c r="AA805" s="3">
        <f>(SUMIF($U$4:$U805,CONCATENATE("Buy",$C805),$N$4:$N805)+SUMIF($U$4:$U805,CONCATENATE("ReinvDiv",$C805),$N$4:$N805))</f>
        <v>-8619.6899999999987</v>
      </c>
      <c r="AB805">
        <f>(SUMIF($U$4:$U805,CONCATENATE("Buy",$C805),$F$4:$F805)+SUMIF($U$4:$U805,CONCATENATE("ReinvDiv",$C805),$F$4:$F805)+SUMIF($U$4:$U805,CONCATENATE("StkSplit",$C805),$F$4:$F805)-SUMIF($U$4:$U805,CONCATENATE("Sell",$C805),$F$4:$F805))</f>
        <v>1154</v>
      </c>
      <c r="AC805" s="3">
        <f>IF(B805="Sell",F805*INDEX(V:V,LOOKUP(2,1/(X$4:X804=CONCATENATE(C805,"_ACB")),ROW(V$4:V804))),0)</f>
        <v>0</v>
      </c>
    </row>
    <row r="806" spans="1:29" x14ac:dyDescent="0.25">
      <c r="A806" s="20">
        <v>41198</v>
      </c>
      <c r="B806" t="s">
        <v>43</v>
      </c>
      <c r="C806" t="s">
        <v>36</v>
      </c>
      <c r="D806" s="3">
        <v>0.12</v>
      </c>
      <c r="J806">
        <v>28.66</v>
      </c>
      <c r="M806" s="21">
        <f t="shared" si="106"/>
        <v>0.12</v>
      </c>
      <c r="N806" s="8">
        <f t="shared" si="104"/>
        <v>0.12</v>
      </c>
      <c r="O806" s="25">
        <f t="shared" si="101"/>
        <v>6375.1399999999267</v>
      </c>
      <c r="P806" s="8">
        <f t="shared" si="107"/>
        <v>0</v>
      </c>
      <c r="Q806" s="4">
        <f>IF(AND(S806&gt;=[1]eRRSP_Rpt!$C$6,S806&lt;=[1]eRRSP_Rpt!$C$7),1,0)</f>
        <v>1</v>
      </c>
      <c r="R806" s="4"/>
      <c r="S806" s="4">
        <f t="shared" si="105"/>
        <v>2012</v>
      </c>
      <c r="T806" s="4"/>
      <c r="U806" s="4" t="str">
        <f t="shared" si="108"/>
        <v>IntIncTDW</v>
      </c>
      <c r="V806" s="23">
        <f>IFERROR(IF(AND(AB806&gt;0,B806&lt;&gt;"Sell"),(AA806-SUMIF(C$4:C805,C806,AC$4:AC806))/AB806,0),"")</f>
        <v>0</v>
      </c>
      <c r="W806" s="24" t="str">
        <f t="shared" si="103"/>
        <v/>
      </c>
      <c r="X806" s="25" t="str">
        <f t="shared" si="102"/>
        <v/>
      </c>
      <c r="Y806" s="10" t="str">
        <f>IF(S807&lt;&gt;eRRSP_Tx_Table[[#This Row],[Year]],SUMIFS($W$4:$W806,$S$4:$S806,eRRSP_Tx_Table[[#This Row],[Year]],$W$4:$W806,"&gt;0"),"")</f>
        <v/>
      </c>
      <c r="Z806" s="10" t="str">
        <f>IF(S807&lt;&gt;eRRSP_Tx_Table[[#This Row],[Year]],SUMIFS($W$4:$W806,$S$4:$S806,eRRSP_Tx_Table[[#This Row],[Year]],$W$4:$W806,"&lt;0"),"")</f>
        <v/>
      </c>
      <c r="AA806" s="3">
        <f>(SUMIF($U$4:$U806,CONCATENATE("Buy",$C806),$N$4:$N806)+SUMIF($U$4:$U806,CONCATENATE("ReinvDiv",$C806),$N$4:$N806))</f>
        <v>0</v>
      </c>
      <c r="AB806">
        <f>(SUMIF($U$4:$U806,CONCATENATE("Buy",$C806),$F$4:$F806)+SUMIF($U$4:$U806,CONCATENATE("ReinvDiv",$C806),$F$4:$F806)+SUMIF($U$4:$U806,CONCATENATE("StkSplit",$C806),$F$4:$F806)-SUMIF($U$4:$U806,CONCATENATE("Sell",$C806),$F$4:$F806))</f>
        <v>0</v>
      </c>
      <c r="AC806" s="3">
        <f>IF(B806="Sell",F806*INDEX(V:V,LOOKUP(2,1/(X$4:X805=CONCATENATE(C806,"_ACB")),ROW(V$4:V805))),0)</f>
        <v>0</v>
      </c>
    </row>
    <row r="807" spans="1:29" x14ac:dyDescent="0.25">
      <c r="A807" s="20">
        <v>41213</v>
      </c>
      <c r="B807" t="s">
        <v>42</v>
      </c>
      <c r="C807" t="s">
        <v>45</v>
      </c>
      <c r="D807" s="3">
        <v>15.4</v>
      </c>
      <c r="J807">
        <v>2.2200000000000002</v>
      </c>
      <c r="M807" s="21">
        <f t="shared" si="106"/>
        <v>15.4</v>
      </c>
      <c r="N807" s="8">
        <f t="shared" si="104"/>
        <v>15.4</v>
      </c>
      <c r="O807" s="25">
        <f t="shared" si="101"/>
        <v>6390.5399999999263</v>
      </c>
      <c r="P807" s="8">
        <f t="shared" si="107"/>
        <v>0</v>
      </c>
      <c r="Q807" s="4">
        <f>IF(AND(S807&gt;=[1]eRRSP_Rpt!$C$6,S807&lt;=[1]eRRSP_Rpt!$C$7),1,0)</f>
        <v>1</v>
      </c>
      <c r="R807" s="4"/>
      <c r="S807" s="4">
        <f t="shared" si="105"/>
        <v>2012</v>
      </c>
      <c r="T807" s="4"/>
      <c r="U807" s="4" t="str">
        <f t="shared" si="108"/>
        <v>DivTD Bank</v>
      </c>
      <c r="V807" s="23">
        <f>IFERROR(IF(AND(AB807&gt;0,B807&lt;&gt;"Sell"),(AA807-SUMIF(C$4:C806,C807,AC$4:AC807))/AB807,0),"")</f>
        <v>-44.29</v>
      </c>
      <c r="W807" s="24" t="str">
        <f t="shared" si="103"/>
        <v/>
      </c>
      <c r="X807" s="25" t="str">
        <f t="shared" si="102"/>
        <v>TD Bank_ACB</v>
      </c>
      <c r="Y807" s="10" t="str">
        <f>IF(S808&lt;&gt;eRRSP_Tx_Table[[#This Row],[Year]],SUMIFS($W$4:$W807,$S$4:$S807,eRRSP_Tx_Table[[#This Row],[Year]],$W$4:$W807,"&gt;0"),"")</f>
        <v/>
      </c>
      <c r="Z807" s="10" t="str">
        <f>IF(S808&lt;&gt;eRRSP_Tx_Table[[#This Row],[Year]],SUMIFS($W$4:$W807,$S$4:$S807,eRRSP_Tx_Table[[#This Row],[Year]],$W$4:$W807,"&lt;0"),"")</f>
        <v/>
      </c>
      <c r="AA807" s="3">
        <f>(SUMIF($U$4:$U807,CONCATENATE("Buy",$C807),$N$4:$N807)+SUMIF($U$4:$U807,CONCATENATE("ReinvDiv",$C807),$N$4:$N807))</f>
        <v>-885.8</v>
      </c>
      <c r="AB807">
        <f>(SUMIF($U$4:$U807,CONCATENATE("Buy",$C807),$F$4:$F807)+SUMIF($U$4:$U807,CONCATENATE("ReinvDiv",$C807),$F$4:$F807)+SUMIF($U$4:$U807,CONCATENATE("StkSplit",$C807),$F$4:$F807)-SUMIF($U$4:$U807,CONCATENATE("Sell",$C807),$F$4:$F807))</f>
        <v>20</v>
      </c>
      <c r="AC807" s="3">
        <f>IF(B807="Sell",F807*INDEX(V:V,LOOKUP(2,1/(X$4:X806=CONCATENATE(C807,"_ACB")),ROW(V$4:V806))),0)</f>
        <v>0</v>
      </c>
    </row>
    <row r="808" spans="1:29" x14ac:dyDescent="0.25">
      <c r="A808" s="20">
        <v>41213</v>
      </c>
      <c r="B808" t="s">
        <v>43</v>
      </c>
      <c r="C808" t="s">
        <v>99</v>
      </c>
      <c r="D808" s="3">
        <v>28.66</v>
      </c>
      <c r="J808">
        <v>0.13</v>
      </c>
      <c r="M808" s="21">
        <f t="shared" si="106"/>
        <v>28.66</v>
      </c>
      <c r="N808" s="8">
        <f t="shared" si="104"/>
        <v>28.66</v>
      </c>
      <c r="O808" s="25">
        <f t="shared" si="101"/>
        <v>6419.1999999999261</v>
      </c>
      <c r="P808" s="8">
        <f t="shared" si="107"/>
        <v>0</v>
      </c>
      <c r="Q808" s="4">
        <f>IF(AND(S808&gt;=[1]eRRSP_Rpt!$C$6,S808&lt;=[1]eRRSP_Rpt!$C$7),1,0)</f>
        <v>1</v>
      </c>
      <c r="R808" s="4"/>
      <c r="S808" s="4">
        <f t="shared" si="105"/>
        <v>2012</v>
      </c>
      <c r="T808" s="4"/>
      <c r="U808" s="4" t="str">
        <f t="shared" si="108"/>
        <v>IntIncTD INV SAV ACCT  /NL'FRAC</v>
      </c>
      <c r="V808" s="23">
        <f>IFERROR(IF(AND(AB808&gt;0,B808&lt;&gt;"Sell"),(AA808-SUMIF(C$4:C807,C808,AC$4:AC808))/AB808,0),"")</f>
        <v>-10</v>
      </c>
      <c r="W808" s="24" t="str">
        <f t="shared" si="103"/>
        <v/>
      </c>
      <c r="X808" s="25" t="str">
        <f t="shared" si="102"/>
        <v>TD INV SAV ACCT  /NL'FRAC_ACB</v>
      </c>
      <c r="Y808" s="10" t="str">
        <f>IF(S809&lt;&gt;eRRSP_Tx_Table[[#This Row],[Year]],SUMIFS($W$4:$W808,$S$4:$S808,eRRSP_Tx_Table[[#This Row],[Year]],$W$4:$W808,"&gt;0"),"")</f>
        <v/>
      </c>
      <c r="Z808" s="10" t="str">
        <f>IF(S809&lt;&gt;eRRSP_Tx_Table[[#This Row],[Year]],SUMIFS($W$4:$W808,$S$4:$S808,eRRSP_Tx_Table[[#This Row],[Year]],$W$4:$W808,"&lt;0"),"")</f>
        <v/>
      </c>
      <c r="AA808" s="3">
        <f>(SUMIF($U$4:$U808,CONCATENATE("Buy",$C808),$N$4:$N808)+SUMIF($U$4:$U808,CONCATENATE("ReinvDiv",$C808),$N$4:$N808))</f>
        <v>-27000</v>
      </c>
      <c r="AB808">
        <f>(SUMIF($U$4:$U808,CONCATENATE("Buy",$C808),$F$4:$F808)+SUMIF($U$4:$U808,CONCATENATE("ReinvDiv",$C808),$F$4:$F808)+SUMIF($U$4:$U808,CONCATENATE("StkSplit",$C808),$F$4:$F808)-SUMIF($U$4:$U808,CONCATENATE("Sell",$C808),$F$4:$F808))</f>
        <v>2700</v>
      </c>
      <c r="AC808" s="3">
        <f>IF(B808="Sell",F808*INDEX(V:V,LOOKUP(2,1/(X$4:X807=CONCATENATE(C808,"_ACB")),ROW(V$4:V807))),0)</f>
        <v>0</v>
      </c>
    </row>
    <row r="809" spans="1:29" x14ac:dyDescent="0.25">
      <c r="A809" s="20">
        <v>41227</v>
      </c>
      <c r="B809" t="s">
        <v>42</v>
      </c>
      <c r="C809" t="s">
        <v>79</v>
      </c>
      <c r="D809" s="3">
        <v>2.2200000000000002</v>
      </c>
      <c r="J809">
        <v>39.840000000000003</v>
      </c>
      <c r="M809" s="21">
        <f t="shared" si="106"/>
        <v>2.2200000000000002</v>
      </c>
      <c r="N809" s="8">
        <f t="shared" si="104"/>
        <v>2.2200000000000002</v>
      </c>
      <c r="O809" s="25">
        <f t="shared" si="101"/>
        <v>6421.4199999999264</v>
      </c>
      <c r="P809" s="8">
        <f t="shared" si="107"/>
        <v>0</v>
      </c>
      <c r="Q809" s="4">
        <f>IF(AND(S809&gt;=[1]eRRSP_Rpt!$C$6,S809&lt;=[1]eRRSP_Rpt!$C$7),1,0)</f>
        <v>1</v>
      </c>
      <c r="R809" s="4"/>
      <c r="S809" s="4">
        <f t="shared" si="105"/>
        <v>2012</v>
      </c>
      <c r="T809" s="4"/>
      <c r="U809" s="4" t="str">
        <f t="shared" si="108"/>
        <v>DivCentral Fund of Canada</v>
      </c>
      <c r="V809" s="23">
        <f>IFERROR(IF(AND(AB809&gt;0,B809&lt;&gt;"Sell"),(AA809-SUMIF(C$4:C808,C809,AC$4:AC809))/AB809,0),"")</f>
        <v>-10.243200000000002</v>
      </c>
      <c r="W809" s="24" t="str">
        <f t="shared" si="103"/>
        <v/>
      </c>
      <c r="X809" s="25" t="str">
        <f t="shared" si="102"/>
        <v>Central Fund of Canada_ACB</v>
      </c>
      <c r="Y809" s="10" t="str">
        <f>IF(S810&lt;&gt;eRRSP_Tx_Table[[#This Row],[Year]],SUMIFS($W$4:$W809,$S$4:$S809,eRRSP_Tx_Table[[#This Row],[Year]],$W$4:$W809,"&gt;0"),"")</f>
        <v/>
      </c>
      <c r="Z809" s="10" t="str">
        <f>IF(S810&lt;&gt;eRRSP_Tx_Table[[#This Row],[Year]],SUMIFS($W$4:$W809,$S$4:$S809,eRRSP_Tx_Table[[#This Row],[Year]],$W$4:$W809,"&lt;0"),"")</f>
        <v/>
      </c>
      <c r="AA809" s="3">
        <f>(SUMIF($U$4:$U809,CONCATENATE("Buy",$C809),$N$4:$N809)+SUMIF($U$4:$U809,CONCATENATE("ReinvDiv",$C809),$N$4:$N809))</f>
        <v>-2304.7200000000003</v>
      </c>
      <c r="AB809">
        <f>(SUMIF($U$4:$U809,CONCATENATE("Buy",$C809),$F$4:$F809)+SUMIF($U$4:$U809,CONCATENATE("ReinvDiv",$C809),$F$4:$F809)+SUMIF($U$4:$U809,CONCATENATE("StkSplit",$C809),$F$4:$F809)-SUMIF($U$4:$U809,CONCATENATE("Sell",$C809),$F$4:$F809))</f>
        <v>225</v>
      </c>
      <c r="AC809" s="3">
        <f>IF(B809="Sell",F809*INDEX(V:V,LOOKUP(2,1/(X$4:X808=CONCATENATE(C809,"_ACB")),ROW(V$4:V808))),0)</f>
        <v>0</v>
      </c>
    </row>
    <row r="810" spans="1:29" x14ac:dyDescent="0.25">
      <c r="A810" s="20">
        <v>41229</v>
      </c>
      <c r="B810" t="s">
        <v>43</v>
      </c>
      <c r="C810" t="s">
        <v>36</v>
      </c>
      <c r="D810" s="3">
        <v>0.13</v>
      </c>
      <c r="J810">
        <v>3559</v>
      </c>
      <c r="M810" s="21">
        <f t="shared" si="106"/>
        <v>0.13</v>
      </c>
      <c r="N810" s="8">
        <f t="shared" si="104"/>
        <v>0.13</v>
      </c>
      <c r="O810" s="25">
        <f t="shared" si="101"/>
        <v>6421.5499999999265</v>
      </c>
      <c r="P810" s="8">
        <f t="shared" si="107"/>
        <v>0</v>
      </c>
      <c r="Q810" s="4">
        <f>IF(AND(S810&gt;=[1]eRRSP_Rpt!$C$6,S810&lt;=[1]eRRSP_Rpt!$C$7),1,0)</f>
        <v>1</v>
      </c>
      <c r="R810" s="4"/>
      <c r="S810" s="4">
        <f t="shared" si="105"/>
        <v>2012</v>
      </c>
      <c r="T810" s="4"/>
      <c r="U810" s="4" t="str">
        <f t="shared" si="108"/>
        <v>IntIncTDW</v>
      </c>
      <c r="V810" s="23">
        <f>IFERROR(IF(AND(AB810&gt;0,B810&lt;&gt;"Sell"),(AA810-SUMIF(C$4:C809,C810,AC$4:AC810))/AB810,0),"")</f>
        <v>0</v>
      </c>
      <c r="W810" s="24" t="str">
        <f t="shared" si="103"/>
        <v/>
      </c>
      <c r="X810" s="25" t="str">
        <f t="shared" si="102"/>
        <v/>
      </c>
      <c r="Y810" s="10" t="str">
        <f>IF(S811&lt;&gt;eRRSP_Tx_Table[[#This Row],[Year]],SUMIFS($W$4:$W810,$S$4:$S810,eRRSP_Tx_Table[[#This Row],[Year]],$W$4:$W810,"&gt;0"),"")</f>
        <v/>
      </c>
      <c r="Z810" s="10" t="str">
        <f>IF(S811&lt;&gt;eRRSP_Tx_Table[[#This Row],[Year]],SUMIFS($W$4:$W810,$S$4:$S810,eRRSP_Tx_Table[[#This Row],[Year]],$W$4:$W810,"&lt;0"),"")</f>
        <v/>
      </c>
      <c r="AA810" s="3">
        <f>(SUMIF($U$4:$U810,CONCATENATE("Buy",$C810),$N$4:$N810)+SUMIF($U$4:$U810,CONCATENATE("ReinvDiv",$C810),$N$4:$N810))</f>
        <v>0</v>
      </c>
      <c r="AB810">
        <f>(SUMIF($U$4:$U810,CONCATENATE("Buy",$C810),$F$4:$F810)+SUMIF($U$4:$U810,CONCATENATE("ReinvDiv",$C810),$F$4:$F810)+SUMIF($U$4:$U810,CONCATENATE("StkSplit",$C810),$F$4:$F810)-SUMIF($U$4:$U810,CONCATENATE("Sell",$C810),$F$4:$F810))</f>
        <v>0</v>
      </c>
      <c r="AC810" s="3">
        <f>IF(B810="Sell",F810*INDEX(V:V,LOOKUP(2,1/(X$4:X809=CONCATENATE(C810,"_ACB")),ROW(V$4:V809))),0)</f>
        <v>0</v>
      </c>
    </row>
    <row r="811" spans="1:29" x14ac:dyDescent="0.25">
      <c r="A811" s="20">
        <v>41229</v>
      </c>
      <c r="B811" t="s">
        <v>42</v>
      </c>
      <c r="C811" t="s">
        <v>87</v>
      </c>
      <c r="D811" s="3">
        <v>39.840000000000003</v>
      </c>
      <c r="J811">
        <v>29.59</v>
      </c>
      <c r="M811" s="21">
        <f t="shared" si="106"/>
        <v>39.840000000000003</v>
      </c>
      <c r="N811" s="8">
        <f t="shared" si="104"/>
        <v>39.840000000000003</v>
      </c>
      <c r="O811" s="25">
        <f t="shared" si="101"/>
        <v>6461.3899999999267</v>
      </c>
      <c r="P811" s="8">
        <f t="shared" si="107"/>
        <v>0</v>
      </c>
      <c r="Q811" s="4">
        <f>IF(AND(S811&gt;=[1]eRRSP_Rpt!$C$6,S811&lt;=[1]eRRSP_Rpt!$C$7),1,0)</f>
        <v>1</v>
      </c>
      <c r="R811" s="4"/>
      <c r="S811" s="4">
        <f t="shared" si="105"/>
        <v>2012</v>
      </c>
      <c r="T811" s="4"/>
      <c r="U811" s="4" t="str">
        <f t="shared" si="108"/>
        <v>DivAberdeen Asia Pacific Income Fund</v>
      </c>
      <c r="V811" s="23">
        <f>IFERROR(IF(AND(AB811&gt;0,B811&lt;&gt;"Sell"),(AA811-SUMIF(C$4:C810,C811,AC$4:AC811))/AB811,0),"")</f>
        <v>-7.4694020797227028</v>
      </c>
      <c r="W811" s="24" t="str">
        <f t="shared" si="103"/>
        <v/>
      </c>
      <c r="X811" s="25" t="str">
        <f t="shared" si="102"/>
        <v>Aberdeen Asia Pacific Income Fund_ACB</v>
      </c>
      <c r="Y811" s="10" t="str">
        <f>IF(S812&lt;&gt;eRRSP_Tx_Table[[#This Row],[Year]],SUMIFS($W$4:$W811,$S$4:$S811,eRRSP_Tx_Table[[#This Row],[Year]],$W$4:$W811,"&gt;0"),"")</f>
        <v/>
      </c>
      <c r="Z811" s="10" t="str">
        <f>IF(S812&lt;&gt;eRRSP_Tx_Table[[#This Row],[Year]],SUMIFS($W$4:$W811,$S$4:$S811,eRRSP_Tx_Table[[#This Row],[Year]],$W$4:$W811,"&lt;0"),"")</f>
        <v/>
      </c>
      <c r="AA811" s="3">
        <f>(SUMIF($U$4:$U811,CONCATENATE("Buy",$C811),$N$4:$N811)+SUMIF($U$4:$U811,CONCATENATE("ReinvDiv",$C811),$N$4:$N811))</f>
        <v>-8619.6899999999987</v>
      </c>
      <c r="AB811">
        <f>(SUMIF($U$4:$U811,CONCATENATE("Buy",$C811),$F$4:$F811)+SUMIF($U$4:$U811,CONCATENATE("ReinvDiv",$C811),$F$4:$F811)+SUMIF($U$4:$U811,CONCATENATE("StkSplit",$C811),$F$4:$F811)-SUMIF($U$4:$U811,CONCATENATE("Sell",$C811),$F$4:$F811))</f>
        <v>1154</v>
      </c>
      <c r="AC811" s="3">
        <f>IF(B811="Sell",F811*INDEX(V:V,LOOKUP(2,1/(X$4:X810=CONCATENATE(C811,"_ACB")),ROW(V$4:V810))),0)</f>
        <v>0</v>
      </c>
    </row>
    <row r="812" spans="1:29" x14ac:dyDescent="0.25">
      <c r="A812" s="20">
        <v>41232</v>
      </c>
      <c r="B812" t="s">
        <v>30</v>
      </c>
      <c r="C812" t="s">
        <v>31</v>
      </c>
      <c r="D812" s="3">
        <v>3559</v>
      </c>
      <c r="J812">
        <v>97.75</v>
      </c>
      <c r="M812" s="21">
        <f t="shared" si="106"/>
        <v>3559</v>
      </c>
      <c r="N812" s="8">
        <f t="shared" si="104"/>
        <v>3559</v>
      </c>
      <c r="O812" s="25">
        <f t="shared" si="101"/>
        <v>10020.389999999927</v>
      </c>
      <c r="P812" s="8">
        <f t="shared" si="107"/>
        <v>3559</v>
      </c>
      <c r="Q812" s="4">
        <f>IF(AND(S812&gt;=[1]eRRSP_Rpt!$C$6,S812&lt;=[1]eRRSP_Rpt!$C$7),1,0)</f>
        <v>1</v>
      </c>
      <c r="R812" s="4"/>
      <c r="S812" s="4">
        <f t="shared" si="105"/>
        <v>2012</v>
      </c>
      <c r="T812" s="4"/>
      <c r="U812" s="4" t="str">
        <f t="shared" si="108"/>
        <v>CashContribution</v>
      </c>
      <c r="V812" s="23">
        <f>IFERROR(IF(AND(AB812&gt;0,B812&lt;&gt;"Sell"),(AA812-SUMIF(C$4:C811,C812,AC$4:AC812))/AB812,0),"")</f>
        <v>0</v>
      </c>
      <c r="W812" s="24" t="str">
        <f t="shared" si="103"/>
        <v/>
      </c>
      <c r="X812" s="25" t="str">
        <f t="shared" si="102"/>
        <v/>
      </c>
      <c r="Y812" s="10" t="str">
        <f>IF(S813&lt;&gt;eRRSP_Tx_Table[[#This Row],[Year]],SUMIFS($W$4:$W812,$S$4:$S812,eRRSP_Tx_Table[[#This Row],[Year]],$W$4:$W812,"&gt;0"),"")</f>
        <v/>
      </c>
      <c r="Z812" s="10" t="str">
        <f>IF(S813&lt;&gt;eRRSP_Tx_Table[[#This Row],[Year]],SUMIFS($W$4:$W812,$S$4:$S812,eRRSP_Tx_Table[[#This Row],[Year]],$W$4:$W812,"&lt;0"),"")</f>
        <v/>
      </c>
      <c r="AA812" s="3">
        <f>(SUMIF($U$4:$U812,CONCATENATE("Buy",$C812),$N$4:$N812)+SUMIF($U$4:$U812,CONCATENATE("ReinvDiv",$C812),$N$4:$N812))</f>
        <v>0</v>
      </c>
      <c r="AB812">
        <f>(SUMIF($U$4:$U812,CONCATENATE("Buy",$C812),$F$4:$F812)+SUMIF($U$4:$U812,CONCATENATE("ReinvDiv",$C812),$F$4:$F812)+SUMIF($U$4:$U812,CONCATENATE("StkSplit",$C812),$F$4:$F812)-SUMIF($U$4:$U812,CONCATENATE("Sell",$C812),$F$4:$F812))</f>
        <v>0</v>
      </c>
      <c r="AC812" s="3">
        <f>IF(B812="Sell",F812*INDEX(V:V,LOOKUP(2,1/(X$4:X811=CONCATENATE(C812,"_ACB")),ROW(V$4:V811))),0)</f>
        <v>0</v>
      </c>
    </row>
    <row r="813" spans="1:29" x14ac:dyDescent="0.25">
      <c r="A813" s="20">
        <v>41243</v>
      </c>
      <c r="B813" t="s">
        <v>43</v>
      </c>
      <c r="C813" t="s">
        <v>99</v>
      </c>
      <c r="D813" s="3">
        <v>29.59</v>
      </c>
      <c r="J813">
        <v>39.06</v>
      </c>
      <c r="M813" s="21">
        <f t="shared" si="106"/>
        <v>29.59</v>
      </c>
      <c r="N813" s="8">
        <f t="shared" si="104"/>
        <v>29.59</v>
      </c>
      <c r="O813" s="25">
        <f t="shared" si="101"/>
        <v>10049.979999999927</v>
      </c>
      <c r="P813" s="8">
        <f t="shared" si="107"/>
        <v>0</v>
      </c>
      <c r="Q813" s="4">
        <f>IF(AND(S813&gt;=[1]eRRSP_Rpt!$C$6,S813&lt;=[1]eRRSP_Rpt!$C$7),1,0)</f>
        <v>1</v>
      </c>
      <c r="R813" s="4"/>
      <c r="S813" s="4">
        <f t="shared" si="105"/>
        <v>2012</v>
      </c>
      <c r="T813" s="4"/>
      <c r="U813" s="4" t="str">
        <f t="shared" si="108"/>
        <v>IntIncTD INV SAV ACCT  /NL'FRAC</v>
      </c>
      <c r="V813" s="23">
        <f>IFERROR(IF(AND(AB813&gt;0,B813&lt;&gt;"Sell"),(AA813-SUMIF(C$4:C812,C813,AC$4:AC813))/AB813,0),"")</f>
        <v>-10</v>
      </c>
      <c r="W813" s="24" t="str">
        <f t="shared" si="103"/>
        <v/>
      </c>
      <c r="X813" s="25" t="str">
        <f t="shared" si="102"/>
        <v>TD INV SAV ACCT  /NL'FRAC_ACB</v>
      </c>
      <c r="Y813" s="10" t="str">
        <f>IF(S814&lt;&gt;eRRSP_Tx_Table[[#This Row],[Year]],SUMIFS($W$4:$W813,$S$4:$S813,eRRSP_Tx_Table[[#This Row],[Year]],$W$4:$W813,"&gt;0"),"")</f>
        <v/>
      </c>
      <c r="Z813" s="10" t="str">
        <f>IF(S814&lt;&gt;eRRSP_Tx_Table[[#This Row],[Year]],SUMIFS($W$4:$W813,$S$4:$S813,eRRSP_Tx_Table[[#This Row],[Year]],$W$4:$W813,"&lt;0"),"")</f>
        <v/>
      </c>
      <c r="AA813" s="3">
        <f>(SUMIF($U$4:$U813,CONCATENATE("Buy",$C813),$N$4:$N813)+SUMIF($U$4:$U813,CONCATENATE("ReinvDiv",$C813),$N$4:$N813))</f>
        <v>-27000</v>
      </c>
      <c r="AB813">
        <f>(SUMIF($U$4:$U813,CONCATENATE("Buy",$C813),$F$4:$F813)+SUMIF($U$4:$U813,CONCATENATE("ReinvDiv",$C813),$F$4:$F813)+SUMIF($U$4:$U813,CONCATENATE("StkSplit",$C813),$F$4:$F813)-SUMIF($U$4:$U813,CONCATENATE("Sell",$C813),$F$4:$F813))</f>
        <v>2700</v>
      </c>
      <c r="AC813" s="3">
        <f>IF(B813="Sell",F813*INDEX(V:V,LOOKUP(2,1/(X$4:X812=CONCATENATE(C813,"_ACB")),ROW(V$4:V812))),0)</f>
        <v>0</v>
      </c>
    </row>
    <row r="814" spans="1:29" x14ac:dyDescent="0.25">
      <c r="A814" s="20">
        <v>41244</v>
      </c>
      <c r="B814" t="s">
        <v>42</v>
      </c>
      <c r="C814" t="s">
        <v>33</v>
      </c>
      <c r="D814" s="3">
        <v>97.75</v>
      </c>
      <c r="J814">
        <v>339.11</v>
      </c>
      <c r="M814" s="21">
        <f t="shared" si="106"/>
        <v>97.75</v>
      </c>
      <c r="N814" s="8">
        <f t="shared" si="104"/>
        <v>97.75</v>
      </c>
      <c r="O814" s="25">
        <f t="shared" si="101"/>
        <v>10147.729999999927</v>
      </c>
      <c r="P814" s="8">
        <f t="shared" si="107"/>
        <v>0</v>
      </c>
      <c r="Q814" s="4">
        <f>IF(AND(S814&gt;=[1]eRRSP_Rpt!$C$6,S814&lt;=[1]eRRSP_Rpt!$C$7),1,0)</f>
        <v>1</v>
      </c>
      <c r="R814" s="4"/>
      <c r="S814" s="4">
        <f t="shared" si="105"/>
        <v>2012</v>
      </c>
      <c r="T814" s="4"/>
      <c r="U814" s="4" t="str">
        <f t="shared" si="108"/>
        <v>DivEnbridge</v>
      </c>
      <c r="V814" s="23">
        <f>IFERROR(IF(AND(AB814&gt;0,B814&lt;&gt;"Sell"),(AA814-SUMIF(C$4:C813,C814,AC$4:AC814))/AB814,0),"")</f>
        <v>-16.981789097623633</v>
      </c>
      <c r="W814" s="24" t="str">
        <f t="shared" si="103"/>
        <v/>
      </c>
      <c r="X814" s="25" t="str">
        <f t="shared" si="102"/>
        <v>Enbridge_ACB</v>
      </c>
      <c r="Y814" s="10" t="str">
        <f>IF(S815&lt;&gt;eRRSP_Tx_Table[[#This Row],[Year]],SUMIFS($W$4:$W814,$S$4:$S814,eRRSP_Tx_Table[[#This Row],[Year]],$W$4:$W814,"&gt;0"),"")</f>
        <v/>
      </c>
      <c r="Z814" s="10" t="str">
        <f>IF(S815&lt;&gt;eRRSP_Tx_Table[[#This Row],[Year]],SUMIFS($W$4:$W814,$S$4:$S814,eRRSP_Tx_Table[[#This Row],[Year]],$W$4:$W814,"&lt;0"),"")</f>
        <v/>
      </c>
      <c r="AA814" s="3">
        <f>(SUMIF($U$4:$U814,CONCATENATE("Buy",$C814),$N$4:$N814)+SUMIF($U$4:$U814,CONCATENATE("ReinvDiv",$C814),$N$4:$N814))</f>
        <v>-6788.69</v>
      </c>
      <c r="AB814">
        <f>(SUMIF($U$4:$U814,CONCATENATE("Buy",$C814),$F$4:$F814)+SUMIF($U$4:$U814,CONCATENATE("ReinvDiv",$C814),$F$4:$F814)+SUMIF($U$4:$U814,CONCATENATE("StkSplit",$C814),$F$4:$F814)-SUMIF($U$4:$U814,CONCATENATE("Sell",$C814),$F$4:$F814))</f>
        <v>346</v>
      </c>
      <c r="AC814" s="3">
        <f>IF(B814="Sell",F814*INDEX(V:V,LOOKUP(2,1/(X$4:X813=CONCATENATE(C814,"_ACB")),ROW(V$4:V813))),0)</f>
        <v>0</v>
      </c>
    </row>
    <row r="815" spans="1:29" x14ac:dyDescent="0.25">
      <c r="A815" s="20">
        <v>41257</v>
      </c>
      <c r="B815" t="s">
        <v>42</v>
      </c>
      <c r="C815" t="s">
        <v>87</v>
      </c>
      <c r="D815" s="3">
        <v>39.06</v>
      </c>
      <c r="J815">
        <v>343.73</v>
      </c>
      <c r="M815" s="21">
        <f t="shared" si="106"/>
        <v>39.06</v>
      </c>
      <c r="N815" s="8">
        <f t="shared" si="104"/>
        <v>39.06</v>
      </c>
      <c r="O815" s="25">
        <f t="shared" si="101"/>
        <v>10186.789999999926</v>
      </c>
      <c r="P815" s="8">
        <f t="shared" si="107"/>
        <v>0</v>
      </c>
      <c r="Q815" s="4">
        <f>IF(AND(S815&gt;=[1]eRRSP_Rpt!$C$6,S815&lt;=[1]eRRSP_Rpt!$C$7),1,0)</f>
        <v>1</v>
      </c>
      <c r="R815" s="4"/>
      <c r="S815" s="4">
        <f t="shared" si="105"/>
        <v>2012</v>
      </c>
      <c r="T815" s="4"/>
      <c r="U815" s="4" t="str">
        <f t="shared" si="108"/>
        <v>DivAberdeen Asia Pacific Income Fund</v>
      </c>
      <c r="V815" s="23">
        <f>IFERROR(IF(AND(AB815&gt;0,B815&lt;&gt;"Sell"),(AA815-SUMIF(C$4:C814,C815,AC$4:AC815))/AB815,0),"")</f>
        <v>-7.4694020797227028</v>
      </c>
      <c r="W815" s="24" t="str">
        <f t="shared" si="103"/>
        <v/>
      </c>
      <c r="X815" s="25" t="str">
        <f t="shared" si="102"/>
        <v>Aberdeen Asia Pacific Income Fund_ACB</v>
      </c>
      <c r="Y815" s="10" t="str">
        <f>IF(S816&lt;&gt;eRRSP_Tx_Table[[#This Row],[Year]],SUMIFS($W$4:$W815,$S$4:$S815,eRRSP_Tx_Table[[#This Row],[Year]],$W$4:$W815,"&gt;0"),"")</f>
        <v/>
      </c>
      <c r="Z815" s="10" t="str">
        <f>IF(S816&lt;&gt;eRRSP_Tx_Table[[#This Row],[Year]],SUMIFS($W$4:$W815,$S$4:$S815,eRRSP_Tx_Table[[#This Row],[Year]],$W$4:$W815,"&lt;0"),"")</f>
        <v/>
      </c>
      <c r="AA815" s="3">
        <f>(SUMIF($U$4:$U815,CONCATENATE("Buy",$C815),$N$4:$N815)+SUMIF($U$4:$U815,CONCATENATE("ReinvDiv",$C815),$N$4:$N815))</f>
        <v>-8619.6899999999987</v>
      </c>
      <c r="AB815">
        <f>(SUMIF($U$4:$U815,CONCATENATE("Buy",$C815),$F$4:$F815)+SUMIF($U$4:$U815,CONCATENATE("ReinvDiv",$C815),$F$4:$F815)+SUMIF($U$4:$U815,CONCATENATE("StkSplit",$C815),$F$4:$F815)-SUMIF($U$4:$U815,CONCATENATE("Sell",$C815),$F$4:$F815))</f>
        <v>1154</v>
      </c>
      <c r="AC815" s="3">
        <f>IF(B815="Sell",F815*INDEX(V:V,LOOKUP(2,1/(X$4:X814=CONCATENATE(C815,"_ACB")),ROW(V$4:V814))),0)</f>
        <v>0</v>
      </c>
    </row>
    <row r="816" spans="1:29" x14ac:dyDescent="0.25">
      <c r="A816" s="20">
        <v>41257</v>
      </c>
      <c r="B816" t="s">
        <v>41</v>
      </c>
      <c r="C816" t="s">
        <v>96</v>
      </c>
      <c r="D816" s="3">
        <v>339.11</v>
      </c>
      <c r="E816">
        <v>19.720300000000002</v>
      </c>
      <c r="F816" s="3">
        <v>17.196000000000002</v>
      </c>
      <c r="J816">
        <v>140.53</v>
      </c>
      <c r="M816" s="21">
        <f t="shared" si="106"/>
        <v>339.11</v>
      </c>
      <c r="N816" s="8">
        <f t="shared" si="104"/>
        <v>-339.11</v>
      </c>
      <c r="O816" s="25">
        <f t="shared" si="101"/>
        <v>10186.789999999926</v>
      </c>
      <c r="P816" s="8">
        <f t="shared" si="107"/>
        <v>0</v>
      </c>
      <c r="Q816" s="4">
        <f>IF(AND(S816&gt;=[1]eRRSP_Rpt!$C$6,S816&lt;=[1]eRRSP_Rpt!$C$7),1,0)</f>
        <v>1</v>
      </c>
      <c r="R816" s="4"/>
      <c r="S816" s="4">
        <f t="shared" si="105"/>
        <v>2012</v>
      </c>
      <c r="T816" s="4"/>
      <c r="U816" s="4" t="str">
        <f t="shared" si="108"/>
        <v>ReinvDivTD Canadian Index - e</v>
      </c>
      <c r="V816" s="23">
        <f>IFERROR(IF(AND(AB816&gt;0,B816&lt;&gt;"Sell"),(AA816-SUMIF(C$4:C815,C816,AC$4:AC816))/AB816,0),"")</f>
        <v>-19.503652440427519</v>
      </c>
      <c r="W816" s="24" t="str">
        <f t="shared" si="103"/>
        <v/>
      </c>
      <c r="X816" s="25" t="str">
        <f t="shared" si="102"/>
        <v>TD Canadian Index - e_ACB</v>
      </c>
      <c r="Y816" s="10" t="str">
        <f>IF(S817&lt;&gt;eRRSP_Tx_Table[[#This Row],[Year]],SUMIFS($W$4:$W816,$S$4:$S816,eRRSP_Tx_Table[[#This Row],[Year]],$W$4:$W816,"&gt;0"),"")</f>
        <v/>
      </c>
      <c r="Z816" s="10" t="str">
        <f>IF(S817&lt;&gt;eRRSP_Tx_Table[[#This Row],[Year]],SUMIFS($W$4:$W816,$S$4:$S816,eRRSP_Tx_Table[[#This Row],[Year]],$W$4:$W816,"&lt;0"),"")</f>
        <v/>
      </c>
      <c r="AA816" s="3">
        <f>(SUMIF($U$4:$U816,CONCATENATE("Buy",$C816),$N$4:$N816)+SUMIF($U$4:$U816,CONCATENATE("ReinvDiv",$C816),$N$4:$N816))</f>
        <v>-15934.25</v>
      </c>
      <c r="AB816">
        <f>(SUMIF($U$4:$U816,CONCATENATE("Buy",$C816),$F$4:$F816)+SUMIF($U$4:$U816,CONCATENATE("ReinvDiv",$C816),$F$4:$F816)+SUMIF($U$4:$U816,CONCATENATE("StkSplit",$C816),$F$4:$F816)-SUMIF($U$4:$U816,CONCATENATE("Sell",$C816),$F$4:$F816))</f>
        <v>816.98800000000006</v>
      </c>
      <c r="AC816" s="3">
        <f>IF(B816="Sell",F816*INDEX(V:V,LOOKUP(2,1/(X$4:X815=CONCATENATE(C816,"_ACB")),ROW(V$4:V815))),0)</f>
        <v>0</v>
      </c>
    </row>
    <row r="817" spans="1:29" x14ac:dyDescent="0.25">
      <c r="A817" s="20">
        <v>41257</v>
      </c>
      <c r="B817" t="s">
        <v>41</v>
      </c>
      <c r="C817" t="s">
        <v>58</v>
      </c>
      <c r="D817" s="3">
        <v>343.73</v>
      </c>
      <c r="E817">
        <v>8.6399000000000008</v>
      </c>
      <c r="F817" s="3">
        <v>39.783999999999999</v>
      </c>
      <c r="J817">
        <v>108.23</v>
      </c>
      <c r="M817" s="21">
        <f t="shared" si="106"/>
        <v>343.73</v>
      </c>
      <c r="N817" s="8">
        <f t="shared" si="104"/>
        <v>-343.73</v>
      </c>
      <c r="O817" s="25">
        <f t="shared" si="101"/>
        <v>10186.789999999926</v>
      </c>
      <c r="P817" s="8">
        <f t="shared" si="107"/>
        <v>0</v>
      </c>
      <c r="Q817" s="4">
        <f>IF(AND(S817&gt;=[1]eRRSP_Rpt!$C$6,S817&lt;=[1]eRRSP_Rpt!$C$7),1,0)</f>
        <v>1</v>
      </c>
      <c r="R817" s="4"/>
      <c r="S817" s="4">
        <f t="shared" si="105"/>
        <v>2012</v>
      </c>
      <c r="T817" s="4"/>
      <c r="U817" s="4" t="str">
        <f t="shared" si="108"/>
        <v>ReinvDivTD DJIA Index</v>
      </c>
      <c r="V817" s="23">
        <f>IFERROR(IF(AND(AB817&gt;0,B817&lt;&gt;"Sell"),(AA817-SUMIF(C$4:C816,C817,AC$4:AC817))/AB817,0),"")</f>
        <v>-7.2788497571210238</v>
      </c>
      <c r="W817" s="24" t="str">
        <f t="shared" si="103"/>
        <v/>
      </c>
      <c r="X817" s="25" t="str">
        <f t="shared" si="102"/>
        <v>TD DJIA Index_ACB</v>
      </c>
      <c r="Y817" s="10" t="str">
        <f>IF(S818&lt;&gt;eRRSP_Tx_Table[[#This Row],[Year]],SUMIFS($W$4:$W817,$S$4:$S817,eRRSP_Tx_Table[[#This Row],[Year]],$W$4:$W817,"&gt;0"),"")</f>
        <v/>
      </c>
      <c r="Z817" s="10" t="str">
        <f>IF(S818&lt;&gt;eRRSP_Tx_Table[[#This Row],[Year]],SUMIFS($W$4:$W817,$S$4:$S817,eRRSP_Tx_Table[[#This Row],[Year]],$W$4:$W817,"&lt;0"),"")</f>
        <v/>
      </c>
      <c r="AA817" s="3">
        <f>(SUMIF($U$4:$U817,CONCATENATE("Buy",$C817),$N$4:$N817)+SUMIF($U$4:$U817,CONCATENATE("ReinvDiv",$C817),$N$4:$N817))</f>
        <v>-18084.419999999998</v>
      </c>
      <c r="AB817">
        <f>(SUMIF($U$4:$U817,CONCATENATE("Buy",$C817),$F$4:$F817)+SUMIF($U$4:$U817,CONCATENATE("ReinvDiv",$C817),$F$4:$F817)+SUMIF($U$4:$U817,CONCATENATE("StkSplit",$C817),$F$4:$F817)-SUMIF($U$4:$U817,CONCATENATE("Sell",$C817),$F$4:$F817))</f>
        <v>2331.6699999999996</v>
      </c>
      <c r="AC817" s="3">
        <f>IF(B817="Sell",F817*INDEX(V:V,LOOKUP(2,1/(X$4:X816=CONCATENATE(C817,"_ACB")),ROW(V$4:V816))),0)</f>
        <v>0</v>
      </c>
    </row>
    <row r="818" spans="1:29" x14ac:dyDescent="0.25">
      <c r="A818" s="20">
        <v>41257</v>
      </c>
      <c r="B818" t="s">
        <v>41</v>
      </c>
      <c r="C818" t="s">
        <v>97</v>
      </c>
      <c r="D818" s="3">
        <v>140.53</v>
      </c>
      <c r="E818">
        <f>eRRSP_Tx_Table[[#This Row],[Amount]]/eRRSP_Tx_Table[[#This Row],[Quantity]]</f>
        <v>8.6299435028248599</v>
      </c>
      <c r="F818" s="3">
        <v>16.283999999999999</v>
      </c>
      <c r="J818">
        <v>0.19</v>
      </c>
      <c r="M818" s="21">
        <f t="shared" si="106"/>
        <v>140.53</v>
      </c>
      <c r="N818" s="8">
        <f t="shared" si="104"/>
        <v>-140.53</v>
      </c>
      <c r="O818" s="25">
        <f t="shared" si="101"/>
        <v>10186.789999999926</v>
      </c>
      <c r="P818" s="8">
        <f t="shared" si="107"/>
        <v>0</v>
      </c>
      <c r="Q818" s="4">
        <f>IF(AND(S818&gt;=[1]eRRSP_Rpt!$C$6,S818&lt;=[1]eRRSP_Rpt!$C$7),1,0)</f>
        <v>1</v>
      </c>
      <c r="R818" s="4"/>
      <c r="S818" s="4">
        <f t="shared" si="105"/>
        <v>2012</v>
      </c>
      <c r="T818" s="4"/>
      <c r="U818" s="4" t="str">
        <f t="shared" si="108"/>
        <v>ReinvDivTD International Index - e</v>
      </c>
      <c r="V818" s="23">
        <f>IFERROR(IF(AND(AB818&gt;0,B818&lt;&gt;"Sell"),(AA818-SUMIF(C$4:C817,C818,AC$4:AC818))/AB818,0),"")</f>
        <v>-8.3415547592233139</v>
      </c>
      <c r="W818" s="24" t="str">
        <f t="shared" si="103"/>
        <v/>
      </c>
      <c r="X818" s="25" t="str">
        <f t="shared" si="102"/>
        <v>TD International Index - e_ACB</v>
      </c>
      <c r="Y818" s="10" t="str">
        <f>IF(S819&lt;&gt;eRRSP_Tx_Table[[#This Row],[Year]],SUMIFS($W$4:$W818,$S$4:$S818,eRRSP_Tx_Table[[#This Row],[Year]],$W$4:$W818,"&gt;0"),"")</f>
        <v/>
      </c>
      <c r="Z818" s="10" t="str">
        <f>IF(S819&lt;&gt;eRRSP_Tx_Table[[#This Row],[Year]],SUMIFS($W$4:$W818,$S$4:$S818,eRRSP_Tx_Table[[#This Row],[Year]],$W$4:$W818,"&lt;0"),"")</f>
        <v/>
      </c>
      <c r="AA818" s="3">
        <f>(SUMIF($U$4:$U818,CONCATENATE("Buy",$C818),$N$4:$N818)+SUMIF($U$4:$U818,CONCATENATE("ReinvDiv",$C818),$N$4:$N818))</f>
        <v>-28745.64</v>
      </c>
      <c r="AB818">
        <f>(SUMIF($U$4:$U818,CONCATENATE("Buy",$C818),$F$4:$F818)+SUMIF($U$4:$U818,CONCATENATE("ReinvDiv",$C818),$F$4:$F818)+SUMIF($U$4:$U818,CONCATENATE("StkSplit",$C818),$F$4:$F818)-SUMIF($U$4:$U818,CONCATENATE("Sell",$C818),$F$4:$F818))</f>
        <v>3446.0770000000002</v>
      </c>
      <c r="AC818" s="3">
        <f>IF(B818="Sell",F818*INDEX(V:V,LOOKUP(2,1/(X$4:X817=CONCATENATE(C818,"_ACB")),ROW(V$4:V817))),0)</f>
        <v>0</v>
      </c>
    </row>
    <row r="819" spans="1:29" x14ac:dyDescent="0.25">
      <c r="A819" s="20">
        <v>41257</v>
      </c>
      <c r="B819" t="s">
        <v>41</v>
      </c>
      <c r="C819" t="s">
        <v>62</v>
      </c>
      <c r="D819" s="3">
        <v>108.23</v>
      </c>
      <c r="E819">
        <v>18.2605</v>
      </c>
      <c r="F819" s="3">
        <v>5.9269999999999996</v>
      </c>
      <c r="J819">
        <v>0.76</v>
      </c>
      <c r="M819" s="21">
        <f t="shared" si="106"/>
        <v>108.23</v>
      </c>
      <c r="N819" s="8">
        <f t="shared" si="104"/>
        <v>-108.23</v>
      </c>
      <c r="O819" s="25">
        <f t="shared" si="101"/>
        <v>10186.789999999926</v>
      </c>
      <c r="P819" s="8">
        <f t="shared" si="107"/>
        <v>0</v>
      </c>
      <c r="Q819" s="4">
        <f>IF(AND(S819&gt;=[1]eRRSP_Rpt!$C$6,S819&lt;=[1]eRRSP_Rpt!$C$7),1,0)</f>
        <v>1</v>
      </c>
      <c r="R819" s="4"/>
      <c r="S819" s="4">
        <f t="shared" si="105"/>
        <v>2012</v>
      </c>
      <c r="T819" s="4"/>
      <c r="U819" s="4" t="str">
        <f t="shared" si="108"/>
        <v>ReinvDivTD RR Bond</v>
      </c>
      <c r="V819" s="23">
        <f>IFERROR(IF(AND(AB819&gt;0,B819&lt;&gt;"Sell"),(AA819-SUMIF(C$4:C818,C819,AC$4:AC819))/AB819,0),"")</f>
        <v>-14.416640769615329</v>
      </c>
      <c r="W819" s="24" t="str">
        <f t="shared" si="103"/>
        <v/>
      </c>
      <c r="X819" s="25" t="str">
        <f t="shared" si="102"/>
        <v>TD RR Bond_ACB</v>
      </c>
      <c r="Y819" s="10" t="str">
        <f>IF(S820&lt;&gt;eRRSP_Tx_Table[[#This Row],[Year]],SUMIFS($W$4:$W819,$S$4:$S819,eRRSP_Tx_Table[[#This Row],[Year]],$W$4:$W819,"&gt;0"),"")</f>
        <v/>
      </c>
      <c r="Z819" s="10" t="str">
        <f>IF(S820&lt;&gt;eRRSP_Tx_Table[[#This Row],[Year]],SUMIFS($W$4:$W819,$S$4:$S819,eRRSP_Tx_Table[[#This Row],[Year]],$W$4:$W819,"&lt;0"),"")</f>
        <v/>
      </c>
      <c r="AA819" s="3">
        <f>(SUMIF($U$4:$U819,CONCATENATE("Buy",$C819),$N$4:$N819)+SUMIF($U$4:$U819,CONCATENATE("ReinvDiv",$C819),$N$4:$N819))</f>
        <v>-10669.9</v>
      </c>
      <c r="AB819">
        <f>(SUMIF($U$4:$U819,CONCATENATE("Buy",$C819),$F$4:$F819)+SUMIF($U$4:$U819,CONCATENATE("ReinvDiv",$C819),$F$4:$F819)+SUMIF($U$4:$U819,CONCATENATE("StkSplit",$C819),$F$4:$F819)-SUMIF($U$4:$U819,CONCATENATE("Sell",$C819),$F$4:$F819))</f>
        <v>740.1099999999999</v>
      </c>
      <c r="AC819" s="3">
        <f>IF(B819="Sell",F819*INDEX(V:V,LOOKUP(2,1/(X$4:X818=CONCATENATE(C819,"_ACB")),ROW(V$4:V818))),0)</f>
        <v>0</v>
      </c>
    </row>
    <row r="820" spans="1:29" x14ac:dyDescent="0.25">
      <c r="A820" s="20">
        <v>41259</v>
      </c>
      <c r="B820" t="s">
        <v>43</v>
      </c>
      <c r="C820" t="s">
        <v>36</v>
      </c>
      <c r="D820" s="3">
        <v>0.19</v>
      </c>
      <c r="J820">
        <v>31.66</v>
      </c>
      <c r="M820" s="21">
        <f t="shared" si="106"/>
        <v>0.19</v>
      </c>
      <c r="N820" s="8">
        <f t="shared" si="104"/>
        <v>0.19</v>
      </c>
      <c r="O820" s="25">
        <f t="shared" si="101"/>
        <v>10186.979999999927</v>
      </c>
      <c r="P820" s="8">
        <f t="shared" si="107"/>
        <v>0</v>
      </c>
      <c r="Q820" s="4">
        <f>IF(AND(S820&gt;=[1]eRRSP_Rpt!$C$6,S820&lt;=[1]eRRSP_Rpt!$C$7),1,0)</f>
        <v>1</v>
      </c>
      <c r="R820" s="4"/>
      <c r="S820" s="4">
        <f t="shared" si="105"/>
        <v>2012</v>
      </c>
      <c r="T820" s="4"/>
      <c r="U820" s="4" t="str">
        <f t="shared" si="108"/>
        <v>IntIncTDW</v>
      </c>
      <c r="V820" s="23">
        <f>IFERROR(IF(AND(AB820&gt;0,B820&lt;&gt;"Sell"),(AA820-SUMIF(C$4:C819,C820,AC$4:AC820))/AB820,0),"")</f>
        <v>0</v>
      </c>
      <c r="W820" s="24" t="str">
        <f t="shared" si="103"/>
        <v/>
      </c>
      <c r="X820" s="25" t="str">
        <f t="shared" si="102"/>
        <v/>
      </c>
      <c r="Y820" s="10" t="str">
        <f>IF(S821&lt;&gt;eRRSP_Tx_Table[[#This Row],[Year]],SUMIFS($W$4:$W820,$S$4:$S820,eRRSP_Tx_Table[[#This Row],[Year]],$W$4:$W820,"&gt;0"),"")</f>
        <v/>
      </c>
      <c r="Z820" s="10" t="str">
        <f>IF(S821&lt;&gt;eRRSP_Tx_Table[[#This Row],[Year]],SUMIFS($W$4:$W820,$S$4:$S820,eRRSP_Tx_Table[[#This Row],[Year]],$W$4:$W820,"&lt;0"),"")</f>
        <v/>
      </c>
      <c r="AA820" s="3">
        <f>(SUMIF($U$4:$U820,CONCATENATE("Buy",$C820),$N$4:$N820)+SUMIF($U$4:$U820,CONCATENATE("ReinvDiv",$C820),$N$4:$N820))</f>
        <v>0</v>
      </c>
      <c r="AB820">
        <f>(SUMIF($U$4:$U820,CONCATENATE("Buy",$C820),$F$4:$F820)+SUMIF($U$4:$U820,CONCATENATE("ReinvDiv",$C820),$F$4:$F820)+SUMIF($U$4:$U820,CONCATENATE("StkSplit",$C820),$F$4:$F820)-SUMIF($U$4:$U820,CONCATENATE("Sell",$C820),$F$4:$F820))</f>
        <v>0</v>
      </c>
      <c r="AC820" s="3">
        <f>IF(B820="Sell",F820*INDEX(V:V,LOOKUP(2,1/(X$4:X819=CONCATENATE(C820,"_ACB")),ROW(V$4:V819))),0)</f>
        <v>0</v>
      </c>
    </row>
    <row r="821" spans="1:29" x14ac:dyDescent="0.25">
      <c r="A821" s="20">
        <v>41274</v>
      </c>
      <c r="B821" t="s">
        <v>42</v>
      </c>
      <c r="C821" t="s">
        <v>47</v>
      </c>
      <c r="D821" s="3">
        <v>0.76</v>
      </c>
      <c r="J821">
        <v>27.74</v>
      </c>
      <c r="M821" s="21">
        <f t="shared" si="106"/>
        <v>0.76</v>
      </c>
      <c r="N821" s="8">
        <f t="shared" si="104"/>
        <v>0.76</v>
      </c>
      <c r="O821" s="25">
        <f>O820+IF(OR(B821="Cash",B821="Buy",B821="Sell",B821="Div",B821="Rebate",B821="Fees",B821="IntInc",B821="Tax",B821="Distr"),N821,0)</f>
        <v>10187.739999999927</v>
      </c>
      <c r="P821" s="8">
        <f t="shared" si="107"/>
        <v>0</v>
      </c>
      <c r="Q821" s="4">
        <f>IF(AND(S821&gt;=[1]eRRSP_Rpt!$C$6,S821&lt;=[1]eRRSP_Rpt!$C$7),1,0)</f>
        <v>1</v>
      </c>
      <c r="R821" s="4"/>
      <c r="S821" s="4">
        <f t="shared" si="105"/>
        <v>2012</v>
      </c>
      <c r="T821" s="4"/>
      <c r="U821" s="4" t="str">
        <f t="shared" si="108"/>
        <v>DivBombardier</v>
      </c>
      <c r="V821" s="23">
        <f>IFERROR(IF(AND(AB821&gt;0,B821&lt;&gt;"Sell"),(AA821-SUMIF(C$4:C820,C821,AC$4:AC821))/AB821,0),"")</f>
        <v>-23.216666666666665</v>
      </c>
      <c r="W821" s="24" t="str">
        <f t="shared" si="103"/>
        <v/>
      </c>
      <c r="X821" s="25" t="str">
        <f t="shared" si="102"/>
        <v>Bombardier_ACB</v>
      </c>
      <c r="Y821" s="10" t="str">
        <f>IF(S822&lt;&gt;eRRSP_Tx_Table[[#This Row],[Year]],SUMIFS($W$4:$W821,$S$4:$S821,eRRSP_Tx_Table[[#This Row],[Year]],$W$4:$W821,"&gt;0"),"")</f>
        <v/>
      </c>
      <c r="Z821" s="10" t="str">
        <f>IF(S822&lt;&gt;eRRSP_Tx_Table[[#This Row],[Year]],SUMIFS($W$4:$W821,$S$4:$S821,eRRSP_Tx_Table[[#This Row],[Year]],$W$4:$W821,"&lt;0"),"")</f>
        <v/>
      </c>
      <c r="AA821" s="3">
        <f>(SUMIF($U$4:$U821,CONCATENATE("Buy",$C821),$N$4:$N821)+SUMIF($U$4:$U821,CONCATENATE("ReinvDiv",$C821),$N$4:$N821))</f>
        <v>-696.5</v>
      </c>
      <c r="AB821">
        <f>(SUMIF($U$4:$U821,CONCATENATE("Buy",$C821),$F$4:$F821)+SUMIF($U$4:$U821,CONCATENATE("ReinvDiv",$C821),$F$4:$F821)+SUMIF($U$4:$U821,CONCATENATE("StkSplit",$C821),$F$4:$F821)-SUMIF($U$4:$U821,CONCATENATE("Sell",$C821),$F$4:$F821))</f>
        <v>30</v>
      </c>
      <c r="AC821" s="3">
        <f>IF(B821="Sell",F821*INDEX(V:V,LOOKUP(2,1/(X$4:X820=CONCATENATE(C821,"_ACB")),ROW(V$4:V820))),0)</f>
        <v>0</v>
      </c>
    </row>
    <row r="822" spans="1:29" x14ac:dyDescent="0.25">
      <c r="A822" s="20">
        <v>41274</v>
      </c>
      <c r="B822" t="s">
        <v>42</v>
      </c>
      <c r="C822" t="s">
        <v>90</v>
      </c>
      <c r="D822" s="3">
        <v>31.66</v>
      </c>
      <c r="J822">
        <v>39.159999999999997</v>
      </c>
      <c r="M822" s="21">
        <f t="shared" si="106"/>
        <v>31.66</v>
      </c>
      <c r="N822" s="8">
        <f t="shared" si="104"/>
        <v>31.66</v>
      </c>
      <c r="O822" s="25">
        <f>O821+IF(OR(B822="Cash",B822="Buy",B822="Sell",B822="Div",B822="Rebate",B822="Fees",B822="IntInc",B822="Tax",B822="Distr"),N822,0)</f>
        <v>10219.399999999927</v>
      </c>
      <c r="P822" s="8">
        <f t="shared" si="107"/>
        <v>0</v>
      </c>
      <c r="Q822" s="4">
        <f>IF(AND(S822&gt;=[1]eRRSP_Rpt!$C$6,S822&lt;=[1]eRRSP_Rpt!$C$7),1,0)</f>
        <v>1</v>
      </c>
      <c r="R822" s="4"/>
      <c r="S822" s="4">
        <f t="shared" si="105"/>
        <v>2012</v>
      </c>
      <c r="T822" s="4"/>
      <c r="U822" s="4" t="str">
        <f t="shared" si="108"/>
        <v>DivVanguard Large Cap ETF</v>
      </c>
      <c r="V822" s="23">
        <f>IFERROR(IF(AND(AB822&gt;0,B822&lt;&gt;"Sell"),(AA822-SUMIF(C$4:C821,C822,AC$4:AC822))/AB822,0),"")</f>
        <v>-74.401142857142858</v>
      </c>
      <c r="W822" s="24" t="str">
        <f t="shared" si="103"/>
        <v/>
      </c>
      <c r="X822" s="25" t="str">
        <f t="shared" si="102"/>
        <v>Vanguard Large Cap ETF_ACB</v>
      </c>
      <c r="Y822" s="10" t="str">
        <f>IF(S823&lt;&gt;eRRSP_Tx_Table[[#This Row],[Year]],SUMIFS($W$4:$W822,$S$4:$S822,eRRSP_Tx_Table[[#This Row],[Year]],$W$4:$W822,"&gt;0"),"")</f>
        <v/>
      </c>
      <c r="Z822" s="10" t="str">
        <f>IF(S823&lt;&gt;eRRSP_Tx_Table[[#This Row],[Year]],SUMIFS($W$4:$W822,$S$4:$S822,eRRSP_Tx_Table[[#This Row],[Year]],$W$4:$W822,"&lt;0"),"")</f>
        <v/>
      </c>
      <c r="AA822" s="3">
        <f>(SUMIF($U$4:$U822,CONCATENATE("Buy",$C822),$N$4:$N822)+SUMIF($U$4:$U822,CONCATENATE("ReinvDiv",$C822),$N$4:$N822))</f>
        <v>-5208.08</v>
      </c>
      <c r="AB822">
        <f>(SUMIF($U$4:$U822,CONCATENATE("Buy",$C822),$F$4:$F822)+SUMIF($U$4:$U822,CONCATENATE("ReinvDiv",$C822),$F$4:$F822)+SUMIF($U$4:$U822,CONCATENATE("StkSplit",$C822),$F$4:$F822)-SUMIF($U$4:$U822,CONCATENATE("Sell",$C822),$F$4:$F822))</f>
        <v>70</v>
      </c>
      <c r="AC822" s="3">
        <f>IF(B822="Sell",F822*INDEX(V:V,LOOKUP(2,1/(X$4:X821=CONCATENATE(C822,"_ACB")),ROW(V$4:V821))),0)</f>
        <v>0</v>
      </c>
    </row>
    <row r="823" spans="1:29" x14ac:dyDescent="0.25">
      <c r="A823" s="20">
        <v>41274</v>
      </c>
      <c r="B823" t="s">
        <v>43</v>
      </c>
      <c r="C823" t="s">
        <v>99</v>
      </c>
      <c r="D823" s="3">
        <v>27.74</v>
      </c>
      <c r="J823">
        <v>0.21</v>
      </c>
      <c r="M823" s="21">
        <f t="shared" si="106"/>
        <v>27.74</v>
      </c>
      <c r="N823" s="8">
        <f t="shared" si="104"/>
        <v>27.74</v>
      </c>
      <c r="O823" s="25">
        <f>O822+IF(OR(B823="Cash",B823="Buy",B823="Sell",B823="Div",B823="Rebate",B823="Fees",B823="IntInc",B823="Tax",B823="Distr"),N823,0)</f>
        <v>10247.139999999927</v>
      </c>
      <c r="P823" s="8">
        <f t="shared" si="107"/>
        <v>0</v>
      </c>
      <c r="Q823" s="4">
        <f>IF(AND(S823&gt;=[1]eRRSP_Rpt!$C$6,S823&lt;=[1]eRRSP_Rpt!$C$7),1,0)</f>
        <v>1</v>
      </c>
      <c r="R823" s="4"/>
      <c r="S823" s="4">
        <f t="shared" si="105"/>
        <v>2012</v>
      </c>
      <c r="T823" s="4"/>
      <c r="U823" s="4" t="str">
        <f t="shared" si="108"/>
        <v>IntIncTD INV SAV ACCT  /NL'FRAC</v>
      </c>
      <c r="V823" s="23">
        <f>IFERROR(IF(AND(AB823&gt;0,B823&lt;&gt;"Sell"),(AA823-SUMIF(C$4:C822,C823,AC$4:AC823))/AB823,0),"")</f>
        <v>-10</v>
      </c>
      <c r="W823" s="24" t="str">
        <f t="shared" si="103"/>
        <v/>
      </c>
      <c r="X823" s="25" t="str">
        <f t="shared" si="102"/>
        <v>TD INV SAV ACCT  /NL'FRAC_ACB</v>
      </c>
      <c r="Y823" s="10" t="str">
        <f>IF(S824&lt;&gt;eRRSP_Tx_Table[[#This Row],[Year]],SUMIFS($W$4:$W823,$S$4:$S823,eRRSP_Tx_Table[[#This Row],[Year]],$W$4:$W823,"&gt;0"),"")</f>
        <v/>
      </c>
      <c r="Z823" s="10" t="str">
        <f>IF(S824&lt;&gt;eRRSP_Tx_Table[[#This Row],[Year]],SUMIFS($W$4:$W823,$S$4:$S823,eRRSP_Tx_Table[[#This Row],[Year]],$W$4:$W823,"&lt;0"),"")</f>
        <v/>
      </c>
      <c r="AA823" s="3">
        <f>(SUMIF($U$4:$U823,CONCATENATE("Buy",$C823),$N$4:$N823)+SUMIF($U$4:$U823,CONCATENATE("ReinvDiv",$C823),$N$4:$N823))</f>
        <v>-27000</v>
      </c>
      <c r="AB823">
        <f>(SUMIF($U$4:$U823,CONCATENATE("Buy",$C823),$F$4:$F823)+SUMIF($U$4:$U823,CONCATENATE("ReinvDiv",$C823),$F$4:$F823)+SUMIF($U$4:$U823,CONCATENATE("StkSplit",$C823),$F$4:$F823)-SUMIF($U$4:$U823,CONCATENATE("Sell",$C823),$F$4:$F823))</f>
        <v>2700</v>
      </c>
      <c r="AC823" s="3">
        <f>IF(B823="Sell",F823*INDEX(V:V,LOOKUP(2,1/(X$4:X822=CONCATENATE(C823,"_ACB")),ROW(V$4:V822))),0)</f>
        <v>0</v>
      </c>
    </row>
    <row r="824" spans="1:29" ht="13.5" customHeight="1" x14ac:dyDescent="0.25">
      <c r="A824" s="32">
        <f>A755+365</f>
        <v>41274</v>
      </c>
      <c r="B824" s="33"/>
      <c r="C824" s="33"/>
      <c r="D824" s="34"/>
      <c r="E824" s="33"/>
      <c r="F824" s="34"/>
      <c r="G824" s="33"/>
      <c r="H824" s="33"/>
      <c r="I824" s="33"/>
      <c r="J824" s="33"/>
      <c r="K824" s="33"/>
      <c r="L824" s="33"/>
      <c r="M824" s="35"/>
      <c r="N824" s="8">
        <f t="shared" si="104"/>
        <v>0</v>
      </c>
      <c r="O824" s="36"/>
      <c r="P824" s="37">
        <v>-167730.31</v>
      </c>
      <c r="Q824" s="4">
        <f>IF(AND(S824&gt;=[1]eRRSP_Rpt!$C$6,S824&lt;=[1]eRRSP_Rpt!$C$7),1,0)</f>
        <v>1</v>
      </c>
      <c r="R824" s="4" t="s">
        <v>34</v>
      </c>
      <c r="S824" s="4">
        <f>YEAR(A824)</f>
        <v>2012</v>
      </c>
      <c r="T824" s="22"/>
      <c r="U824" s="4"/>
      <c r="V824" s="23">
        <f>IFERROR(IF(AND(AB824&gt;0,B824&lt;&gt;"Sell"),(AA824-SUMIF(C$4:C823,C824,AC$4:AC824))/AB824,0),"")</f>
        <v>0</v>
      </c>
      <c r="W824" s="24" t="str">
        <f t="shared" si="103"/>
        <v/>
      </c>
      <c r="X824" s="25" t="str">
        <f t="shared" si="102"/>
        <v/>
      </c>
      <c r="Y824" s="10">
        <f>IF(S825&lt;&gt;eRRSP_Tx_Table[[#This Row],[Year]],SUMIFS($W$4:$W824,$S$4:$S824,eRRSP_Tx_Table[[#This Row],[Year]],$W$4:$W824,"&gt;0"),"")</f>
        <v>0</v>
      </c>
      <c r="Z824" s="10">
        <f>IF(S825&lt;&gt;eRRSP_Tx_Table[[#This Row],[Year]],SUMIFS($W$4:$W824,$S$4:$S824,eRRSP_Tx_Table[[#This Row],[Year]],$W$4:$W824,"&lt;0"),"")</f>
        <v>0</v>
      </c>
      <c r="AA824" s="3">
        <f>(SUMIF($U$4:$U824,CONCATENATE("Buy",$C824),$N$4:$N824)+SUMIF($U$4:$U824,CONCATENATE("ReinvDiv",$C824),$N$4:$N824))</f>
        <v>0</v>
      </c>
      <c r="AB824">
        <f>(SUMIF($U$4:$U824,CONCATENATE("Buy",$C824),$F$4:$F824)+SUMIF($U$4:$U824,CONCATENATE("ReinvDiv",$C824),$F$4:$F824)+SUMIF($U$4:$U824,CONCATENATE("StkSplit",$C824),$F$4:$F824)-SUMIF($U$4:$U824,CONCATENATE("Sell",$C824),$F$4:$F824))</f>
        <v>0</v>
      </c>
      <c r="AC824" s="3">
        <f>IF(B824="Sell",F824*INDEX(V:V,LOOKUP(2,1/(X$4:X823=CONCATENATE(C824,"_ACB")),ROW(V$4:V823))),0)</f>
        <v>0</v>
      </c>
    </row>
    <row r="825" spans="1:29" ht="13.5" customHeight="1" x14ac:dyDescent="0.25">
      <c r="A825" s="32">
        <f>A824+1</f>
        <v>41275</v>
      </c>
      <c r="B825" s="33"/>
      <c r="C825" s="33"/>
      <c r="D825" s="34"/>
      <c r="E825" s="33"/>
      <c r="F825" s="34"/>
      <c r="G825" s="33"/>
      <c r="H825" s="33"/>
      <c r="I825" s="33"/>
      <c r="J825" s="33"/>
      <c r="K825" s="33"/>
      <c r="L825" s="33"/>
      <c r="M825" s="35"/>
      <c r="N825" s="8">
        <f t="shared" si="104"/>
        <v>0</v>
      </c>
      <c r="O825" s="36"/>
      <c r="P825" s="37">
        <f>-P824</f>
        <v>167730.31</v>
      </c>
      <c r="Q825" s="4">
        <f>IF(AND(S825&gt;=[1]eRRSP_Rpt!$C$6,S825&lt;=[1]eRRSP_Rpt!$C$7),1,0)</f>
        <v>1</v>
      </c>
      <c r="R825" s="4" t="s">
        <v>34</v>
      </c>
      <c r="S825" s="4">
        <f>YEAR(A825)</f>
        <v>2013</v>
      </c>
      <c r="T825" s="22"/>
      <c r="U825" s="4"/>
      <c r="V825" s="23">
        <f>IFERROR(IF(AND(AB825&gt;0,B825&lt;&gt;"Sell"),(AA825-SUMIF(C$4:C824,C825,AC$4:AC825))/AB825,0),"")</f>
        <v>0</v>
      </c>
      <c r="W825" s="24" t="str">
        <f t="shared" si="103"/>
        <v/>
      </c>
      <c r="X825" s="25" t="str">
        <f t="shared" si="102"/>
        <v/>
      </c>
      <c r="Y825" s="10" t="str">
        <f>IF(S826&lt;&gt;eRRSP_Tx_Table[[#This Row],[Year]],SUMIFS($W$4:$W825,$S$4:$S825,eRRSP_Tx_Table[[#This Row],[Year]],$W$4:$W825,"&gt;0"),"")</f>
        <v/>
      </c>
      <c r="Z825" s="10" t="str">
        <f>IF(S826&lt;&gt;eRRSP_Tx_Table[[#This Row],[Year]],SUMIFS($W$4:$W825,$S$4:$S825,eRRSP_Tx_Table[[#This Row],[Year]],$W$4:$W825,"&lt;0"),"")</f>
        <v/>
      </c>
      <c r="AA825" s="3">
        <f>(SUMIF($U$4:$U825,CONCATENATE("Buy",$C825),$N$4:$N825)+SUMIF($U$4:$U825,CONCATENATE("ReinvDiv",$C825),$N$4:$N825))</f>
        <v>0</v>
      </c>
      <c r="AB825">
        <f>(SUMIF($U$4:$U825,CONCATENATE("Buy",$C825),$F$4:$F825)+SUMIF($U$4:$U825,CONCATENATE("ReinvDiv",$C825),$F$4:$F825)+SUMIF($U$4:$U825,CONCATENATE("StkSplit",$C825),$F$4:$F825)-SUMIF($U$4:$U825,CONCATENATE("Sell",$C825),$F$4:$F825))</f>
        <v>0</v>
      </c>
      <c r="AC825" s="3">
        <f>IF(B825="Sell",F825*INDEX(V:V,LOOKUP(2,1/(X$4:X824=CONCATENATE(C825,"_ACB")),ROW(V$4:V824))),0)</f>
        <v>0</v>
      </c>
    </row>
    <row r="826" spans="1:29" x14ac:dyDescent="0.25">
      <c r="A826" s="20">
        <v>41275</v>
      </c>
      <c r="B826" t="s">
        <v>42</v>
      </c>
      <c r="C826" t="s">
        <v>87</v>
      </c>
      <c r="D826" s="3">
        <v>39.159999999999997</v>
      </c>
      <c r="J826">
        <v>486.5</v>
      </c>
      <c r="M826" s="21">
        <f t="shared" si="106"/>
        <v>39.159999999999997</v>
      </c>
      <c r="N826" s="8">
        <f t="shared" si="104"/>
        <v>39.159999999999997</v>
      </c>
      <c r="O826" s="25">
        <f>O823+IF(OR(B826="Cash",B826="Buy",B826="Sell",B826="Div",B826="Rebate",B826="Fees",B826="IntInc",B826="Tax",B826="Distr"),N826,0)</f>
        <v>10286.299999999927</v>
      </c>
      <c r="P826" s="8">
        <f t="shared" si="107"/>
        <v>0</v>
      </c>
      <c r="Q826" s="4">
        <f>IF(AND(S826&gt;=[1]eRRSP_Rpt!$C$6,S826&lt;=[1]eRRSP_Rpt!$C$7),1,0)</f>
        <v>1</v>
      </c>
      <c r="R826" s="4"/>
      <c r="S826" s="4">
        <f t="shared" si="105"/>
        <v>2013</v>
      </c>
      <c r="T826" s="4"/>
      <c r="U826" s="4" t="str">
        <f t="shared" si="108"/>
        <v>DivAberdeen Asia Pacific Income Fund</v>
      </c>
      <c r="V826" s="23">
        <f>IFERROR(IF(AND(AB826&gt;0,B826&lt;&gt;"Sell"),(AA826-SUMIF(C$4:C825,C826,AC$4:AC826))/AB826,0),"")</f>
        <v>-7.4694020797227028</v>
      </c>
      <c r="W826" s="24" t="str">
        <f t="shared" si="103"/>
        <v/>
      </c>
      <c r="X826" s="25" t="str">
        <f t="shared" si="102"/>
        <v>Aberdeen Asia Pacific Income Fund_ACB</v>
      </c>
      <c r="Y826" s="10" t="str">
        <f>IF(S827&lt;&gt;eRRSP_Tx_Table[[#This Row],[Year]],SUMIFS($W$4:$W826,$S$4:$S826,eRRSP_Tx_Table[[#This Row],[Year]],$W$4:$W826,"&gt;0"),"")</f>
        <v/>
      </c>
      <c r="Z826" s="10" t="str">
        <f>IF(S827&lt;&gt;eRRSP_Tx_Table[[#This Row],[Year]],SUMIFS($W$4:$W826,$S$4:$S826,eRRSP_Tx_Table[[#This Row],[Year]],$W$4:$W826,"&lt;0"),"")</f>
        <v/>
      </c>
      <c r="AA826" s="3">
        <f>(SUMIF($U$4:$U826,CONCATENATE("Buy",$C826),$N$4:$N826)+SUMIF($U$4:$U826,CONCATENATE("ReinvDiv",$C826),$N$4:$N826))</f>
        <v>-8619.6899999999987</v>
      </c>
      <c r="AB826">
        <f>(SUMIF($U$4:$U826,CONCATENATE("Buy",$C826),$F$4:$F826)+SUMIF($U$4:$U826,CONCATENATE("ReinvDiv",$C826),$F$4:$F826)+SUMIF($U$4:$U826,CONCATENATE("StkSplit",$C826),$F$4:$F826)-SUMIF($U$4:$U826,CONCATENATE("Sell",$C826),$F$4:$F826))</f>
        <v>1154</v>
      </c>
      <c r="AC826" s="3">
        <f>IF(B826="Sell",F826*INDEX(V:V,LOOKUP(2,1/(X$4:X825=CONCATENATE(C826,"_ACB")),ROW(V$4:V825))),0)</f>
        <v>0</v>
      </c>
    </row>
    <row r="827" spans="1:29" x14ac:dyDescent="0.25">
      <c r="A827" s="20">
        <v>41290</v>
      </c>
      <c r="B827" t="s">
        <v>43</v>
      </c>
      <c r="C827" t="s">
        <v>36</v>
      </c>
      <c r="D827" s="3">
        <v>0.21</v>
      </c>
      <c r="J827">
        <v>15.4</v>
      </c>
      <c r="M827" s="21">
        <f t="shared" si="106"/>
        <v>0.21</v>
      </c>
      <c r="N827" s="8">
        <f t="shared" si="104"/>
        <v>0.21</v>
      </c>
      <c r="O827" s="25">
        <f t="shared" ref="O827:O890" si="109">O826+IF(OR(B827="Cash",B827="Buy",B827="Sell",B827="Div",B827="Rebate",B827="Fees",B827="IntInc",B827="Tax",B827="Distr"),N827,0)</f>
        <v>10286.509999999926</v>
      </c>
      <c r="P827" s="8">
        <f t="shared" si="107"/>
        <v>0</v>
      </c>
      <c r="Q827" s="4">
        <f>IF(AND(S827&gt;=[1]eRRSP_Rpt!$C$6,S827&lt;=[1]eRRSP_Rpt!$C$7),1,0)</f>
        <v>1</v>
      </c>
      <c r="R827" s="4"/>
      <c r="S827" s="4">
        <f t="shared" si="105"/>
        <v>2013</v>
      </c>
      <c r="T827" s="4"/>
      <c r="U827" s="4" t="str">
        <f t="shared" si="108"/>
        <v>IntIncTDW</v>
      </c>
      <c r="V827" s="23">
        <f>IFERROR(IF(AND(AB827&gt;0,B827&lt;&gt;"Sell"),(AA827-SUMIF(C$4:C826,C827,AC$4:AC827))/AB827,0),"")</f>
        <v>0</v>
      </c>
      <c r="W827" s="24" t="str">
        <f t="shared" si="103"/>
        <v/>
      </c>
      <c r="X827" s="25" t="str">
        <f t="shared" si="102"/>
        <v/>
      </c>
      <c r="Y827" s="10" t="str">
        <f>IF(S828&lt;&gt;eRRSP_Tx_Table[[#This Row],[Year]],SUMIFS($W$4:$W827,$S$4:$S827,eRRSP_Tx_Table[[#This Row],[Year]],$W$4:$W827,"&gt;0"),"")</f>
        <v/>
      </c>
      <c r="Z827" s="10" t="str">
        <f>IF(S828&lt;&gt;eRRSP_Tx_Table[[#This Row],[Year]],SUMIFS($W$4:$W827,$S$4:$S827,eRRSP_Tx_Table[[#This Row],[Year]],$W$4:$W827,"&lt;0"),"")</f>
        <v/>
      </c>
      <c r="AA827" s="3">
        <f>(SUMIF($U$4:$U827,CONCATENATE("Buy",$C827),$N$4:$N827)+SUMIF($U$4:$U827,CONCATENATE("ReinvDiv",$C827),$N$4:$N827))</f>
        <v>0</v>
      </c>
      <c r="AB827">
        <f>(SUMIF($U$4:$U827,CONCATENATE("Buy",$C827),$F$4:$F827)+SUMIF($U$4:$U827,CONCATENATE("ReinvDiv",$C827),$F$4:$F827)+SUMIF($U$4:$U827,CONCATENATE("StkSplit",$C827),$F$4:$F827)-SUMIF($U$4:$U827,CONCATENATE("Sell",$C827),$F$4:$F827))</f>
        <v>0</v>
      </c>
      <c r="AC827" s="3">
        <f>IF(B827="Sell",F827*INDEX(V:V,LOOKUP(2,1/(X$4:X826=CONCATENATE(C827,"_ACB")),ROW(V$4:V826))),0)</f>
        <v>0</v>
      </c>
    </row>
    <row r="828" spans="1:29" x14ac:dyDescent="0.25">
      <c r="A828" s="20">
        <v>41300</v>
      </c>
      <c r="B828" t="s">
        <v>43</v>
      </c>
      <c r="C828" t="s">
        <v>94</v>
      </c>
      <c r="D828" s="3">
        <v>486.5</v>
      </c>
      <c r="J828">
        <v>27.74</v>
      </c>
      <c r="M828" s="21">
        <f t="shared" si="106"/>
        <v>486.5</v>
      </c>
      <c r="N828" s="8">
        <f t="shared" si="104"/>
        <v>486.5</v>
      </c>
      <c r="O828" s="25">
        <f t="shared" si="109"/>
        <v>10773.009999999926</v>
      </c>
      <c r="P828" s="8">
        <f t="shared" si="107"/>
        <v>0</v>
      </c>
      <c r="Q828" s="4">
        <f>IF(AND(S828&gt;=[1]eRRSP_Rpt!$C$6,S828&lt;=[1]eRRSP_Rpt!$C$7),1,0)</f>
        <v>1</v>
      </c>
      <c r="R828" s="4"/>
      <c r="S828" s="4">
        <f t="shared" si="105"/>
        <v>2013</v>
      </c>
      <c r="T828" s="4"/>
      <c r="U828" s="4" t="str">
        <f t="shared" si="108"/>
        <v>IntIncAIMIA SER-3  6.95% 26JA17</v>
      </c>
      <c r="V828" s="23">
        <f>IFERROR(IF(AND(AB828&gt;0,B828&lt;&gt;"Sell"),(AA828-SUMIF(C$4:C827,C828,AC$4:AC828))/AB828,0),"")</f>
        <v>-1.0346899999999999</v>
      </c>
      <c r="W828" s="24" t="str">
        <f t="shared" si="103"/>
        <v/>
      </c>
      <c r="X828" s="25" t="str">
        <f t="shared" si="102"/>
        <v>AIMIA SER-3  6.95% 26JA17_ACB</v>
      </c>
      <c r="Y828" s="10" t="str">
        <f>IF(S829&lt;&gt;eRRSP_Tx_Table[[#This Row],[Year]],SUMIFS($W$4:$W828,$S$4:$S828,eRRSP_Tx_Table[[#This Row],[Year]],$W$4:$W828,"&gt;0"),"")</f>
        <v/>
      </c>
      <c r="Z828" s="10" t="str">
        <f>IF(S829&lt;&gt;eRRSP_Tx_Table[[#This Row],[Year]],SUMIFS($W$4:$W828,$S$4:$S828,eRRSP_Tx_Table[[#This Row],[Year]],$W$4:$W828,"&lt;0"),"")</f>
        <v/>
      </c>
      <c r="AA828" s="3">
        <f>(SUMIF($U$4:$U828,CONCATENATE("Buy",$C828),$N$4:$N828)+SUMIF($U$4:$U828,CONCATENATE("ReinvDiv",$C828),$N$4:$N828))</f>
        <v>-14485.66</v>
      </c>
      <c r="AB828">
        <f>(SUMIF($U$4:$U828,CONCATENATE("Buy",$C828),$F$4:$F828)+SUMIF($U$4:$U828,CONCATENATE("ReinvDiv",$C828),$F$4:$F828)+SUMIF($U$4:$U828,CONCATENATE("StkSplit",$C828),$F$4:$F828)-SUMIF($U$4:$U828,CONCATENATE("Sell",$C828),$F$4:$F828))</f>
        <v>14000</v>
      </c>
      <c r="AC828" s="3">
        <f>IF(B828="Sell",F828*INDEX(V:V,LOOKUP(2,1/(X$4:X827=CONCATENATE(C828,"_ACB")),ROW(V$4:V827))),0)</f>
        <v>0</v>
      </c>
    </row>
    <row r="829" spans="1:29" x14ac:dyDescent="0.25">
      <c r="A829" s="20">
        <v>41305</v>
      </c>
      <c r="B829" t="s">
        <v>42</v>
      </c>
      <c r="C829" t="s">
        <v>45</v>
      </c>
      <c r="D829" s="3">
        <v>15.4</v>
      </c>
      <c r="J829">
        <v>39.82</v>
      </c>
      <c r="M829" s="21">
        <f t="shared" si="106"/>
        <v>15.4</v>
      </c>
      <c r="N829" s="8">
        <f t="shared" si="104"/>
        <v>15.4</v>
      </c>
      <c r="O829" s="25">
        <f t="shared" si="109"/>
        <v>10788.409999999925</v>
      </c>
      <c r="P829" s="8">
        <f t="shared" si="107"/>
        <v>0</v>
      </c>
      <c r="Q829" s="4">
        <f>IF(AND(S829&gt;=[1]eRRSP_Rpt!$C$6,S829&lt;=[1]eRRSP_Rpt!$C$7),1,0)</f>
        <v>1</v>
      </c>
      <c r="R829" s="4"/>
      <c r="S829" s="4">
        <f t="shared" si="105"/>
        <v>2013</v>
      </c>
      <c r="T829" s="4"/>
      <c r="U829" s="4" t="str">
        <f t="shared" si="108"/>
        <v>DivTD Bank</v>
      </c>
      <c r="V829" s="23">
        <f>IFERROR(IF(AND(AB829&gt;0,B829&lt;&gt;"Sell"),(AA829-SUMIF(C$4:C828,C829,AC$4:AC829))/AB829,0),"")</f>
        <v>-44.29</v>
      </c>
      <c r="W829" s="24" t="str">
        <f t="shared" si="103"/>
        <v/>
      </c>
      <c r="X829" s="25" t="str">
        <f t="shared" si="102"/>
        <v>TD Bank_ACB</v>
      </c>
      <c r="Y829" s="10" t="str">
        <f>IF(S830&lt;&gt;eRRSP_Tx_Table[[#This Row],[Year]],SUMIFS($W$4:$W829,$S$4:$S829,eRRSP_Tx_Table[[#This Row],[Year]],$W$4:$W829,"&gt;0"),"")</f>
        <v/>
      </c>
      <c r="Z829" s="10" t="str">
        <f>IF(S830&lt;&gt;eRRSP_Tx_Table[[#This Row],[Year]],SUMIFS($W$4:$W829,$S$4:$S829,eRRSP_Tx_Table[[#This Row],[Year]],$W$4:$W829,"&lt;0"),"")</f>
        <v/>
      </c>
      <c r="AA829" s="3">
        <f>(SUMIF($U$4:$U829,CONCATENATE("Buy",$C829),$N$4:$N829)+SUMIF($U$4:$U829,CONCATENATE("ReinvDiv",$C829),$N$4:$N829))</f>
        <v>-885.8</v>
      </c>
      <c r="AB829">
        <f>(SUMIF($U$4:$U829,CONCATENATE("Buy",$C829),$F$4:$F829)+SUMIF($U$4:$U829,CONCATENATE("ReinvDiv",$C829),$F$4:$F829)+SUMIF($U$4:$U829,CONCATENATE("StkSplit",$C829),$F$4:$F829)-SUMIF($U$4:$U829,CONCATENATE("Sell",$C829),$F$4:$F829))</f>
        <v>20</v>
      </c>
      <c r="AC829" s="3">
        <f>IF(B829="Sell",F829*INDEX(V:V,LOOKUP(2,1/(X$4:X828=CONCATENATE(C829,"_ACB")),ROW(V$4:V828))),0)</f>
        <v>0</v>
      </c>
    </row>
    <row r="830" spans="1:29" x14ac:dyDescent="0.25">
      <c r="A830" s="20">
        <v>41305</v>
      </c>
      <c r="B830" t="s">
        <v>43</v>
      </c>
      <c r="C830" t="s">
        <v>99</v>
      </c>
      <c r="D830" s="3">
        <v>27.74</v>
      </c>
      <c r="J830">
        <v>0.22</v>
      </c>
      <c r="M830" s="21">
        <f t="shared" si="106"/>
        <v>27.74</v>
      </c>
      <c r="N830" s="8">
        <f t="shared" si="104"/>
        <v>27.74</v>
      </c>
      <c r="O830" s="25">
        <f t="shared" si="109"/>
        <v>10816.149999999925</v>
      </c>
      <c r="P830" s="8">
        <f t="shared" si="107"/>
        <v>0</v>
      </c>
      <c r="Q830" s="4">
        <f>IF(AND(S830&gt;=[1]eRRSP_Rpt!$C$6,S830&lt;=[1]eRRSP_Rpt!$C$7),1,0)</f>
        <v>1</v>
      </c>
      <c r="R830" s="4"/>
      <c r="S830" s="4">
        <f t="shared" si="105"/>
        <v>2013</v>
      </c>
      <c r="T830" s="4"/>
      <c r="U830" s="4" t="str">
        <f t="shared" si="108"/>
        <v>IntIncTD INV SAV ACCT  /NL'FRAC</v>
      </c>
      <c r="V830" s="23">
        <f>IFERROR(IF(AND(AB830&gt;0,B830&lt;&gt;"Sell"),(AA830-SUMIF(C$4:C829,C830,AC$4:AC830))/AB830,0),"")</f>
        <v>-10</v>
      </c>
      <c r="W830" s="24" t="str">
        <f t="shared" si="103"/>
        <v/>
      </c>
      <c r="X830" s="25" t="str">
        <f t="shared" si="102"/>
        <v>TD INV SAV ACCT  /NL'FRAC_ACB</v>
      </c>
      <c r="Y830" s="10" t="str">
        <f>IF(S831&lt;&gt;eRRSP_Tx_Table[[#This Row],[Year]],SUMIFS($W$4:$W830,$S$4:$S830,eRRSP_Tx_Table[[#This Row],[Year]],$W$4:$W830,"&gt;0"),"")</f>
        <v/>
      </c>
      <c r="Z830" s="10" t="str">
        <f>IF(S831&lt;&gt;eRRSP_Tx_Table[[#This Row],[Year]],SUMIFS($W$4:$W830,$S$4:$S830,eRRSP_Tx_Table[[#This Row],[Year]],$W$4:$W830,"&lt;0"),"")</f>
        <v/>
      </c>
      <c r="AA830" s="3">
        <f>(SUMIF($U$4:$U830,CONCATENATE("Buy",$C830),$N$4:$N830)+SUMIF($U$4:$U830,CONCATENATE("ReinvDiv",$C830),$N$4:$N830))</f>
        <v>-27000</v>
      </c>
      <c r="AB830">
        <f>(SUMIF($U$4:$U830,CONCATENATE("Buy",$C830),$F$4:$F830)+SUMIF($U$4:$U830,CONCATENATE("ReinvDiv",$C830),$F$4:$F830)+SUMIF($U$4:$U830,CONCATENATE("StkSplit",$C830),$F$4:$F830)-SUMIF($U$4:$U830,CONCATENATE("Sell",$C830),$F$4:$F830))</f>
        <v>2700</v>
      </c>
      <c r="AC830" s="3">
        <f>IF(B830="Sell",F830*INDEX(V:V,LOOKUP(2,1/(X$4:X829=CONCATENATE(C830,"_ACB")),ROW(V$4:V829))),0)</f>
        <v>0</v>
      </c>
    </row>
    <row r="831" spans="1:29" x14ac:dyDescent="0.25">
      <c r="A831" s="20">
        <v>41320</v>
      </c>
      <c r="B831" t="s">
        <v>42</v>
      </c>
      <c r="C831" t="s">
        <v>87</v>
      </c>
      <c r="D831" s="3">
        <v>39.82</v>
      </c>
      <c r="J831">
        <v>25.89</v>
      </c>
      <c r="M831" s="21">
        <f t="shared" si="106"/>
        <v>39.82</v>
      </c>
      <c r="N831" s="8">
        <f t="shared" si="104"/>
        <v>39.82</v>
      </c>
      <c r="O831" s="25">
        <f t="shared" si="109"/>
        <v>10855.969999999925</v>
      </c>
      <c r="P831" s="8">
        <f t="shared" si="107"/>
        <v>0</v>
      </c>
      <c r="Q831" s="4">
        <f>IF(AND(S831&gt;=[1]eRRSP_Rpt!$C$6,S831&lt;=[1]eRRSP_Rpt!$C$7),1,0)</f>
        <v>1</v>
      </c>
      <c r="R831" s="4"/>
      <c r="S831" s="4">
        <f t="shared" si="105"/>
        <v>2013</v>
      </c>
      <c r="T831" s="4"/>
      <c r="U831" s="4" t="str">
        <f t="shared" si="108"/>
        <v>DivAberdeen Asia Pacific Income Fund</v>
      </c>
      <c r="V831" s="23">
        <f>IFERROR(IF(AND(AB831&gt;0,B831&lt;&gt;"Sell"),(AA831-SUMIF(C$4:C830,C831,AC$4:AC831))/AB831,0),"")</f>
        <v>-7.4694020797227028</v>
      </c>
      <c r="W831" s="24" t="str">
        <f t="shared" si="103"/>
        <v/>
      </c>
      <c r="X831" s="25" t="str">
        <f t="shared" si="102"/>
        <v>Aberdeen Asia Pacific Income Fund_ACB</v>
      </c>
      <c r="Y831" s="10" t="str">
        <f>IF(S832&lt;&gt;eRRSP_Tx_Table[[#This Row],[Year]],SUMIFS($W$4:$W831,$S$4:$S831,eRRSP_Tx_Table[[#This Row],[Year]],$W$4:$W831,"&gt;0"),"")</f>
        <v/>
      </c>
      <c r="Z831" s="10" t="str">
        <f>IF(S832&lt;&gt;eRRSP_Tx_Table[[#This Row],[Year]],SUMIFS($W$4:$W831,$S$4:$S831,eRRSP_Tx_Table[[#This Row],[Year]],$W$4:$W831,"&lt;0"),"")</f>
        <v/>
      </c>
      <c r="AA831" s="3">
        <f>(SUMIF($U$4:$U831,CONCATENATE("Buy",$C831),$N$4:$N831)+SUMIF($U$4:$U831,CONCATENATE("ReinvDiv",$C831),$N$4:$N831))</f>
        <v>-8619.6899999999987</v>
      </c>
      <c r="AB831">
        <f>(SUMIF($U$4:$U831,CONCATENATE("Buy",$C831),$F$4:$F831)+SUMIF($U$4:$U831,CONCATENATE("ReinvDiv",$C831),$F$4:$F831)+SUMIF($U$4:$U831,CONCATENATE("StkSplit",$C831),$F$4:$F831)-SUMIF($U$4:$U831,CONCATENATE("Sell",$C831),$F$4:$F831))</f>
        <v>1154</v>
      </c>
      <c r="AC831" s="3">
        <f>IF(B831="Sell",F831*INDEX(V:V,LOOKUP(2,1/(X$4:X830=CONCATENATE(C831,"_ACB")),ROW(V$4:V830))),0)</f>
        <v>0</v>
      </c>
    </row>
    <row r="832" spans="1:29" x14ac:dyDescent="0.25">
      <c r="A832" s="20">
        <v>41321</v>
      </c>
      <c r="B832" t="s">
        <v>43</v>
      </c>
      <c r="C832" t="s">
        <v>36</v>
      </c>
      <c r="D832" s="3">
        <v>0.22</v>
      </c>
      <c r="J832">
        <v>108.99</v>
      </c>
      <c r="M832" s="21">
        <f t="shared" si="106"/>
        <v>0.22</v>
      </c>
      <c r="N832" s="8">
        <f t="shared" si="104"/>
        <v>0.22</v>
      </c>
      <c r="O832" s="25">
        <f t="shared" si="109"/>
        <v>10856.189999999924</v>
      </c>
      <c r="P832" s="8">
        <f t="shared" si="107"/>
        <v>0</v>
      </c>
      <c r="Q832" s="4">
        <f>IF(AND(S832&gt;=[1]eRRSP_Rpt!$C$6,S832&lt;=[1]eRRSP_Rpt!$C$7),1,0)</f>
        <v>1</v>
      </c>
      <c r="R832" s="4"/>
      <c r="S832" s="4">
        <f t="shared" si="105"/>
        <v>2013</v>
      </c>
      <c r="T832" s="4"/>
      <c r="U832" s="4" t="str">
        <f t="shared" si="108"/>
        <v>IntIncTDW</v>
      </c>
      <c r="V832" s="23">
        <f>IFERROR(IF(AND(AB832&gt;0,B832&lt;&gt;"Sell"),(AA832-SUMIF(C$4:C831,C832,AC$4:AC832))/AB832,0),"")</f>
        <v>0</v>
      </c>
      <c r="W832" s="24" t="str">
        <f t="shared" si="103"/>
        <v/>
      </c>
      <c r="X832" s="25" t="str">
        <f t="shared" si="102"/>
        <v/>
      </c>
      <c r="Y832" s="10" t="str">
        <f>IF(S833&lt;&gt;eRRSP_Tx_Table[[#This Row],[Year]],SUMIFS($W$4:$W832,$S$4:$S832,eRRSP_Tx_Table[[#This Row],[Year]],$W$4:$W832,"&gt;0"),"")</f>
        <v/>
      </c>
      <c r="Z832" s="10" t="str">
        <f>IF(S833&lt;&gt;eRRSP_Tx_Table[[#This Row],[Year]],SUMIFS($W$4:$W832,$S$4:$S832,eRRSP_Tx_Table[[#This Row],[Year]],$W$4:$W832,"&lt;0"),"")</f>
        <v/>
      </c>
      <c r="AA832" s="3">
        <f>(SUMIF($U$4:$U832,CONCATENATE("Buy",$C832),$N$4:$N832)+SUMIF($U$4:$U832,CONCATENATE("ReinvDiv",$C832),$N$4:$N832))</f>
        <v>0</v>
      </c>
      <c r="AB832">
        <f>(SUMIF($U$4:$U832,CONCATENATE("Buy",$C832),$F$4:$F832)+SUMIF($U$4:$U832,CONCATENATE("ReinvDiv",$C832),$F$4:$F832)+SUMIF($U$4:$U832,CONCATENATE("StkSplit",$C832),$F$4:$F832)-SUMIF($U$4:$U832,CONCATENATE("Sell",$C832),$F$4:$F832))</f>
        <v>0</v>
      </c>
      <c r="AC832" s="3">
        <f>IF(B832="Sell",F832*INDEX(V:V,LOOKUP(2,1/(X$4:X831=CONCATENATE(C832,"_ACB")),ROW(V$4:V831))),0)</f>
        <v>0</v>
      </c>
    </row>
    <row r="833" spans="1:29" x14ac:dyDescent="0.25">
      <c r="A833" s="20">
        <v>41333</v>
      </c>
      <c r="B833" t="s">
        <v>43</v>
      </c>
      <c r="C833" t="s">
        <v>99</v>
      </c>
      <c r="D833" s="3">
        <v>25.89</v>
      </c>
      <c r="J833">
        <v>40.67</v>
      </c>
      <c r="M833" s="21">
        <f t="shared" si="106"/>
        <v>25.89</v>
      </c>
      <c r="N833" s="8">
        <f t="shared" si="104"/>
        <v>25.89</v>
      </c>
      <c r="O833" s="25">
        <f t="shared" si="109"/>
        <v>10882.079999999924</v>
      </c>
      <c r="P833" s="8">
        <f t="shared" si="107"/>
        <v>0</v>
      </c>
      <c r="Q833" s="4">
        <f>IF(AND(S833&gt;=[1]eRRSP_Rpt!$C$6,S833&lt;=[1]eRRSP_Rpt!$C$7),1,0)</f>
        <v>1</v>
      </c>
      <c r="R833" s="4"/>
      <c r="S833" s="4">
        <f t="shared" si="105"/>
        <v>2013</v>
      </c>
      <c r="T833" s="4"/>
      <c r="U833" s="4" t="str">
        <f t="shared" si="108"/>
        <v>IntIncTD INV SAV ACCT  /NL'FRAC</v>
      </c>
      <c r="V833" s="23">
        <f>IFERROR(IF(AND(AB833&gt;0,B833&lt;&gt;"Sell"),(AA833-SUMIF(C$4:C832,C833,AC$4:AC833))/AB833,0),"")</f>
        <v>-10</v>
      </c>
      <c r="W833" s="24" t="str">
        <f t="shared" si="103"/>
        <v/>
      </c>
      <c r="X833" s="25" t="str">
        <f t="shared" si="102"/>
        <v>TD INV SAV ACCT  /NL'FRAC_ACB</v>
      </c>
      <c r="Y833" s="10" t="str">
        <f>IF(S834&lt;&gt;eRRSP_Tx_Table[[#This Row],[Year]],SUMIFS($W$4:$W833,$S$4:$S833,eRRSP_Tx_Table[[#This Row],[Year]],$W$4:$W833,"&gt;0"),"")</f>
        <v/>
      </c>
      <c r="Z833" s="10" t="str">
        <f>IF(S834&lt;&gt;eRRSP_Tx_Table[[#This Row],[Year]],SUMIFS($W$4:$W833,$S$4:$S833,eRRSP_Tx_Table[[#This Row],[Year]],$W$4:$W833,"&lt;0"),"")</f>
        <v/>
      </c>
      <c r="AA833" s="3">
        <f>(SUMIF($U$4:$U833,CONCATENATE("Buy",$C833),$N$4:$N833)+SUMIF($U$4:$U833,CONCATENATE("ReinvDiv",$C833),$N$4:$N833))</f>
        <v>-27000</v>
      </c>
      <c r="AB833">
        <f>(SUMIF($U$4:$U833,CONCATENATE("Buy",$C833),$F$4:$F833)+SUMIF($U$4:$U833,CONCATENATE("ReinvDiv",$C833),$F$4:$F833)+SUMIF($U$4:$U833,CONCATENATE("StkSplit",$C833),$F$4:$F833)-SUMIF($U$4:$U833,CONCATENATE("Sell",$C833),$F$4:$F833))</f>
        <v>2700</v>
      </c>
      <c r="AC833" s="3">
        <f>IF(B833="Sell",F833*INDEX(V:V,LOOKUP(2,1/(X$4:X832=CONCATENATE(C833,"_ACB")),ROW(V$4:V832))),0)</f>
        <v>0</v>
      </c>
    </row>
    <row r="834" spans="1:29" x14ac:dyDescent="0.25">
      <c r="A834" s="20">
        <v>41334</v>
      </c>
      <c r="B834" t="s">
        <v>42</v>
      </c>
      <c r="C834" t="s">
        <v>33</v>
      </c>
      <c r="D834" s="3">
        <v>108.99</v>
      </c>
      <c r="J834">
        <v>0.2</v>
      </c>
      <c r="M834" s="21">
        <f t="shared" si="106"/>
        <v>108.99</v>
      </c>
      <c r="N834" s="8">
        <f t="shared" si="104"/>
        <v>108.99</v>
      </c>
      <c r="O834" s="25">
        <f t="shared" si="109"/>
        <v>10991.069999999923</v>
      </c>
      <c r="P834" s="8">
        <f t="shared" si="107"/>
        <v>0</v>
      </c>
      <c r="Q834" s="4">
        <f>IF(AND(S834&gt;=[1]eRRSP_Rpt!$C$6,S834&lt;=[1]eRRSP_Rpt!$C$7),1,0)</f>
        <v>1</v>
      </c>
      <c r="R834" s="4"/>
      <c r="S834" s="4">
        <f t="shared" si="105"/>
        <v>2013</v>
      </c>
      <c r="T834" s="4"/>
      <c r="U834" s="4" t="str">
        <f t="shared" si="108"/>
        <v>DivEnbridge</v>
      </c>
      <c r="V834" s="23">
        <f>IFERROR(IF(AND(AB834&gt;0,B834&lt;&gt;"Sell"),(AA834-SUMIF(C$4:C833,C834,AC$4:AC834))/AB834,0),"")</f>
        <v>-16.981789097623633</v>
      </c>
      <c r="W834" s="24" t="str">
        <f t="shared" si="103"/>
        <v/>
      </c>
      <c r="X834" s="25" t="str">
        <f t="shared" si="102"/>
        <v>Enbridge_ACB</v>
      </c>
      <c r="Y834" s="10" t="str">
        <f>IF(S835&lt;&gt;eRRSP_Tx_Table[[#This Row],[Year]],SUMIFS($W$4:$W834,$S$4:$S834,eRRSP_Tx_Table[[#This Row],[Year]],$W$4:$W834,"&gt;0"),"")</f>
        <v/>
      </c>
      <c r="Z834" s="10" t="str">
        <f>IF(S835&lt;&gt;eRRSP_Tx_Table[[#This Row],[Year]],SUMIFS($W$4:$W834,$S$4:$S834,eRRSP_Tx_Table[[#This Row],[Year]],$W$4:$W834,"&lt;0"),"")</f>
        <v/>
      </c>
      <c r="AA834" s="3">
        <f>(SUMIF($U$4:$U834,CONCATENATE("Buy",$C834),$N$4:$N834)+SUMIF($U$4:$U834,CONCATENATE("ReinvDiv",$C834),$N$4:$N834))</f>
        <v>-6788.69</v>
      </c>
      <c r="AB834">
        <f>(SUMIF($U$4:$U834,CONCATENATE("Buy",$C834),$F$4:$F834)+SUMIF($U$4:$U834,CONCATENATE("ReinvDiv",$C834),$F$4:$F834)+SUMIF($U$4:$U834,CONCATENATE("StkSplit",$C834),$F$4:$F834)-SUMIF($U$4:$U834,CONCATENATE("Sell",$C834),$F$4:$F834))</f>
        <v>346</v>
      </c>
      <c r="AC834" s="3">
        <f>IF(B834="Sell",F834*INDEX(V:V,LOOKUP(2,1/(X$4:X833=CONCATENATE(C834,"_ACB")),ROW(V$4:V833))),0)</f>
        <v>0</v>
      </c>
    </row>
    <row r="835" spans="1:29" x14ac:dyDescent="0.25">
      <c r="A835" s="20">
        <v>41348</v>
      </c>
      <c r="B835" t="s">
        <v>42</v>
      </c>
      <c r="C835" t="s">
        <v>87</v>
      </c>
      <c r="D835" s="3">
        <v>40.67</v>
      </c>
      <c r="J835">
        <v>22.39</v>
      </c>
      <c r="M835" s="21">
        <f t="shared" si="106"/>
        <v>40.67</v>
      </c>
      <c r="N835" s="8">
        <f t="shared" si="104"/>
        <v>40.67</v>
      </c>
      <c r="O835" s="25">
        <f t="shared" si="109"/>
        <v>11031.739999999923</v>
      </c>
      <c r="P835" s="8">
        <f t="shared" si="107"/>
        <v>0</v>
      </c>
      <c r="Q835" s="4">
        <f>IF(AND(S835&gt;=[1]eRRSP_Rpt!$C$6,S835&lt;=[1]eRRSP_Rpt!$C$7),1,0)</f>
        <v>1</v>
      </c>
      <c r="R835" s="4"/>
      <c r="S835" s="4">
        <f t="shared" si="105"/>
        <v>2013</v>
      </c>
      <c r="T835" s="4"/>
      <c r="U835" s="4" t="str">
        <f t="shared" si="108"/>
        <v>DivAberdeen Asia Pacific Income Fund</v>
      </c>
      <c r="V835" s="23">
        <f>IFERROR(IF(AND(AB835&gt;0,B835&lt;&gt;"Sell"),(AA835-SUMIF(C$4:C834,C835,AC$4:AC835))/AB835,0),"")</f>
        <v>-7.4694020797227028</v>
      </c>
      <c r="W835" s="24" t="str">
        <f t="shared" si="103"/>
        <v/>
      </c>
      <c r="X835" s="25" t="str">
        <f t="shared" si="102"/>
        <v>Aberdeen Asia Pacific Income Fund_ACB</v>
      </c>
      <c r="Y835" s="10" t="str">
        <f>IF(S836&lt;&gt;eRRSP_Tx_Table[[#This Row],[Year]],SUMIFS($W$4:$W835,$S$4:$S835,eRRSP_Tx_Table[[#This Row],[Year]],$W$4:$W835,"&gt;0"),"")</f>
        <v/>
      </c>
      <c r="Z835" s="10" t="str">
        <f>IF(S836&lt;&gt;eRRSP_Tx_Table[[#This Row],[Year]],SUMIFS($W$4:$W835,$S$4:$S835,eRRSP_Tx_Table[[#This Row],[Year]],$W$4:$W835,"&lt;0"),"")</f>
        <v/>
      </c>
      <c r="AA835" s="3">
        <f>(SUMIF($U$4:$U835,CONCATENATE("Buy",$C835),$N$4:$N835)+SUMIF($U$4:$U835,CONCATENATE("ReinvDiv",$C835),$N$4:$N835))</f>
        <v>-8619.6899999999987</v>
      </c>
      <c r="AB835">
        <f>(SUMIF($U$4:$U835,CONCATENATE("Buy",$C835),$F$4:$F835)+SUMIF($U$4:$U835,CONCATENATE("ReinvDiv",$C835),$F$4:$F835)+SUMIF($U$4:$U835,CONCATENATE("StkSplit",$C835),$F$4:$F835)-SUMIF($U$4:$U835,CONCATENATE("Sell",$C835),$F$4:$F835))</f>
        <v>1154</v>
      </c>
      <c r="AC835" s="3">
        <f>IF(B835="Sell",F835*INDEX(V:V,LOOKUP(2,1/(X$4:X834=CONCATENATE(C835,"_ACB")),ROW(V$4:V834))),0)</f>
        <v>0</v>
      </c>
    </row>
    <row r="836" spans="1:29" x14ac:dyDescent="0.25">
      <c r="A836" s="20">
        <v>41349</v>
      </c>
      <c r="B836" t="s">
        <v>43</v>
      </c>
      <c r="C836" t="s">
        <v>36</v>
      </c>
      <c r="D836" s="3">
        <v>0.2</v>
      </c>
      <c r="J836">
        <v>88.67</v>
      </c>
      <c r="M836" s="21">
        <f t="shared" si="106"/>
        <v>0.2</v>
      </c>
      <c r="N836" s="8">
        <f t="shared" si="104"/>
        <v>0.2</v>
      </c>
      <c r="O836" s="25">
        <f t="shared" si="109"/>
        <v>11031.939999999924</v>
      </c>
      <c r="P836" s="8">
        <f t="shared" si="107"/>
        <v>0</v>
      </c>
      <c r="Q836" s="4">
        <f>IF(AND(S836&gt;=[1]eRRSP_Rpt!$C$6,S836&lt;=[1]eRRSP_Rpt!$C$7),1,0)</f>
        <v>1</v>
      </c>
      <c r="R836" s="4"/>
      <c r="S836" s="4">
        <f t="shared" si="105"/>
        <v>2013</v>
      </c>
      <c r="T836" s="4"/>
      <c r="U836" s="4" t="str">
        <f t="shared" si="108"/>
        <v>IntIncTDW</v>
      </c>
      <c r="V836" s="23">
        <f>IFERROR(IF(AND(AB836&gt;0,B836&lt;&gt;"Sell"),(AA836-SUMIF(C$4:C835,C836,AC$4:AC836))/AB836,0),"")</f>
        <v>0</v>
      </c>
      <c r="W836" s="24" t="str">
        <f t="shared" si="103"/>
        <v/>
      </c>
      <c r="X836" s="25" t="str">
        <f t="shared" ref="X836:X899" si="110">IF(V836,CONCATENATE(C836,"_ACB"),"")</f>
        <v/>
      </c>
      <c r="Y836" s="10" t="str">
        <f>IF(S837&lt;&gt;eRRSP_Tx_Table[[#This Row],[Year]],SUMIFS($W$4:$W836,$S$4:$S836,eRRSP_Tx_Table[[#This Row],[Year]],$W$4:$W836,"&gt;0"),"")</f>
        <v/>
      </c>
      <c r="Z836" s="10" t="str">
        <f>IF(S837&lt;&gt;eRRSP_Tx_Table[[#This Row],[Year]],SUMIFS($W$4:$W836,$S$4:$S836,eRRSP_Tx_Table[[#This Row],[Year]],$W$4:$W836,"&lt;0"),"")</f>
        <v/>
      </c>
      <c r="AA836" s="3">
        <f>(SUMIF($U$4:$U836,CONCATENATE("Buy",$C836),$N$4:$N836)+SUMIF($U$4:$U836,CONCATENATE("ReinvDiv",$C836),$N$4:$N836))</f>
        <v>0</v>
      </c>
      <c r="AB836">
        <f>(SUMIF($U$4:$U836,CONCATENATE("Buy",$C836),$F$4:$F836)+SUMIF($U$4:$U836,CONCATENATE("ReinvDiv",$C836),$F$4:$F836)+SUMIF($U$4:$U836,CONCATENATE("StkSplit",$C836),$F$4:$F836)-SUMIF($U$4:$U836,CONCATENATE("Sell",$C836),$F$4:$F836))</f>
        <v>0</v>
      </c>
      <c r="AC836" s="3">
        <f>IF(B836="Sell",F836*INDEX(V:V,LOOKUP(2,1/(X$4:X835=CONCATENATE(C836,"_ACB")),ROW(V$4:V835))),0)</f>
        <v>0</v>
      </c>
    </row>
    <row r="837" spans="1:29" x14ac:dyDescent="0.25">
      <c r="A837" s="20">
        <v>41360</v>
      </c>
      <c r="B837" t="s">
        <v>41</v>
      </c>
      <c r="C837" t="s">
        <v>97</v>
      </c>
      <c r="D837" s="3">
        <v>88.67</v>
      </c>
      <c r="E837">
        <f>eRRSP_Tx_Table[[#This Row],[Amount]]/eRRSP_Tx_Table[[#This Row],[Quantity]]</f>
        <v>9.3800909764096065</v>
      </c>
      <c r="F837" s="3">
        <v>9.4529999999999994</v>
      </c>
      <c r="J837">
        <v>28.66</v>
      </c>
      <c r="M837" s="21">
        <f t="shared" si="106"/>
        <v>88.67</v>
      </c>
      <c r="N837" s="8">
        <f t="shared" si="104"/>
        <v>-88.67</v>
      </c>
      <c r="O837" s="25">
        <f t="shared" si="109"/>
        <v>11031.939999999924</v>
      </c>
      <c r="P837" s="8">
        <f t="shared" si="107"/>
        <v>0</v>
      </c>
      <c r="Q837" s="4">
        <f>IF(AND(S837&gt;=[1]eRRSP_Rpt!$C$6,S837&lt;=[1]eRRSP_Rpt!$C$7),1,0)</f>
        <v>1</v>
      </c>
      <c r="R837" s="4"/>
      <c r="S837" s="4">
        <f t="shared" si="105"/>
        <v>2013</v>
      </c>
      <c r="T837" s="4"/>
      <c r="U837" s="4" t="str">
        <f t="shared" si="108"/>
        <v>ReinvDivTD International Index - e</v>
      </c>
      <c r="V837" s="23">
        <f>IFERROR(IF(AND(AB837&gt;0,B837&lt;&gt;"Sell"),(AA837-SUMIF(C$4:C836,C837,AC$4:AC837))/AB837,0),"")</f>
        <v>-8.3443957945669691</v>
      </c>
      <c r="W837" s="24" t="str">
        <f t="shared" ref="W837:W900" si="111">IF(B837="Sell",N837+AC837,"")</f>
        <v/>
      </c>
      <c r="X837" s="25" t="str">
        <f t="shared" si="110"/>
        <v>TD International Index - e_ACB</v>
      </c>
      <c r="Y837" s="10" t="str">
        <f>IF(S838&lt;&gt;eRRSP_Tx_Table[[#This Row],[Year]],SUMIFS($W$4:$W837,$S$4:$S837,eRRSP_Tx_Table[[#This Row],[Year]],$W$4:$W837,"&gt;0"),"")</f>
        <v/>
      </c>
      <c r="Z837" s="10" t="str">
        <f>IF(S838&lt;&gt;eRRSP_Tx_Table[[#This Row],[Year]],SUMIFS($W$4:$W837,$S$4:$S837,eRRSP_Tx_Table[[#This Row],[Year]],$W$4:$W837,"&lt;0"),"")</f>
        <v/>
      </c>
      <c r="AA837" s="3">
        <f>(SUMIF($U$4:$U837,CONCATENATE("Buy",$C837),$N$4:$N837)+SUMIF($U$4:$U837,CONCATENATE("ReinvDiv",$C837),$N$4:$N837))</f>
        <v>-28834.309999999998</v>
      </c>
      <c r="AB837">
        <f>(SUMIF($U$4:$U837,CONCATENATE("Buy",$C837),$F$4:$F837)+SUMIF($U$4:$U837,CONCATENATE("ReinvDiv",$C837),$F$4:$F837)+SUMIF($U$4:$U837,CONCATENATE("StkSplit",$C837),$F$4:$F837)-SUMIF($U$4:$U837,CONCATENATE("Sell",$C837),$F$4:$F837))</f>
        <v>3455.53</v>
      </c>
      <c r="AC837" s="3">
        <f>IF(B837="Sell",F837*INDEX(V:V,LOOKUP(2,1/(X$4:X836=CONCATENATE(C837,"_ACB")),ROW(V$4:V836))),0)</f>
        <v>0</v>
      </c>
    </row>
    <row r="838" spans="1:29" x14ac:dyDescent="0.25">
      <c r="A838" s="20">
        <v>41361</v>
      </c>
      <c r="B838" t="s">
        <v>42</v>
      </c>
      <c r="C838" t="s">
        <v>90</v>
      </c>
      <c r="D838" s="3">
        <v>22.39</v>
      </c>
      <c r="J838">
        <v>0.76</v>
      </c>
      <c r="M838" s="21">
        <f t="shared" si="106"/>
        <v>22.39</v>
      </c>
      <c r="N838" s="8">
        <f t="shared" si="104"/>
        <v>22.39</v>
      </c>
      <c r="O838" s="25">
        <f t="shared" si="109"/>
        <v>11054.329999999924</v>
      </c>
      <c r="P838" s="8">
        <f t="shared" si="107"/>
        <v>0</v>
      </c>
      <c r="Q838" s="4">
        <f>IF(AND(S838&gt;=[1]eRRSP_Rpt!$C$6,S838&lt;=[1]eRRSP_Rpt!$C$7),1,0)</f>
        <v>1</v>
      </c>
      <c r="R838" s="4"/>
      <c r="S838" s="4">
        <f t="shared" si="105"/>
        <v>2013</v>
      </c>
      <c r="T838" s="4"/>
      <c r="U838" s="4" t="str">
        <f t="shared" si="108"/>
        <v>DivVanguard Large Cap ETF</v>
      </c>
      <c r="V838" s="23">
        <f>IFERROR(IF(AND(AB838&gt;0,B838&lt;&gt;"Sell"),(AA838-SUMIF(C$4:C837,C838,AC$4:AC838))/AB838,0),"")</f>
        <v>-74.401142857142858</v>
      </c>
      <c r="W838" s="24" t="str">
        <f t="shared" si="111"/>
        <v/>
      </c>
      <c r="X838" s="25" t="str">
        <f t="shared" si="110"/>
        <v>Vanguard Large Cap ETF_ACB</v>
      </c>
      <c r="Y838" s="10" t="str">
        <f>IF(S839&lt;&gt;eRRSP_Tx_Table[[#This Row],[Year]],SUMIFS($W$4:$W838,$S$4:$S838,eRRSP_Tx_Table[[#This Row],[Year]],$W$4:$W838,"&gt;0"),"")</f>
        <v/>
      </c>
      <c r="Z838" s="10" t="str">
        <f>IF(S839&lt;&gt;eRRSP_Tx_Table[[#This Row],[Year]],SUMIFS($W$4:$W838,$S$4:$S838,eRRSP_Tx_Table[[#This Row],[Year]],$W$4:$W838,"&lt;0"),"")</f>
        <v/>
      </c>
      <c r="AA838" s="3">
        <f>(SUMIF($U$4:$U838,CONCATENATE("Buy",$C838),$N$4:$N838)+SUMIF($U$4:$U838,CONCATENATE("ReinvDiv",$C838),$N$4:$N838))</f>
        <v>-5208.08</v>
      </c>
      <c r="AB838">
        <f>(SUMIF($U$4:$U838,CONCATENATE("Buy",$C838),$F$4:$F838)+SUMIF($U$4:$U838,CONCATENATE("ReinvDiv",$C838),$F$4:$F838)+SUMIF($U$4:$U838,CONCATENATE("StkSplit",$C838),$F$4:$F838)-SUMIF($U$4:$U838,CONCATENATE("Sell",$C838),$F$4:$F838))</f>
        <v>70</v>
      </c>
      <c r="AC838" s="3">
        <f>IF(B838="Sell",F838*INDEX(V:V,LOOKUP(2,1/(X$4:X837=CONCATENATE(C838,"_ACB")),ROW(V$4:V837))),0)</f>
        <v>0</v>
      </c>
    </row>
    <row r="839" spans="1:29" x14ac:dyDescent="0.25">
      <c r="A839" s="20">
        <v>41361</v>
      </c>
      <c r="B839" t="s">
        <v>43</v>
      </c>
      <c r="C839" t="s">
        <v>99</v>
      </c>
      <c r="D839" s="3">
        <v>28.66</v>
      </c>
      <c r="J839">
        <v>40.15</v>
      </c>
      <c r="M839" s="21">
        <f t="shared" si="106"/>
        <v>28.66</v>
      </c>
      <c r="N839" s="8">
        <f t="shared" si="104"/>
        <v>28.66</v>
      </c>
      <c r="O839" s="25">
        <f t="shared" si="109"/>
        <v>11082.989999999923</v>
      </c>
      <c r="P839" s="8">
        <f t="shared" si="107"/>
        <v>0</v>
      </c>
      <c r="Q839" s="4">
        <f>IF(AND(S839&gt;=[1]eRRSP_Rpt!$C$6,S839&lt;=[1]eRRSP_Rpt!$C$7),1,0)</f>
        <v>1</v>
      </c>
      <c r="R839" s="4"/>
      <c r="S839" s="4">
        <f t="shared" si="105"/>
        <v>2013</v>
      </c>
      <c r="T839" s="4"/>
      <c r="U839" s="4" t="str">
        <f t="shared" si="108"/>
        <v>IntIncTD INV SAV ACCT  /NL'FRAC</v>
      </c>
      <c r="V839" s="23">
        <f>IFERROR(IF(AND(AB839&gt;0,B839&lt;&gt;"Sell"),(AA839-SUMIF(C$4:C838,C839,AC$4:AC839))/AB839,0),"")</f>
        <v>-10</v>
      </c>
      <c r="W839" s="24" t="str">
        <f t="shared" si="111"/>
        <v/>
      </c>
      <c r="X839" s="25" t="str">
        <f t="shared" si="110"/>
        <v>TD INV SAV ACCT  /NL'FRAC_ACB</v>
      </c>
      <c r="Y839" s="10" t="str">
        <f>IF(S840&lt;&gt;eRRSP_Tx_Table[[#This Row],[Year]],SUMIFS($W$4:$W839,$S$4:$S839,eRRSP_Tx_Table[[#This Row],[Year]],$W$4:$W839,"&gt;0"),"")</f>
        <v/>
      </c>
      <c r="Z839" s="10" t="str">
        <f>IF(S840&lt;&gt;eRRSP_Tx_Table[[#This Row],[Year]],SUMIFS($W$4:$W839,$S$4:$S839,eRRSP_Tx_Table[[#This Row],[Year]],$W$4:$W839,"&lt;0"),"")</f>
        <v/>
      </c>
      <c r="AA839" s="3">
        <f>(SUMIF($U$4:$U839,CONCATENATE("Buy",$C839),$N$4:$N839)+SUMIF($U$4:$U839,CONCATENATE("ReinvDiv",$C839),$N$4:$N839))</f>
        <v>-27000</v>
      </c>
      <c r="AB839">
        <f>(SUMIF($U$4:$U839,CONCATENATE("Buy",$C839),$F$4:$F839)+SUMIF($U$4:$U839,CONCATENATE("ReinvDiv",$C839),$F$4:$F839)+SUMIF($U$4:$U839,CONCATENATE("StkSplit",$C839),$F$4:$F839)-SUMIF($U$4:$U839,CONCATENATE("Sell",$C839),$F$4:$F839))</f>
        <v>2700</v>
      </c>
      <c r="AC839" s="3">
        <f>IF(B839="Sell",F839*INDEX(V:V,LOOKUP(2,1/(X$4:X838=CONCATENATE(C839,"_ACB")),ROW(V$4:V838))),0)</f>
        <v>0</v>
      </c>
    </row>
    <row r="840" spans="1:29" x14ac:dyDescent="0.25">
      <c r="A840" s="20">
        <v>41364</v>
      </c>
      <c r="B840" t="s">
        <v>42</v>
      </c>
      <c r="C840" t="s">
        <v>47</v>
      </c>
      <c r="D840" s="3">
        <v>0.76</v>
      </c>
      <c r="J840">
        <v>0.23</v>
      </c>
      <c r="M840" s="21">
        <f t="shared" si="106"/>
        <v>0.76</v>
      </c>
      <c r="N840" s="8">
        <f t="shared" si="104"/>
        <v>0.76</v>
      </c>
      <c r="O840" s="25">
        <f t="shared" si="109"/>
        <v>11083.749999999924</v>
      </c>
      <c r="P840" s="8">
        <f t="shared" si="107"/>
        <v>0</v>
      </c>
      <c r="Q840" s="4">
        <f>IF(AND(S840&gt;=[1]eRRSP_Rpt!$C$6,S840&lt;=[1]eRRSP_Rpt!$C$7),1,0)</f>
        <v>1</v>
      </c>
      <c r="R840" s="4"/>
      <c r="S840" s="4">
        <f t="shared" si="105"/>
        <v>2013</v>
      </c>
      <c r="T840" s="4"/>
      <c r="U840" s="4" t="str">
        <f t="shared" si="108"/>
        <v>DivBombardier</v>
      </c>
      <c r="V840" s="23">
        <f>IFERROR(IF(AND(AB840&gt;0,B840&lt;&gt;"Sell"),(AA840-SUMIF(C$4:C839,C840,AC$4:AC840))/AB840,0),"")</f>
        <v>-23.216666666666665</v>
      </c>
      <c r="W840" s="24" t="str">
        <f t="shared" si="111"/>
        <v/>
      </c>
      <c r="X840" s="25" t="str">
        <f t="shared" si="110"/>
        <v>Bombardier_ACB</v>
      </c>
      <c r="Y840" s="10" t="str">
        <f>IF(S841&lt;&gt;eRRSP_Tx_Table[[#This Row],[Year]],SUMIFS($W$4:$W840,$S$4:$S840,eRRSP_Tx_Table[[#This Row],[Year]],$W$4:$W840,"&gt;0"),"")</f>
        <v/>
      </c>
      <c r="Z840" s="10" t="str">
        <f>IF(S841&lt;&gt;eRRSP_Tx_Table[[#This Row],[Year]],SUMIFS($W$4:$W840,$S$4:$S840,eRRSP_Tx_Table[[#This Row],[Year]],$W$4:$W840,"&lt;0"),"")</f>
        <v/>
      </c>
      <c r="AA840" s="3">
        <f>(SUMIF($U$4:$U840,CONCATENATE("Buy",$C840),$N$4:$N840)+SUMIF($U$4:$U840,CONCATENATE("ReinvDiv",$C840),$N$4:$N840))</f>
        <v>-696.5</v>
      </c>
      <c r="AB840">
        <f>(SUMIF($U$4:$U840,CONCATENATE("Buy",$C840),$F$4:$F840)+SUMIF($U$4:$U840,CONCATENATE("ReinvDiv",$C840),$F$4:$F840)+SUMIF($U$4:$U840,CONCATENATE("StkSplit",$C840),$F$4:$F840)-SUMIF($U$4:$U840,CONCATENATE("Sell",$C840),$F$4:$F840))</f>
        <v>30</v>
      </c>
      <c r="AC840" s="3">
        <f>IF(B840="Sell",F840*INDEX(V:V,LOOKUP(2,1/(X$4:X839=CONCATENATE(C840,"_ACB")),ROW(V$4:V839))),0)</f>
        <v>0</v>
      </c>
    </row>
    <row r="841" spans="1:29" x14ac:dyDescent="0.25">
      <c r="A841" s="20">
        <v>41376</v>
      </c>
      <c r="B841" t="s">
        <v>42</v>
      </c>
      <c r="C841" t="s">
        <v>87</v>
      </c>
      <c r="D841" s="3">
        <v>40.15</v>
      </c>
      <c r="J841">
        <v>16.2</v>
      </c>
      <c r="M841" s="21">
        <f t="shared" si="106"/>
        <v>40.15</v>
      </c>
      <c r="N841" s="8">
        <f t="shared" si="104"/>
        <v>40.15</v>
      </c>
      <c r="O841" s="25">
        <f t="shared" si="109"/>
        <v>11123.899999999923</v>
      </c>
      <c r="P841" s="8">
        <f t="shared" si="107"/>
        <v>0</v>
      </c>
      <c r="Q841" s="4">
        <f>IF(AND(S841&gt;=[1]eRRSP_Rpt!$C$6,S841&lt;=[1]eRRSP_Rpt!$C$7),1,0)</f>
        <v>1</v>
      </c>
      <c r="R841" s="4"/>
      <c r="S841" s="4">
        <f t="shared" si="105"/>
        <v>2013</v>
      </c>
      <c r="T841" s="4"/>
      <c r="U841" s="4" t="str">
        <f t="shared" si="108"/>
        <v>DivAberdeen Asia Pacific Income Fund</v>
      </c>
      <c r="V841" s="23">
        <f>IFERROR(IF(AND(AB841&gt;0,B841&lt;&gt;"Sell"),(AA841-SUMIF(C$4:C840,C841,AC$4:AC841))/AB841,0),"")</f>
        <v>-7.4694020797227028</v>
      </c>
      <c r="W841" s="24" t="str">
        <f t="shared" si="111"/>
        <v/>
      </c>
      <c r="X841" s="25" t="str">
        <f t="shared" si="110"/>
        <v>Aberdeen Asia Pacific Income Fund_ACB</v>
      </c>
      <c r="Y841" s="10" t="str">
        <f>IF(S842&lt;&gt;eRRSP_Tx_Table[[#This Row],[Year]],SUMIFS($W$4:$W841,$S$4:$S841,eRRSP_Tx_Table[[#This Row],[Year]],$W$4:$W841,"&gt;0"),"")</f>
        <v/>
      </c>
      <c r="Z841" s="10" t="str">
        <f>IF(S842&lt;&gt;eRRSP_Tx_Table[[#This Row],[Year]],SUMIFS($W$4:$W841,$S$4:$S841,eRRSP_Tx_Table[[#This Row],[Year]],$W$4:$W841,"&lt;0"),"")</f>
        <v/>
      </c>
      <c r="AA841" s="3">
        <f>(SUMIF($U$4:$U841,CONCATENATE("Buy",$C841),$N$4:$N841)+SUMIF($U$4:$U841,CONCATENATE("ReinvDiv",$C841),$N$4:$N841))</f>
        <v>-8619.6899999999987</v>
      </c>
      <c r="AB841">
        <f>(SUMIF($U$4:$U841,CONCATENATE("Buy",$C841),$F$4:$F841)+SUMIF($U$4:$U841,CONCATENATE("ReinvDiv",$C841),$F$4:$F841)+SUMIF($U$4:$U841,CONCATENATE("StkSplit",$C841),$F$4:$F841)-SUMIF($U$4:$U841,CONCATENATE("Sell",$C841),$F$4:$F841))</f>
        <v>1154</v>
      </c>
      <c r="AC841" s="3">
        <f>IF(B841="Sell",F841*INDEX(V:V,LOOKUP(2,1/(X$4:X840=CONCATENATE(C841,"_ACB")),ROW(V$4:V840))),0)</f>
        <v>0</v>
      </c>
    </row>
    <row r="842" spans="1:29" x14ac:dyDescent="0.25">
      <c r="A842" s="20">
        <v>41380</v>
      </c>
      <c r="B842" t="s">
        <v>43</v>
      </c>
      <c r="C842" t="s">
        <v>36</v>
      </c>
      <c r="D842" s="3">
        <v>0.23</v>
      </c>
      <c r="J842">
        <v>27.74</v>
      </c>
      <c r="M842" s="21">
        <f t="shared" si="106"/>
        <v>0.23</v>
      </c>
      <c r="N842" s="8">
        <f t="shared" ref="N842:N905" si="112">IF(OR(B842="Buy",B842="ReinvDiv"),-M842-G842,M842-G842)</f>
        <v>0.23</v>
      </c>
      <c r="O842" s="25">
        <f t="shared" si="109"/>
        <v>11124.129999999923</v>
      </c>
      <c r="P842" s="8">
        <f t="shared" si="107"/>
        <v>0</v>
      </c>
      <c r="Q842" s="4">
        <f>IF(AND(S842&gt;=[1]eRRSP_Rpt!$C$6,S842&lt;=[1]eRRSP_Rpt!$C$7),1,0)</f>
        <v>1</v>
      </c>
      <c r="R842" s="4"/>
      <c r="S842" s="4">
        <f t="shared" si="105"/>
        <v>2013</v>
      </c>
      <c r="T842" s="4"/>
      <c r="U842" s="4" t="str">
        <f t="shared" si="108"/>
        <v>IntIncTDW</v>
      </c>
      <c r="V842" s="23">
        <f>IFERROR(IF(AND(AB842&gt;0,B842&lt;&gt;"Sell"),(AA842-SUMIF(C$4:C841,C842,AC$4:AC842))/AB842,0),"")</f>
        <v>0</v>
      </c>
      <c r="W842" s="24" t="str">
        <f t="shared" si="111"/>
        <v/>
      </c>
      <c r="X842" s="25" t="str">
        <f t="shared" si="110"/>
        <v/>
      </c>
      <c r="Y842" s="10" t="str">
        <f>IF(S843&lt;&gt;eRRSP_Tx_Table[[#This Row],[Year]],SUMIFS($W$4:$W842,$S$4:$S842,eRRSP_Tx_Table[[#This Row],[Year]],$W$4:$W842,"&gt;0"),"")</f>
        <v/>
      </c>
      <c r="Z842" s="10" t="str">
        <f>IF(S843&lt;&gt;eRRSP_Tx_Table[[#This Row],[Year]],SUMIFS($W$4:$W842,$S$4:$S842,eRRSP_Tx_Table[[#This Row],[Year]],$W$4:$W842,"&lt;0"),"")</f>
        <v/>
      </c>
      <c r="AA842" s="3">
        <f>(SUMIF($U$4:$U842,CONCATENATE("Buy",$C842),$N$4:$N842)+SUMIF($U$4:$U842,CONCATENATE("ReinvDiv",$C842),$N$4:$N842))</f>
        <v>0</v>
      </c>
      <c r="AB842">
        <f>(SUMIF($U$4:$U842,CONCATENATE("Buy",$C842),$F$4:$F842)+SUMIF($U$4:$U842,CONCATENATE("ReinvDiv",$C842),$F$4:$F842)+SUMIF($U$4:$U842,CONCATENATE("StkSplit",$C842),$F$4:$F842)-SUMIF($U$4:$U842,CONCATENATE("Sell",$C842),$F$4:$F842))</f>
        <v>0</v>
      </c>
      <c r="AC842" s="3">
        <f>IF(B842="Sell",F842*INDEX(V:V,LOOKUP(2,1/(X$4:X841=CONCATENATE(C842,"_ACB")),ROW(V$4:V841))),0)</f>
        <v>0</v>
      </c>
    </row>
    <row r="843" spans="1:29" x14ac:dyDescent="0.25">
      <c r="A843" s="20">
        <v>41394</v>
      </c>
      <c r="B843" t="s">
        <v>42</v>
      </c>
      <c r="C843" t="s">
        <v>45</v>
      </c>
      <c r="D843" s="3">
        <v>16.2</v>
      </c>
      <c r="J843">
        <v>0.22</v>
      </c>
      <c r="M843" s="21">
        <f t="shared" si="106"/>
        <v>16.2</v>
      </c>
      <c r="N843" s="8">
        <f t="shared" si="112"/>
        <v>16.2</v>
      </c>
      <c r="O843" s="25">
        <f t="shared" si="109"/>
        <v>11140.329999999924</v>
      </c>
      <c r="P843" s="8">
        <f t="shared" si="107"/>
        <v>0</v>
      </c>
      <c r="Q843" s="4">
        <f>IF(AND(S843&gt;=[1]eRRSP_Rpt!$C$6,S843&lt;=[1]eRRSP_Rpt!$C$7),1,0)</f>
        <v>1</v>
      </c>
      <c r="R843" s="4"/>
      <c r="S843" s="4">
        <f t="shared" si="105"/>
        <v>2013</v>
      </c>
      <c r="T843" s="4"/>
      <c r="U843" s="4" t="str">
        <f t="shared" si="108"/>
        <v>DivTD Bank</v>
      </c>
      <c r="V843" s="23">
        <f>IFERROR(IF(AND(AB843&gt;0,B843&lt;&gt;"Sell"),(AA843-SUMIF(C$4:C842,C843,AC$4:AC843))/AB843,0),"")</f>
        <v>-44.29</v>
      </c>
      <c r="W843" s="24" t="str">
        <f t="shared" si="111"/>
        <v/>
      </c>
      <c r="X843" s="25" t="str">
        <f t="shared" si="110"/>
        <v>TD Bank_ACB</v>
      </c>
      <c r="Y843" s="10" t="str">
        <f>IF(S844&lt;&gt;eRRSP_Tx_Table[[#This Row],[Year]],SUMIFS($W$4:$W843,$S$4:$S843,eRRSP_Tx_Table[[#This Row],[Year]],$W$4:$W843,"&gt;0"),"")</f>
        <v/>
      </c>
      <c r="Z843" s="10" t="str">
        <f>IF(S844&lt;&gt;eRRSP_Tx_Table[[#This Row],[Year]],SUMIFS($W$4:$W843,$S$4:$S843,eRRSP_Tx_Table[[#This Row],[Year]],$W$4:$W843,"&lt;0"),"")</f>
        <v/>
      </c>
      <c r="AA843" s="3">
        <f>(SUMIF($U$4:$U843,CONCATENATE("Buy",$C843),$N$4:$N843)+SUMIF($U$4:$U843,CONCATENATE("ReinvDiv",$C843),$N$4:$N843))</f>
        <v>-885.8</v>
      </c>
      <c r="AB843">
        <f>(SUMIF($U$4:$U843,CONCATENATE("Buy",$C843),$F$4:$F843)+SUMIF($U$4:$U843,CONCATENATE("ReinvDiv",$C843),$F$4:$F843)+SUMIF($U$4:$U843,CONCATENATE("StkSplit",$C843),$F$4:$F843)-SUMIF($U$4:$U843,CONCATENATE("Sell",$C843),$F$4:$F843))</f>
        <v>20</v>
      </c>
      <c r="AC843" s="3">
        <f>IF(B843="Sell",F843*INDEX(V:V,LOOKUP(2,1/(X$4:X842=CONCATENATE(C843,"_ACB")),ROW(V$4:V842))),0)</f>
        <v>0</v>
      </c>
    </row>
    <row r="844" spans="1:29" x14ac:dyDescent="0.25">
      <c r="A844" s="20">
        <v>41394</v>
      </c>
      <c r="B844" t="s">
        <v>43</v>
      </c>
      <c r="C844" t="s">
        <v>99</v>
      </c>
      <c r="D844" s="3">
        <v>27.74</v>
      </c>
      <c r="J844">
        <v>40.43</v>
      </c>
      <c r="M844" s="21">
        <f t="shared" si="106"/>
        <v>27.74</v>
      </c>
      <c r="N844" s="8">
        <f t="shared" si="112"/>
        <v>27.74</v>
      </c>
      <c r="O844" s="25">
        <f t="shared" si="109"/>
        <v>11168.069999999923</v>
      </c>
      <c r="P844" s="8">
        <f t="shared" si="107"/>
        <v>0</v>
      </c>
      <c r="Q844" s="4">
        <f>IF(AND(S844&gt;=[1]eRRSP_Rpt!$C$6,S844&lt;=[1]eRRSP_Rpt!$C$7),1,0)</f>
        <v>1</v>
      </c>
      <c r="R844" s="4"/>
      <c r="S844" s="4">
        <f t="shared" si="105"/>
        <v>2013</v>
      </c>
      <c r="T844" s="4"/>
      <c r="U844" s="4" t="str">
        <f t="shared" si="108"/>
        <v>IntIncTD INV SAV ACCT  /NL'FRAC</v>
      </c>
      <c r="V844" s="23">
        <f>IFERROR(IF(AND(AB844&gt;0,B844&lt;&gt;"Sell"),(AA844-SUMIF(C$4:C843,C844,AC$4:AC844))/AB844,0),"")</f>
        <v>-10</v>
      </c>
      <c r="W844" s="24" t="str">
        <f t="shared" si="111"/>
        <v/>
      </c>
      <c r="X844" s="25" t="str">
        <f t="shared" si="110"/>
        <v>TD INV SAV ACCT  /NL'FRAC_ACB</v>
      </c>
      <c r="Y844" s="10" t="str">
        <f>IF(S845&lt;&gt;eRRSP_Tx_Table[[#This Row],[Year]],SUMIFS($W$4:$W844,$S$4:$S844,eRRSP_Tx_Table[[#This Row],[Year]],$W$4:$W844,"&gt;0"),"")</f>
        <v/>
      </c>
      <c r="Z844" s="10" t="str">
        <f>IF(S845&lt;&gt;eRRSP_Tx_Table[[#This Row],[Year]],SUMIFS($W$4:$W844,$S$4:$S844,eRRSP_Tx_Table[[#This Row],[Year]],$W$4:$W844,"&lt;0"),"")</f>
        <v/>
      </c>
      <c r="AA844" s="3">
        <f>(SUMIF($U$4:$U844,CONCATENATE("Buy",$C844),$N$4:$N844)+SUMIF($U$4:$U844,CONCATENATE("ReinvDiv",$C844),$N$4:$N844))</f>
        <v>-27000</v>
      </c>
      <c r="AB844">
        <f>(SUMIF($U$4:$U844,CONCATENATE("Buy",$C844),$F$4:$F844)+SUMIF($U$4:$U844,CONCATENATE("ReinvDiv",$C844),$F$4:$F844)+SUMIF($U$4:$U844,CONCATENATE("StkSplit",$C844),$F$4:$F844)-SUMIF($U$4:$U844,CONCATENATE("Sell",$C844),$F$4:$F844))</f>
        <v>2700</v>
      </c>
      <c r="AC844" s="3">
        <f>IF(B844="Sell",F844*INDEX(V:V,LOOKUP(2,1/(X$4:X843=CONCATENATE(C844,"_ACB")),ROW(V$4:V843))),0)</f>
        <v>0</v>
      </c>
    </row>
    <row r="845" spans="1:29" x14ac:dyDescent="0.25">
      <c r="A845" s="20">
        <v>41410</v>
      </c>
      <c r="B845" t="s">
        <v>43</v>
      </c>
      <c r="C845" t="s">
        <v>36</v>
      </c>
      <c r="D845" s="3">
        <v>0.22</v>
      </c>
      <c r="J845">
        <v>30.51</v>
      </c>
      <c r="M845" s="21">
        <f t="shared" si="106"/>
        <v>0.22</v>
      </c>
      <c r="N845" s="8">
        <f t="shared" si="112"/>
        <v>0.22</v>
      </c>
      <c r="O845" s="25">
        <f t="shared" si="109"/>
        <v>11168.289999999923</v>
      </c>
      <c r="P845" s="8">
        <f t="shared" si="107"/>
        <v>0</v>
      </c>
      <c r="Q845" s="4">
        <f>IF(AND(S845&gt;=[1]eRRSP_Rpt!$C$6,S845&lt;=[1]eRRSP_Rpt!$C$7),1,0)</f>
        <v>1</v>
      </c>
      <c r="R845" s="4"/>
      <c r="S845" s="4">
        <f t="shared" si="105"/>
        <v>2013</v>
      </c>
      <c r="T845" s="4"/>
      <c r="U845" s="4" t="str">
        <f t="shared" si="108"/>
        <v>IntIncTDW</v>
      </c>
      <c r="V845" s="23">
        <f>IFERROR(IF(AND(AB845&gt;0,B845&lt;&gt;"Sell"),(AA845-SUMIF(C$4:C844,C845,AC$4:AC845))/AB845,0),"")</f>
        <v>0</v>
      </c>
      <c r="W845" s="24" t="str">
        <f t="shared" si="111"/>
        <v/>
      </c>
      <c r="X845" s="25" t="str">
        <f t="shared" si="110"/>
        <v/>
      </c>
      <c r="Y845" s="10" t="str">
        <f>IF(S846&lt;&gt;eRRSP_Tx_Table[[#This Row],[Year]],SUMIFS($W$4:$W845,$S$4:$S845,eRRSP_Tx_Table[[#This Row],[Year]],$W$4:$W845,"&gt;0"),"")</f>
        <v/>
      </c>
      <c r="Z845" s="10" t="str">
        <f>IF(S846&lt;&gt;eRRSP_Tx_Table[[#This Row],[Year]],SUMIFS($W$4:$W845,$S$4:$S845,eRRSP_Tx_Table[[#This Row],[Year]],$W$4:$W845,"&lt;0"),"")</f>
        <v/>
      </c>
      <c r="AA845" s="3">
        <f>(SUMIF($U$4:$U845,CONCATENATE("Buy",$C845),$N$4:$N845)+SUMIF($U$4:$U845,CONCATENATE("ReinvDiv",$C845),$N$4:$N845))</f>
        <v>0</v>
      </c>
      <c r="AB845">
        <f>(SUMIF($U$4:$U845,CONCATENATE("Buy",$C845),$F$4:$F845)+SUMIF($U$4:$U845,CONCATENATE("ReinvDiv",$C845),$F$4:$F845)+SUMIF($U$4:$U845,CONCATENATE("StkSplit",$C845),$F$4:$F845)-SUMIF($U$4:$U845,CONCATENATE("Sell",$C845),$F$4:$F845))</f>
        <v>0</v>
      </c>
      <c r="AC845" s="3">
        <f>IF(B845="Sell",F845*INDEX(V:V,LOOKUP(2,1/(X$4:X844=CONCATENATE(C845,"_ACB")),ROW(V$4:V844))),0)</f>
        <v>0</v>
      </c>
    </row>
    <row r="846" spans="1:29" x14ac:dyDescent="0.25">
      <c r="A846" s="20">
        <v>41411</v>
      </c>
      <c r="B846" t="s">
        <v>42</v>
      </c>
      <c r="C846" t="s">
        <v>87</v>
      </c>
      <c r="D846" s="3">
        <v>40.43</v>
      </c>
      <c r="J846">
        <v>108.99</v>
      </c>
      <c r="M846" s="21">
        <f t="shared" si="106"/>
        <v>40.43</v>
      </c>
      <c r="N846" s="8">
        <f t="shared" si="112"/>
        <v>40.43</v>
      </c>
      <c r="O846" s="25">
        <f t="shared" si="109"/>
        <v>11208.719999999923</v>
      </c>
      <c r="P846" s="8">
        <f t="shared" si="107"/>
        <v>0</v>
      </c>
      <c r="Q846" s="4">
        <f>IF(AND(S846&gt;=[1]eRRSP_Rpt!$C$6,S846&lt;=[1]eRRSP_Rpt!$C$7),1,0)</f>
        <v>1</v>
      </c>
      <c r="R846" s="4"/>
      <c r="S846" s="4">
        <f t="shared" si="105"/>
        <v>2013</v>
      </c>
      <c r="T846" s="4"/>
      <c r="U846" s="4" t="str">
        <f t="shared" si="108"/>
        <v>DivAberdeen Asia Pacific Income Fund</v>
      </c>
      <c r="V846" s="23">
        <f>IFERROR(IF(AND(AB846&gt;0,B846&lt;&gt;"Sell"),(AA846-SUMIF(C$4:C845,C846,AC$4:AC846))/AB846,0),"")</f>
        <v>-7.4694020797227028</v>
      </c>
      <c r="W846" s="24" t="str">
        <f t="shared" si="111"/>
        <v/>
      </c>
      <c r="X846" s="25" t="str">
        <f t="shared" si="110"/>
        <v>Aberdeen Asia Pacific Income Fund_ACB</v>
      </c>
      <c r="Y846" s="10" t="str">
        <f>IF(S847&lt;&gt;eRRSP_Tx_Table[[#This Row],[Year]],SUMIFS($W$4:$W846,$S$4:$S846,eRRSP_Tx_Table[[#This Row],[Year]],$W$4:$W846,"&gt;0"),"")</f>
        <v/>
      </c>
      <c r="Z846" s="10" t="str">
        <f>IF(S847&lt;&gt;eRRSP_Tx_Table[[#This Row],[Year]],SUMIFS($W$4:$W846,$S$4:$S846,eRRSP_Tx_Table[[#This Row],[Year]],$W$4:$W846,"&lt;0"),"")</f>
        <v/>
      </c>
      <c r="AA846" s="3">
        <f>(SUMIF($U$4:$U846,CONCATENATE("Buy",$C846),$N$4:$N846)+SUMIF($U$4:$U846,CONCATENATE("ReinvDiv",$C846),$N$4:$N846))</f>
        <v>-8619.6899999999987</v>
      </c>
      <c r="AB846">
        <f>(SUMIF($U$4:$U846,CONCATENATE("Buy",$C846),$F$4:$F846)+SUMIF($U$4:$U846,CONCATENATE("ReinvDiv",$C846),$F$4:$F846)+SUMIF($U$4:$U846,CONCATENATE("StkSplit",$C846),$F$4:$F846)-SUMIF($U$4:$U846,CONCATENATE("Sell",$C846),$F$4:$F846))</f>
        <v>1154</v>
      </c>
      <c r="AC846" s="3">
        <f>IF(B846="Sell",F846*INDEX(V:V,LOOKUP(2,1/(X$4:X845=CONCATENATE(C846,"_ACB")),ROW(V$4:V845))),0)</f>
        <v>0</v>
      </c>
    </row>
    <row r="847" spans="1:29" x14ac:dyDescent="0.25">
      <c r="A847" s="20">
        <v>41425</v>
      </c>
      <c r="B847" t="s">
        <v>43</v>
      </c>
      <c r="C847" t="s">
        <v>99</v>
      </c>
      <c r="D847" s="3">
        <v>30.51</v>
      </c>
      <c r="J847">
        <v>40.409999999999997</v>
      </c>
      <c r="M847" s="21">
        <f t="shared" si="106"/>
        <v>30.51</v>
      </c>
      <c r="N847" s="8">
        <f t="shared" si="112"/>
        <v>30.51</v>
      </c>
      <c r="O847" s="25">
        <f t="shared" si="109"/>
        <v>11239.229999999923</v>
      </c>
      <c r="P847" s="8">
        <f t="shared" si="107"/>
        <v>0</v>
      </c>
      <c r="Q847" s="4">
        <f>IF(AND(S847&gt;=[1]eRRSP_Rpt!$C$6,S847&lt;=[1]eRRSP_Rpt!$C$7),1,0)</f>
        <v>1</v>
      </c>
      <c r="R847" s="4"/>
      <c r="S847" s="4">
        <f t="shared" si="105"/>
        <v>2013</v>
      </c>
      <c r="T847" s="4"/>
      <c r="U847" s="4" t="str">
        <f t="shared" si="108"/>
        <v>IntIncTD INV SAV ACCT  /NL'FRAC</v>
      </c>
      <c r="V847" s="23">
        <f>IFERROR(IF(AND(AB847&gt;0,B847&lt;&gt;"Sell"),(AA847-SUMIF(C$4:C846,C847,AC$4:AC847))/AB847,0),"")</f>
        <v>-10</v>
      </c>
      <c r="W847" s="24" t="str">
        <f t="shared" si="111"/>
        <v/>
      </c>
      <c r="X847" s="25" t="str">
        <f t="shared" si="110"/>
        <v>TD INV SAV ACCT  /NL'FRAC_ACB</v>
      </c>
      <c r="Y847" s="10" t="str">
        <f>IF(S848&lt;&gt;eRRSP_Tx_Table[[#This Row],[Year]],SUMIFS($W$4:$W847,$S$4:$S847,eRRSP_Tx_Table[[#This Row],[Year]],$W$4:$W847,"&gt;0"),"")</f>
        <v/>
      </c>
      <c r="Z847" s="10" t="str">
        <f>IF(S848&lt;&gt;eRRSP_Tx_Table[[#This Row],[Year]],SUMIFS($W$4:$W847,$S$4:$S847,eRRSP_Tx_Table[[#This Row],[Year]],$W$4:$W847,"&lt;0"),"")</f>
        <v/>
      </c>
      <c r="AA847" s="3">
        <f>(SUMIF($U$4:$U847,CONCATENATE("Buy",$C847),$N$4:$N847)+SUMIF($U$4:$U847,CONCATENATE("ReinvDiv",$C847),$N$4:$N847))</f>
        <v>-27000</v>
      </c>
      <c r="AB847">
        <f>(SUMIF($U$4:$U847,CONCATENATE("Buy",$C847),$F$4:$F847)+SUMIF($U$4:$U847,CONCATENATE("ReinvDiv",$C847),$F$4:$F847)+SUMIF($U$4:$U847,CONCATENATE("StkSplit",$C847),$F$4:$F847)-SUMIF($U$4:$U847,CONCATENATE("Sell",$C847),$F$4:$F847))</f>
        <v>2700</v>
      </c>
      <c r="AC847" s="3">
        <f>IF(B847="Sell",F847*INDEX(V:V,LOOKUP(2,1/(X$4:X846=CONCATENATE(C847,"_ACB")),ROW(V$4:V846))),0)</f>
        <v>0</v>
      </c>
    </row>
    <row r="848" spans="1:29" x14ac:dyDescent="0.25">
      <c r="A848" s="20">
        <v>41426</v>
      </c>
      <c r="B848" t="s">
        <v>42</v>
      </c>
      <c r="C848" t="s">
        <v>33</v>
      </c>
      <c r="D848" s="3">
        <v>108.99</v>
      </c>
      <c r="J848">
        <v>0.23</v>
      </c>
      <c r="M848" s="21">
        <f t="shared" si="106"/>
        <v>108.99</v>
      </c>
      <c r="N848" s="8">
        <f t="shared" si="112"/>
        <v>108.99</v>
      </c>
      <c r="O848" s="25">
        <f t="shared" si="109"/>
        <v>11348.219999999923</v>
      </c>
      <c r="P848" s="8">
        <f t="shared" si="107"/>
        <v>0</v>
      </c>
      <c r="Q848" s="4">
        <f>IF(AND(S848&gt;=[1]eRRSP_Rpt!$C$6,S848&lt;=[1]eRRSP_Rpt!$C$7),1,0)</f>
        <v>1</v>
      </c>
      <c r="R848" s="4"/>
      <c r="S848" s="4">
        <f t="shared" si="105"/>
        <v>2013</v>
      </c>
      <c r="T848" s="4"/>
      <c r="U848" s="4" t="str">
        <f t="shared" si="108"/>
        <v>DivEnbridge</v>
      </c>
      <c r="V848" s="23">
        <f>IFERROR(IF(AND(AB848&gt;0,B848&lt;&gt;"Sell"),(AA848-SUMIF(C$4:C847,C848,AC$4:AC848))/AB848,0),"")</f>
        <v>-16.981789097623633</v>
      </c>
      <c r="W848" s="24" t="str">
        <f t="shared" si="111"/>
        <v/>
      </c>
      <c r="X848" s="25" t="str">
        <f t="shared" si="110"/>
        <v>Enbridge_ACB</v>
      </c>
      <c r="Y848" s="10" t="str">
        <f>IF(S849&lt;&gt;eRRSP_Tx_Table[[#This Row],[Year]],SUMIFS($W$4:$W848,$S$4:$S848,eRRSP_Tx_Table[[#This Row],[Year]],$W$4:$W848,"&gt;0"),"")</f>
        <v/>
      </c>
      <c r="Z848" s="10" t="str">
        <f>IF(S849&lt;&gt;eRRSP_Tx_Table[[#This Row],[Year]],SUMIFS($W$4:$W848,$S$4:$S848,eRRSP_Tx_Table[[#This Row],[Year]],$W$4:$W848,"&lt;0"),"")</f>
        <v/>
      </c>
      <c r="AA848" s="3">
        <f>(SUMIF($U$4:$U848,CONCATENATE("Buy",$C848),$N$4:$N848)+SUMIF($U$4:$U848,CONCATENATE("ReinvDiv",$C848),$N$4:$N848))</f>
        <v>-6788.69</v>
      </c>
      <c r="AB848">
        <f>(SUMIF($U$4:$U848,CONCATENATE("Buy",$C848),$F$4:$F848)+SUMIF($U$4:$U848,CONCATENATE("ReinvDiv",$C848),$F$4:$F848)+SUMIF($U$4:$U848,CONCATENATE("StkSplit",$C848),$F$4:$F848)-SUMIF($U$4:$U848,CONCATENATE("Sell",$C848),$F$4:$F848))</f>
        <v>346</v>
      </c>
      <c r="AC848" s="3">
        <f>IF(B848="Sell",F848*INDEX(V:V,LOOKUP(2,1/(X$4:X847=CONCATENATE(C848,"_ACB")),ROW(V$4:V847))),0)</f>
        <v>0</v>
      </c>
    </row>
    <row r="849" spans="1:29" x14ac:dyDescent="0.25">
      <c r="A849" s="20">
        <v>41439</v>
      </c>
      <c r="B849" t="s">
        <v>42</v>
      </c>
      <c r="C849" t="s">
        <v>87</v>
      </c>
      <c r="D849" s="3">
        <v>40.409999999999997</v>
      </c>
      <c r="J849">
        <v>25.21</v>
      </c>
      <c r="M849" s="21">
        <f t="shared" si="106"/>
        <v>40.409999999999997</v>
      </c>
      <c r="N849" s="8">
        <f t="shared" si="112"/>
        <v>40.409999999999997</v>
      </c>
      <c r="O849" s="25">
        <f t="shared" si="109"/>
        <v>11388.629999999923</v>
      </c>
      <c r="P849" s="8">
        <f t="shared" si="107"/>
        <v>0</v>
      </c>
      <c r="Q849" s="4">
        <f>IF(AND(S849&gt;=[1]eRRSP_Rpt!$C$6,S849&lt;=[1]eRRSP_Rpt!$C$7),1,0)</f>
        <v>1</v>
      </c>
      <c r="R849" s="4"/>
      <c r="S849" s="4">
        <f t="shared" si="105"/>
        <v>2013</v>
      </c>
      <c r="T849" s="4"/>
      <c r="U849" s="4" t="str">
        <f t="shared" si="108"/>
        <v>DivAberdeen Asia Pacific Income Fund</v>
      </c>
      <c r="V849" s="23">
        <f>IFERROR(IF(AND(AB849&gt;0,B849&lt;&gt;"Sell"),(AA849-SUMIF(C$4:C848,C849,AC$4:AC849))/AB849,0),"")</f>
        <v>-7.4694020797227028</v>
      </c>
      <c r="W849" s="24" t="str">
        <f t="shared" si="111"/>
        <v/>
      </c>
      <c r="X849" s="25" t="str">
        <f t="shared" si="110"/>
        <v>Aberdeen Asia Pacific Income Fund_ACB</v>
      </c>
      <c r="Y849" s="10" t="str">
        <f>IF(S850&lt;&gt;eRRSP_Tx_Table[[#This Row],[Year]],SUMIFS($W$4:$W849,$S$4:$S849,eRRSP_Tx_Table[[#This Row],[Year]],$W$4:$W849,"&gt;0"),"")</f>
        <v/>
      </c>
      <c r="Z849" s="10" t="str">
        <f>IF(S850&lt;&gt;eRRSP_Tx_Table[[#This Row],[Year]],SUMIFS($W$4:$W849,$S$4:$S849,eRRSP_Tx_Table[[#This Row],[Year]],$W$4:$W849,"&lt;0"),"")</f>
        <v/>
      </c>
      <c r="AA849" s="3">
        <f>(SUMIF($U$4:$U849,CONCATENATE("Buy",$C849),$N$4:$N849)+SUMIF($U$4:$U849,CONCATENATE("ReinvDiv",$C849),$N$4:$N849))</f>
        <v>-8619.6899999999987</v>
      </c>
      <c r="AB849">
        <f>(SUMIF($U$4:$U849,CONCATENATE("Buy",$C849),$F$4:$F849)+SUMIF($U$4:$U849,CONCATENATE("ReinvDiv",$C849),$F$4:$F849)+SUMIF($U$4:$U849,CONCATENATE("StkSplit",$C849),$F$4:$F849)-SUMIF($U$4:$U849,CONCATENATE("Sell",$C849),$F$4:$F849))</f>
        <v>1154</v>
      </c>
      <c r="AC849" s="3">
        <f>IF(B849="Sell",F849*INDEX(V:V,LOOKUP(2,1/(X$4:X848=CONCATENATE(C849,"_ACB")),ROW(V$4:V848))),0)</f>
        <v>0</v>
      </c>
    </row>
    <row r="850" spans="1:29" x14ac:dyDescent="0.25">
      <c r="A850" s="20">
        <v>41441</v>
      </c>
      <c r="B850" t="s">
        <v>43</v>
      </c>
      <c r="C850" t="s">
        <v>36</v>
      </c>
      <c r="D850" s="3">
        <v>0.23</v>
      </c>
      <c r="J850">
        <v>372.12</v>
      </c>
      <c r="M850" s="21">
        <f t="shared" si="106"/>
        <v>0.23</v>
      </c>
      <c r="N850" s="8">
        <f t="shared" si="112"/>
        <v>0.23</v>
      </c>
      <c r="O850" s="25">
        <f t="shared" si="109"/>
        <v>11388.859999999922</v>
      </c>
      <c r="P850" s="8">
        <f t="shared" si="107"/>
        <v>0</v>
      </c>
      <c r="Q850" s="4">
        <f>IF(AND(S850&gt;=[1]eRRSP_Rpt!$C$6,S850&lt;=[1]eRRSP_Rpt!$C$7),1,0)</f>
        <v>1</v>
      </c>
      <c r="R850" s="4"/>
      <c r="S850" s="4">
        <f t="shared" si="105"/>
        <v>2013</v>
      </c>
      <c r="T850" s="4"/>
      <c r="U850" s="4" t="str">
        <f t="shared" si="108"/>
        <v>IntIncTDW</v>
      </c>
      <c r="V850" s="23">
        <f>IFERROR(IF(AND(AB850&gt;0,B850&lt;&gt;"Sell"),(AA850-SUMIF(C$4:C849,C850,AC$4:AC850))/AB850,0),"")</f>
        <v>0</v>
      </c>
      <c r="W850" s="24" t="str">
        <f t="shared" si="111"/>
        <v/>
      </c>
      <c r="X850" s="25" t="str">
        <f t="shared" si="110"/>
        <v/>
      </c>
      <c r="Y850" s="10" t="str">
        <f>IF(S851&lt;&gt;eRRSP_Tx_Table[[#This Row],[Year]],SUMIFS($W$4:$W850,$S$4:$S850,eRRSP_Tx_Table[[#This Row],[Year]],$W$4:$W850,"&gt;0"),"")</f>
        <v/>
      </c>
      <c r="Z850" s="10" t="str">
        <f>IF(S851&lt;&gt;eRRSP_Tx_Table[[#This Row],[Year]],SUMIFS($W$4:$W850,$S$4:$S850,eRRSP_Tx_Table[[#This Row],[Year]],$W$4:$W850,"&lt;0"),"")</f>
        <v/>
      </c>
      <c r="AA850" s="3">
        <f>(SUMIF($U$4:$U850,CONCATENATE("Buy",$C850),$N$4:$N850)+SUMIF($U$4:$U850,CONCATENATE("ReinvDiv",$C850),$N$4:$N850))</f>
        <v>0</v>
      </c>
      <c r="AB850">
        <f>(SUMIF($U$4:$U850,CONCATENATE("Buy",$C850),$F$4:$F850)+SUMIF($U$4:$U850,CONCATENATE("ReinvDiv",$C850),$F$4:$F850)+SUMIF($U$4:$U850,CONCATENATE("StkSplit",$C850),$F$4:$F850)-SUMIF($U$4:$U850,CONCATENATE("Sell",$C850),$F$4:$F850))</f>
        <v>0</v>
      </c>
      <c r="AC850" s="3">
        <f>IF(B850="Sell",F850*INDEX(V:V,LOOKUP(2,1/(X$4:X849=CONCATENATE(C850,"_ACB")),ROW(V$4:V849))),0)</f>
        <v>0</v>
      </c>
    </row>
    <row r="851" spans="1:29" x14ac:dyDescent="0.25">
      <c r="A851" s="20">
        <v>41452</v>
      </c>
      <c r="B851" t="s">
        <v>41</v>
      </c>
      <c r="C851" t="s">
        <v>97</v>
      </c>
      <c r="D851" s="3">
        <v>372.12</v>
      </c>
      <c r="E851">
        <f>eRRSP_Tx_Table[[#This Row],[Amount]]/eRRSP_Tx_Table[[#This Row],[Quantity]]</f>
        <v>9.5300535252388148</v>
      </c>
      <c r="F851" s="3">
        <v>39.046999999999997</v>
      </c>
      <c r="J851">
        <v>51.29</v>
      </c>
      <c r="M851" s="21">
        <f t="shared" si="106"/>
        <v>372.12</v>
      </c>
      <c r="N851" s="8">
        <f t="shared" si="112"/>
        <v>-372.12</v>
      </c>
      <c r="O851" s="25">
        <f t="shared" si="109"/>
        <v>11388.859999999922</v>
      </c>
      <c r="P851" s="8">
        <f t="shared" si="107"/>
        <v>0</v>
      </c>
      <c r="Q851" s="4">
        <f>IF(AND(S851&gt;=[1]eRRSP_Rpt!$C$6,S851&lt;=[1]eRRSP_Rpt!$C$7),1,0)</f>
        <v>1</v>
      </c>
      <c r="R851" s="4"/>
      <c r="S851" s="4">
        <f t="shared" si="105"/>
        <v>2013</v>
      </c>
      <c r="T851" s="4"/>
      <c r="U851" s="4" t="str">
        <f t="shared" si="108"/>
        <v>ReinvDivTD International Index - e</v>
      </c>
      <c r="V851" s="23">
        <f>IFERROR(IF(AND(AB851&gt;0,B851&lt;&gt;"Sell"),(AA851-SUMIF(C$4:C850,C851,AC$4:AC851))/AB851,0),"")</f>
        <v>-8.3576438578975356</v>
      </c>
      <c r="W851" s="24" t="str">
        <f t="shared" si="111"/>
        <v/>
      </c>
      <c r="X851" s="25" t="str">
        <f t="shared" si="110"/>
        <v>TD International Index - e_ACB</v>
      </c>
      <c r="Y851" s="10" t="str">
        <f>IF(S852&lt;&gt;eRRSP_Tx_Table[[#This Row],[Year]],SUMIFS($W$4:$W851,$S$4:$S851,eRRSP_Tx_Table[[#This Row],[Year]],$W$4:$W851,"&gt;0"),"")</f>
        <v/>
      </c>
      <c r="Z851" s="10" t="str">
        <f>IF(S852&lt;&gt;eRRSP_Tx_Table[[#This Row],[Year]],SUMIFS($W$4:$W851,$S$4:$S851,eRRSP_Tx_Table[[#This Row],[Year]],$W$4:$W851,"&lt;0"),"")</f>
        <v/>
      </c>
      <c r="AA851" s="3">
        <f>(SUMIF($U$4:$U851,CONCATENATE("Buy",$C851),$N$4:$N851)+SUMIF($U$4:$U851,CONCATENATE("ReinvDiv",$C851),$N$4:$N851))</f>
        <v>-29206.43</v>
      </c>
      <c r="AB851">
        <f>(SUMIF($U$4:$U851,CONCATENATE("Buy",$C851),$F$4:$F851)+SUMIF($U$4:$U851,CONCATENATE("ReinvDiv",$C851),$F$4:$F851)+SUMIF($U$4:$U851,CONCATENATE("StkSplit",$C851),$F$4:$F851)-SUMIF($U$4:$U851,CONCATENATE("Sell",$C851),$F$4:$F851))</f>
        <v>3494.5770000000002</v>
      </c>
      <c r="AC851" s="3">
        <f>IF(B851="Sell",F851*INDEX(V:V,LOOKUP(2,1/(X$4:X850=CONCATENATE(C851,"_ACB")),ROW(V$4:V850))),0)</f>
        <v>0</v>
      </c>
    </row>
    <row r="852" spans="1:29" x14ac:dyDescent="0.25">
      <c r="A852" s="20">
        <v>41452</v>
      </c>
      <c r="B852" t="s">
        <v>41</v>
      </c>
      <c r="C852" t="s">
        <v>62</v>
      </c>
      <c r="D852" s="3">
        <v>51.29</v>
      </c>
      <c r="E852">
        <v>16.34</v>
      </c>
      <c r="F852" s="3">
        <v>3.1389999999999998</v>
      </c>
      <c r="J852">
        <v>26.81</v>
      </c>
      <c r="M852" s="21">
        <f t="shared" si="106"/>
        <v>51.29</v>
      </c>
      <c r="N852" s="8">
        <f t="shared" si="112"/>
        <v>-51.29</v>
      </c>
      <c r="O852" s="25">
        <f t="shared" si="109"/>
        <v>11388.859999999922</v>
      </c>
      <c r="P852" s="8">
        <f t="shared" si="107"/>
        <v>0</v>
      </c>
      <c r="Q852" s="4">
        <f>IF(AND(S852&gt;=[1]eRRSP_Rpt!$C$6,S852&lt;=[1]eRRSP_Rpt!$C$7),1,0)</f>
        <v>1</v>
      </c>
      <c r="R852" s="4"/>
      <c r="S852" s="4">
        <f t="shared" si="105"/>
        <v>2013</v>
      </c>
      <c r="T852" s="4"/>
      <c r="U852" s="4" t="str">
        <f t="shared" si="108"/>
        <v>ReinvDivTD RR Bond</v>
      </c>
      <c r="V852" s="23">
        <f>IFERROR(IF(AND(AB852&gt;0,B852&lt;&gt;"Sell"),(AA852-SUMIF(C$4:C851,C852,AC$4:AC852))/AB852,0),"")</f>
        <v>-14.424762091842705</v>
      </c>
      <c r="W852" s="24" t="str">
        <f t="shared" si="111"/>
        <v/>
      </c>
      <c r="X852" s="25" t="str">
        <f t="shared" si="110"/>
        <v>TD RR Bond_ACB</v>
      </c>
      <c r="Y852" s="10" t="str">
        <f>IF(S853&lt;&gt;eRRSP_Tx_Table[[#This Row],[Year]],SUMIFS($W$4:$W852,$S$4:$S852,eRRSP_Tx_Table[[#This Row],[Year]],$W$4:$W852,"&gt;0"),"")</f>
        <v/>
      </c>
      <c r="Z852" s="10" t="str">
        <f>IF(S853&lt;&gt;eRRSP_Tx_Table[[#This Row],[Year]],SUMIFS($W$4:$W852,$S$4:$S852,eRRSP_Tx_Table[[#This Row],[Year]],$W$4:$W852,"&lt;0"),"")</f>
        <v/>
      </c>
      <c r="AA852" s="3">
        <f>(SUMIF($U$4:$U852,CONCATENATE("Buy",$C852),$N$4:$N852)+SUMIF($U$4:$U852,CONCATENATE("ReinvDiv",$C852),$N$4:$N852))</f>
        <v>-10721.189999999999</v>
      </c>
      <c r="AB852">
        <f>(SUMIF($U$4:$U852,CONCATENATE("Buy",$C852),$F$4:$F852)+SUMIF($U$4:$U852,CONCATENATE("ReinvDiv",$C852),$F$4:$F852)+SUMIF($U$4:$U852,CONCATENATE("StkSplit",$C852),$F$4:$F852)-SUMIF($U$4:$U852,CONCATENATE("Sell",$C852),$F$4:$F852))</f>
        <v>743.24900000000002</v>
      </c>
      <c r="AC852" s="3">
        <f>IF(B852="Sell",F852*INDEX(V:V,LOOKUP(2,1/(X$4:X851=CONCATENATE(C852,"_ACB")),ROW(V$4:V851))),0)</f>
        <v>0</v>
      </c>
    </row>
    <row r="853" spans="1:29" x14ac:dyDescent="0.25">
      <c r="A853" s="20">
        <v>41453</v>
      </c>
      <c r="B853" t="s">
        <v>42</v>
      </c>
      <c r="C853" t="s">
        <v>90</v>
      </c>
      <c r="D853" s="3">
        <v>25.21</v>
      </c>
      <c r="J853">
        <v>0.76</v>
      </c>
      <c r="M853" s="21">
        <f t="shared" si="106"/>
        <v>25.21</v>
      </c>
      <c r="N853" s="8">
        <f t="shared" si="112"/>
        <v>25.21</v>
      </c>
      <c r="O853" s="25">
        <f t="shared" si="109"/>
        <v>11414.069999999921</v>
      </c>
      <c r="P853" s="8">
        <f t="shared" si="107"/>
        <v>0</v>
      </c>
      <c r="Q853" s="4">
        <f>IF(AND(S853&gt;=[1]eRRSP_Rpt!$C$6,S853&lt;=[1]eRRSP_Rpt!$C$7),1,0)</f>
        <v>1</v>
      </c>
      <c r="R853" s="4"/>
      <c r="S853" s="4">
        <f t="shared" si="105"/>
        <v>2013</v>
      </c>
      <c r="T853" s="4"/>
      <c r="U853" s="4" t="str">
        <f t="shared" si="108"/>
        <v>DivVanguard Large Cap ETF</v>
      </c>
      <c r="V853" s="23">
        <f>IFERROR(IF(AND(AB853&gt;0,B853&lt;&gt;"Sell"),(AA853-SUMIF(C$4:C852,C853,AC$4:AC853))/AB853,0),"")</f>
        <v>-74.401142857142858</v>
      </c>
      <c r="W853" s="24" t="str">
        <f t="shared" si="111"/>
        <v/>
      </c>
      <c r="X853" s="25" t="str">
        <f t="shared" si="110"/>
        <v>Vanguard Large Cap ETF_ACB</v>
      </c>
      <c r="Y853" s="10" t="str">
        <f>IF(S854&lt;&gt;eRRSP_Tx_Table[[#This Row],[Year]],SUMIFS($W$4:$W853,$S$4:$S853,eRRSP_Tx_Table[[#This Row],[Year]],$W$4:$W853,"&gt;0"),"")</f>
        <v/>
      </c>
      <c r="Z853" s="10" t="str">
        <f>IF(S854&lt;&gt;eRRSP_Tx_Table[[#This Row],[Year]],SUMIFS($W$4:$W853,$S$4:$S853,eRRSP_Tx_Table[[#This Row],[Year]],$W$4:$W853,"&lt;0"),"")</f>
        <v/>
      </c>
      <c r="AA853" s="3">
        <f>(SUMIF($U$4:$U853,CONCATENATE("Buy",$C853),$N$4:$N853)+SUMIF($U$4:$U853,CONCATENATE("ReinvDiv",$C853),$N$4:$N853))</f>
        <v>-5208.08</v>
      </c>
      <c r="AB853">
        <f>(SUMIF($U$4:$U853,CONCATENATE("Buy",$C853),$F$4:$F853)+SUMIF($U$4:$U853,CONCATENATE("ReinvDiv",$C853),$F$4:$F853)+SUMIF($U$4:$U853,CONCATENATE("StkSplit",$C853),$F$4:$F853)-SUMIF($U$4:$U853,CONCATENATE("Sell",$C853),$F$4:$F853))</f>
        <v>70</v>
      </c>
      <c r="AC853" s="3">
        <f>IF(B853="Sell",F853*INDEX(V:V,LOOKUP(2,1/(X$4:X852=CONCATENATE(C853,"_ACB")),ROW(V$4:V852))),0)</f>
        <v>0</v>
      </c>
    </row>
    <row r="854" spans="1:29" x14ac:dyDescent="0.25">
      <c r="A854" s="20">
        <v>41453</v>
      </c>
      <c r="B854" t="s">
        <v>43</v>
      </c>
      <c r="C854" t="s">
        <v>99</v>
      </c>
      <c r="D854" s="3">
        <v>26.81</v>
      </c>
      <c r="J854">
        <v>41.24</v>
      </c>
      <c r="M854" s="21">
        <f t="shared" si="106"/>
        <v>26.81</v>
      </c>
      <c r="N854" s="8">
        <f t="shared" si="112"/>
        <v>26.81</v>
      </c>
      <c r="O854" s="25">
        <f t="shared" si="109"/>
        <v>11440.879999999921</v>
      </c>
      <c r="P854" s="8">
        <f t="shared" si="107"/>
        <v>0</v>
      </c>
      <c r="Q854" s="4">
        <f>IF(AND(S854&gt;=[1]eRRSP_Rpt!$C$6,S854&lt;=[1]eRRSP_Rpt!$C$7),1,0)</f>
        <v>1</v>
      </c>
      <c r="R854" s="4"/>
      <c r="S854" s="4">
        <f t="shared" si="105"/>
        <v>2013</v>
      </c>
      <c r="T854" s="4"/>
      <c r="U854" s="4" t="str">
        <f t="shared" si="108"/>
        <v>IntIncTD INV SAV ACCT  /NL'FRAC</v>
      </c>
      <c r="V854" s="23">
        <f>IFERROR(IF(AND(AB854&gt;0,B854&lt;&gt;"Sell"),(AA854-SUMIF(C$4:C853,C854,AC$4:AC854))/AB854,0),"")</f>
        <v>-10</v>
      </c>
      <c r="W854" s="24" t="str">
        <f t="shared" si="111"/>
        <v/>
      </c>
      <c r="X854" s="25" t="str">
        <f t="shared" si="110"/>
        <v>TD INV SAV ACCT  /NL'FRAC_ACB</v>
      </c>
      <c r="Y854" s="10" t="str">
        <f>IF(S855&lt;&gt;eRRSP_Tx_Table[[#This Row],[Year]],SUMIFS($W$4:$W854,$S$4:$S854,eRRSP_Tx_Table[[#This Row],[Year]],$W$4:$W854,"&gt;0"),"")</f>
        <v/>
      </c>
      <c r="Z854" s="10" t="str">
        <f>IF(S855&lt;&gt;eRRSP_Tx_Table[[#This Row],[Year]],SUMIFS($W$4:$W854,$S$4:$S854,eRRSP_Tx_Table[[#This Row],[Year]],$W$4:$W854,"&lt;0"),"")</f>
        <v/>
      </c>
      <c r="AA854" s="3">
        <f>(SUMIF($U$4:$U854,CONCATENATE("Buy",$C854),$N$4:$N854)+SUMIF($U$4:$U854,CONCATENATE("ReinvDiv",$C854),$N$4:$N854))</f>
        <v>-27000</v>
      </c>
      <c r="AB854">
        <f>(SUMIF($U$4:$U854,CONCATENATE("Buy",$C854),$F$4:$F854)+SUMIF($U$4:$U854,CONCATENATE("ReinvDiv",$C854),$F$4:$F854)+SUMIF($U$4:$U854,CONCATENATE("StkSplit",$C854),$F$4:$F854)-SUMIF($U$4:$U854,CONCATENATE("Sell",$C854),$F$4:$F854))</f>
        <v>2700</v>
      </c>
      <c r="AC854" s="3">
        <f>IF(B854="Sell",F854*INDEX(V:V,LOOKUP(2,1/(X$4:X853=CONCATENATE(C854,"_ACB")),ROW(V$4:V853))),0)</f>
        <v>0</v>
      </c>
    </row>
    <row r="855" spans="1:29" x14ac:dyDescent="0.25">
      <c r="A855" s="20">
        <v>41455</v>
      </c>
      <c r="B855" t="s">
        <v>42</v>
      </c>
      <c r="C855" t="s">
        <v>47</v>
      </c>
      <c r="D855" s="3">
        <v>0.76</v>
      </c>
      <c r="J855">
        <v>0.23</v>
      </c>
      <c r="M855" s="21">
        <f t="shared" si="106"/>
        <v>0.76</v>
      </c>
      <c r="N855" s="8">
        <f t="shared" si="112"/>
        <v>0.76</v>
      </c>
      <c r="O855" s="25">
        <f t="shared" si="109"/>
        <v>11441.639999999921</v>
      </c>
      <c r="P855" s="8">
        <f t="shared" si="107"/>
        <v>0</v>
      </c>
      <c r="Q855" s="4">
        <f>IF(AND(S855&gt;=[1]eRRSP_Rpt!$C$6,S855&lt;=[1]eRRSP_Rpt!$C$7),1,0)</f>
        <v>1</v>
      </c>
      <c r="R855" s="4"/>
      <c r="S855" s="4">
        <f t="shared" si="105"/>
        <v>2013</v>
      </c>
      <c r="T855" s="4"/>
      <c r="U855" s="4" t="str">
        <f t="shared" si="108"/>
        <v>DivBombardier</v>
      </c>
      <c r="V855" s="23">
        <f>IFERROR(IF(AND(AB855&gt;0,B855&lt;&gt;"Sell"),(AA855-SUMIF(C$4:C854,C855,AC$4:AC855))/AB855,0),"")</f>
        <v>-23.216666666666665</v>
      </c>
      <c r="W855" s="24" t="str">
        <f t="shared" si="111"/>
        <v/>
      </c>
      <c r="X855" s="25" t="str">
        <f t="shared" si="110"/>
        <v>Bombardier_ACB</v>
      </c>
      <c r="Y855" s="10" t="str">
        <f>IF(S856&lt;&gt;eRRSP_Tx_Table[[#This Row],[Year]],SUMIFS($W$4:$W855,$S$4:$S855,eRRSP_Tx_Table[[#This Row],[Year]],$W$4:$W855,"&gt;0"),"")</f>
        <v/>
      </c>
      <c r="Z855" s="10" t="str">
        <f>IF(S856&lt;&gt;eRRSP_Tx_Table[[#This Row],[Year]],SUMIFS($W$4:$W855,$S$4:$S855,eRRSP_Tx_Table[[#This Row],[Year]],$W$4:$W855,"&lt;0"),"")</f>
        <v/>
      </c>
      <c r="AA855" s="3">
        <f>(SUMIF($U$4:$U855,CONCATENATE("Buy",$C855),$N$4:$N855)+SUMIF($U$4:$U855,CONCATENATE("ReinvDiv",$C855),$N$4:$N855))</f>
        <v>-696.5</v>
      </c>
      <c r="AB855">
        <f>(SUMIF($U$4:$U855,CONCATENATE("Buy",$C855),$F$4:$F855)+SUMIF($U$4:$U855,CONCATENATE("ReinvDiv",$C855),$F$4:$F855)+SUMIF($U$4:$U855,CONCATENATE("StkSplit",$C855),$F$4:$F855)-SUMIF($U$4:$U855,CONCATENATE("Sell",$C855),$F$4:$F855))</f>
        <v>30</v>
      </c>
      <c r="AC855" s="3">
        <f>IF(B855="Sell",F855*INDEX(V:V,LOOKUP(2,1/(X$4:X854=CONCATENATE(C855,"_ACB")),ROW(V$4:V854))),0)</f>
        <v>0</v>
      </c>
    </row>
    <row r="856" spans="1:29" x14ac:dyDescent="0.25">
      <c r="A856" s="20">
        <v>41467</v>
      </c>
      <c r="B856" t="s">
        <v>42</v>
      </c>
      <c r="C856" t="s">
        <v>87</v>
      </c>
      <c r="D856" s="3">
        <v>41.24</v>
      </c>
      <c r="J856">
        <v>486.5</v>
      </c>
      <c r="M856" s="21">
        <f t="shared" si="106"/>
        <v>41.24</v>
      </c>
      <c r="N856" s="8">
        <f t="shared" si="112"/>
        <v>41.24</v>
      </c>
      <c r="O856" s="25">
        <f t="shared" si="109"/>
        <v>11482.879999999921</v>
      </c>
      <c r="P856" s="8">
        <f t="shared" si="107"/>
        <v>0</v>
      </c>
      <c r="Q856" s="4">
        <f>IF(AND(S856&gt;=[1]eRRSP_Rpt!$C$6,S856&lt;=[1]eRRSP_Rpt!$C$7),1,0)</f>
        <v>1</v>
      </c>
      <c r="R856" s="4"/>
      <c r="S856" s="4">
        <f t="shared" si="105"/>
        <v>2013</v>
      </c>
      <c r="T856" s="4"/>
      <c r="U856" s="4" t="str">
        <f t="shared" si="108"/>
        <v>DivAberdeen Asia Pacific Income Fund</v>
      </c>
      <c r="V856" s="23">
        <f>IFERROR(IF(AND(AB856&gt;0,B856&lt;&gt;"Sell"),(AA856-SUMIF(C$4:C855,C856,AC$4:AC856))/AB856,0),"")</f>
        <v>-7.4694020797227028</v>
      </c>
      <c r="W856" s="24" t="str">
        <f t="shared" si="111"/>
        <v/>
      </c>
      <c r="X856" s="25" t="str">
        <f t="shared" si="110"/>
        <v>Aberdeen Asia Pacific Income Fund_ACB</v>
      </c>
      <c r="Y856" s="10" t="str">
        <f>IF(S857&lt;&gt;eRRSP_Tx_Table[[#This Row],[Year]],SUMIFS($W$4:$W856,$S$4:$S856,eRRSP_Tx_Table[[#This Row],[Year]],$W$4:$W856,"&gt;0"),"")</f>
        <v/>
      </c>
      <c r="Z856" s="10" t="str">
        <f>IF(S857&lt;&gt;eRRSP_Tx_Table[[#This Row],[Year]],SUMIFS($W$4:$W856,$S$4:$S856,eRRSP_Tx_Table[[#This Row],[Year]],$W$4:$W856,"&lt;0"),"")</f>
        <v/>
      </c>
      <c r="AA856" s="3">
        <f>(SUMIF($U$4:$U856,CONCATENATE("Buy",$C856),$N$4:$N856)+SUMIF($U$4:$U856,CONCATENATE("ReinvDiv",$C856),$N$4:$N856))</f>
        <v>-8619.6899999999987</v>
      </c>
      <c r="AB856">
        <f>(SUMIF($U$4:$U856,CONCATENATE("Buy",$C856),$F$4:$F856)+SUMIF($U$4:$U856,CONCATENATE("ReinvDiv",$C856),$F$4:$F856)+SUMIF($U$4:$U856,CONCATENATE("StkSplit",$C856),$F$4:$F856)-SUMIF($U$4:$U856,CONCATENATE("Sell",$C856),$F$4:$F856))</f>
        <v>1154</v>
      </c>
      <c r="AC856" s="3">
        <f>IF(B856="Sell",F856*INDEX(V:V,LOOKUP(2,1/(X$4:X855=CONCATENATE(C856,"_ACB")),ROW(V$4:V855))),0)</f>
        <v>0</v>
      </c>
    </row>
    <row r="857" spans="1:29" x14ac:dyDescent="0.25">
      <c r="A857" s="20">
        <v>41471</v>
      </c>
      <c r="B857" t="s">
        <v>43</v>
      </c>
      <c r="C857" t="s">
        <v>36</v>
      </c>
      <c r="D857" s="3">
        <v>0.23</v>
      </c>
      <c r="J857">
        <v>16.2</v>
      </c>
      <c r="M857" s="21">
        <f t="shared" si="106"/>
        <v>0.23</v>
      </c>
      <c r="N857" s="8">
        <f t="shared" si="112"/>
        <v>0.23</v>
      </c>
      <c r="O857" s="25">
        <f t="shared" si="109"/>
        <v>11483.109999999921</v>
      </c>
      <c r="P857" s="8">
        <f t="shared" si="107"/>
        <v>0</v>
      </c>
      <c r="Q857" s="4">
        <f>IF(AND(S857&gt;=[1]eRRSP_Rpt!$C$6,S857&lt;=[1]eRRSP_Rpt!$C$7),1,0)</f>
        <v>1</v>
      </c>
      <c r="R857" s="4"/>
      <c r="S857" s="4">
        <f t="shared" si="105"/>
        <v>2013</v>
      </c>
      <c r="T857" s="4"/>
      <c r="U857" s="4" t="str">
        <f t="shared" si="108"/>
        <v>IntIncTDW</v>
      </c>
      <c r="V857" s="23">
        <f>IFERROR(IF(AND(AB857&gt;0,B857&lt;&gt;"Sell"),(AA857-SUMIF(C$4:C856,C857,AC$4:AC857))/AB857,0),"")</f>
        <v>0</v>
      </c>
      <c r="W857" s="24" t="str">
        <f t="shared" si="111"/>
        <v/>
      </c>
      <c r="X857" s="25" t="str">
        <f t="shared" si="110"/>
        <v/>
      </c>
      <c r="Y857" s="10" t="str">
        <f>IF(S858&lt;&gt;eRRSP_Tx_Table[[#This Row],[Year]],SUMIFS($W$4:$W857,$S$4:$S857,eRRSP_Tx_Table[[#This Row],[Year]],$W$4:$W857,"&gt;0"),"")</f>
        <v/>
      </c>
      <c r="Z857" s="10" t="str">
        <f>IF(S858&lt;&gt;eRRSP_Tx_Table[[#This Row],[Year]],SUMIFS($W$4:$W857,$S$4:$S857,eRRSP_Tx_Table[[#This Row],[Year]],$W$4:$W857,"&lt;0"),"")</f>
        <v/>
      </c>
      <c r="AA857" s="3">
        <f>(SUMIF($U$4:$U857,CONCATENATE("Buy",$C857),$N$4:$N857)+SUMIF($U$4:$U857,CONCATENATE("ReinvDiv",$C857),$N$4:$N857))</f>
        <v>0</v>
      </c>
      <c r="AB857">
        <f>(SUMIF($U$4:$U857,CONCATENATE("Buy",$C857),$F$4:$F857)+SUMIF($U$4:$U857,CONCATENATE("ReinvDiv",$C857),$F$4:$F857)+SUMIF($U$4:$U857,CONCATENATE("StkSplit",$C857),$F$4:$F857)-SUMIF($U$4:$U857,CONCATENATE("Sell",$C857),$F$4:$F857))</f>
        <v>0</v>
      </c>
      <c r="AC857" s="3">
        <f>IF(B857="Sell",F857*INDEX(V:V,LOOKUP(2,1/(X$4:X856=CONCATENATE(C857,"_ACB")),ROW(V$4:V856))),0)</f>
        <v>0</v>
      </c>
    </row>
    <row r="858" spans="1:29" x14ac:dyDescent="0.25">
      <c r="A858" s="20">
        <v>41481</v>
      </c>
      <c r="B858" t="s">
        <v>43</v>
      </c>
      <c r="C858" t="s">
        <v>94</v>
      </c>
      <c r="D858" s="3">
        <v>486.5</v>
      </c>
      <c r="J858">
        <v>27.74</v>
      </c>
      <c r="M858" s="21">
        <f t="shared" si="106"/>
        <v>486.5</v>
      </c>
      <c r="N858" s="8">
        <f t="shared" si="112"/>
        <v>486.5</v>
      </c>
      <c r="O858" s="25">
        <f t="shared" si="109"/>
        <v>11969.609999999921</v>
      </c>
      <c r="P858" s="8">
        <f t="shared" si="107"/>
        <v>0</v>
      </c>
      <c r="Q858" s="4">
        <f>IF(AND(S858&gt;=[1]eRRSP_Rpt!$C$6,S858&lt;=[1]eRRSP_Rpt!$C$7),1,0)</f>
        <v>1</v>
      </c>
      <c r="R858" s="4"/>
      <c r="S858" s="4">
        <f t="shared" si="105"/>
        <v>2013</v>
      </c>
      <c r="T858" s="4"/>
      <c r="U858" s="4" t="str">
        <f t="shared" si="108"/>
        <v>IntIncAIMIA SER-3  6.95% 26JA17</v>
      </c>
      <c r="V858" s="23">
        <f>IFERROR(IF(AND(AB858&gt;0,B858&lt;&gt;"Sell"),(AA858-SUMIF(C$4:C857,C858,AC$4:AC858))/AB858,0),"")</f>
        <v>-1.0346899999999999</v>
      </c>
      <c r="W858" s="24" t="str">
        <f t="shared" si="111"/>
        <v/>
      </c>
      <c r="X858" s="25" t="str">
        <f t="shared" si="110"/>
        <v>AIMIA SER-3  6.95% 26JA17_ACB</v>
      </c>
      <c r="Y858" s="10" t="str">
        <f>IF(S859&lt;&gt;eRRSP_Tx_Table[[#This Row],[Year]],SUMIFS($W$4:$W858,$S$4:$S858,eRRSP_Tx_Table[[#This Row],[Year]],$W$4:$W858,"&gt;0"),"")</f>
        <v/>
      </c>
      <c r="Z858" s="10" t="str">
        <f>IF(S859&lt;&gt;eRRSP_Tx_Table[[#This Row],[Year]],SUMIFS($W$4:$W858,$S$4:$S858,eRRSP_Tx_Table[[#This Row],[Year]],$W$4:$W858,"&lt;0"),"")</f>
        <v/>
      </c>
      <c r="AA858" s="3">
        <f>(SUMIF($U$4:$U858,CONCATENATE("Buy",$C858),$N$4:$N858)+SUMIF($U$4:$U858,CONCATENATE("ReinvDiv",$C858),$N$4:$N858))</f>
        <v>-14485.66</v>
      </c>
      <c r="AB858">
        <f>(SUMIF($U$4:$U858,CONCATENATE("Buy",$C858),$F$4:$F858)+SUMIF($U$4:$U858,CONCATENATE("ReinvDiv",$C858),$F$4:$F858)+SUMIF($U$4:$U858,CONCATENATE("StkSplit",$C858),$F$4:$F858)-SUMIF($U$4:$U858,CONCATENATE("Sell",$C858),$F$4:$F858))</f>
        <v>14000</v>
      </c>
      <c r="AC858" s="3">
        <f>IF(B858="Sell",F858*INDEX(V:V,LOOKUP(2,1/(X$4:X857=CONCATENATE(C858,"_ACB")),ROW(V$4:V857))),0)</f>
        <v>0</v>
      </c>
    </row>
    <row r="859" spans="1:29" x14ac:dyDescent="0.25">
      <c r="A859" s="20">
        <v>41486</v>
      </c>
      <c r="B859" t="s">
        <v>42</v>
      </c>
      <c r="C859" t="s">
        <v>45</v>
      </c>
      <c r="D859" s="3">
        <v>16.2</v>
      </c>
      <c r="J859">
        <v>0.25</v>
      </c>
      <c r="M859" s="21">
        <f t="shared" si="106"/>
        <v>16.2</v>
      </c>
      <c r="N859" s="8">
        <f t="shared" si="112"/>
        <v>16.2</v>
      </c>
      <c r="O859" s="25">
        <f t="shared" si="109"/>
        <v>11985.809999999921</v>
      </c>
      <c r="P859" s="8">
        <f t="shared" si="107"/>
        <v>0</v>
      </c>
      <c r="Q859" s="4">
        <f>IF(AND(S859&gt;=[1]eRRSP_Rpt!$C$6,S859&lt;=[1]eRRSP_Rpt!$C$7),1,0)</f>
        <v>1</v>
      </c>
      <c r="R859" s="4"/>
      <c r="S859" s="4">
        <f t="shared" si="105"/>
        <v>2013</v>
      </c>
      <c r="T859" s="4"/>
      <c r="U859" s="4" t="str">
        <f t="shared" si="108"/>
        <v>DivTD Bank</v>
      </c>
      <c r="V859" s="23">
        <f>IFERROR(IF(AND(AB859&gt;0,B859&lt;&gt;"Sell"),(AA859-SUMIF(C$4:C858,C859,AC$4:AC859))/AB859,0),"")</f>
        <v>-44.29</v>
      </c>
      <c r="W859" s="24" t="str">
        <f t="shared" si="111"/>
        <v/>
      </c>
      <c r="X859" s="25" t="str">
        <f t="shared" si="110"/>
        <v>TD Bank_ACB</v>
      </c>
      <c r="Y859" s="10" t="str">
        <f>IF(S860&lt;&gt;eRRSP_Tx_Table[[#This Row],[Year]],SUMIFS($W$4:$W859,$S$4:$S859,eRRSP_Tx_Table[[#This Row],[Year]],$W$4:$W859,"&gt;0"),"")</f>
        <v/>
      </c>
      <c r="Z859" s="10" t="str">
        <f>IF(S860&lt;&gt;eRRSP_Tx_Table[[#This Row],[Year]],SUMIFS($W$4:$W859,$S$4:$S859,eRRSP_Tx_Table[[#This Row],[Year]],$W$4:$W859,"&lt;0"),"")</f>
        <v/>
      </c>
      <c r="AA859" s="3">
        <f>(SUMIF($U$4:$U859,CONCATENATE("Buy",$C859),$N$4:$N859)+SUMIF($U$4:$U859,CONCATENATE("ReinvDiv",$C859),$N$4:$N859))</f>
        <v>-885.8</v>
      </c>
      <c r="AB859">
        <f>(SUMIF($U$4:$U859,CONCATENATE("Buy",$C859),$F$4:$F859)+SUMIF($U$4:$U859,CONCATENATE("ReinvDiv",$C859),$F$4:$F859)+SUMIF($U$4:$U859,CONCATENATE("StkSplit",$C859),$F$4:$F859)-SUMIF($U$4:$U859,CONCATENATE("Sell",$C859),$F$4:$F859))</f>
        <v>20</v>
      </c>
      <c r="AC859" s="3">
        <f>IF(B859="Sell",F859*INDEX(V:V,LOOKUP(2,1/(X$4:X858=CONCATENATE(C859,"_ACB")),ROW(V$4:V858))),0)</f>
        <v>0</v>
      </c>
    </row>
    <row r="860" spans="1:29" x14ac:dyDescent="0.25">
      <c r="A860" s="20">
        <v>41486</v>
      </c>
      <c r="B860" t="s">
        <v>43</v>
      </c>
      <c r="C860" t="s">
        <v>99</v>
      </c>
      <c r="D860" s="3">
        <v>27.74</v>
      </c>
      <c r="J860">
        <v>40.98</v>
      </c>
      <c r="M860" s="21">
        <f t="shared" si="106"/>
        <v>27.74</v>
      </c>
      <c r="N860" s="8">
        <f t="shared" si="112"/>
        <v>27.74</v>
      </c>
      <c r="O860" s="25">
        <f t="shared" si="109"/>
        <v>12013.549999999921</v>
      </c>
      <c r="P860" s="8">
        <f t="shared" si="107"/>
        <v>0</v>
      </c>
      <c r="Q860" s="4">
        <f>IF(AND(S860&gt;=[1]eRRSP_Rpt!$C$6,S860&lt;=[1]eRRSP_Rpt!$C$7),1,0)</f>
        <v>1</v>
      </c>
      <c r="R860" s="4"/>
      <c r="S860" s="4">
        <f t="shared" si="105"/>
        <v>2013</v>
      </c>
      <c r="T860" s="4"/>
      <c r="U860" s="4" t="str">
        <f t="shared" si="108"/>
        <v>IntIncTD INV SAV ACCT  /NL'FRAC</v>
      </c>
      <c r="V860" s="23">
        <f>IFERROR(IF(AND(AB860&gt;0,B860&lt;&gt;"Sell"),(AA860-SUMIF(C$4:C859,C860,AC$4:AC860))/AB860,0),"")</f>
        <v>-10</v>
      </c>
      <c r="W860" s="24" t="str">
        <f t="shared" si="111"/>
        <v/>
      </c>
      <c r="X860" s="25" t="str">
        <f t="shared" si="110"/>
        <v>TD INV SAV ACCT  /NL'FRAC_ACB</v>
      </c>
      <c r="Y860" s="10" t="str">
        <f>IF(S861&lt;&gt;eRRSP_Tx_Table[[#This Row],[Year]],SUMIFS($W$4:$W860,$S$4:$S860,eRRSP_Tx_Table[[#This Row],[Year]],$W$4:$W860,"&gt;0"),"")</f>
        <v/>
      </c>
      <c r="Z860" s="10" t="str">
        <f>IF(S861&lt;&gt;eRRSP_Tx_Table[[#This Row],[Year]],SUMIFS($W$4:$W860,$S$4:$S860,eRRSP_Tx_Table[[#This Row],[Year]],$W$4:$W860,"&lt;0"),"")</f>
        <v/>
      </c>
      <c r="AA860" s="3">
        <f>(SUMIF($U$4:$U860,CONCATENATE("Buy",$C860),$N$4:$N860)+SUMIF($U$4:$U860,CONCATENATE("ReinvDiv",$C860),$N$4:$N860))</f>
        <v>-27000</v>
      </c>
      <c r="AB860">
        <f>(SUMIF($U$4:$U860,CONCATENATE("Buy",$C860),$F$4:$F860)+SUMIF($U$4:$U860,CONCATENATE("ReinvDiv",$C860),$F$4:$F860)+SUMIF($U$4:$U860,CONCATENATE("StkSplit",$C860),$F$4:$F860)-SUMIF($U$4:$U860,CONCATENATE("Sell",$C860),$F$4:$F860))</f>
        <v>2700</v>
      </c>
      <c r="AC860" s="3">
        <f>IF(B860="Sell",F860*INDEX(V:V,LOOKUP(2,1/(X$4:X859=CONCATENATE(C860,"_ACB")),ROW(V$4:V859))),0)</f>
        <v>0</v>
      </c>
    </row>
    <row r="861" spans="1:29" x14ac:dyDescent="0.25">
      <c r="A861" s="20">
        <v>41502</v>
      </c>
      <c r="B861" t="s">
        <v>43</v>
      </c>
      <c r="C861" t="s">
        <v>36</v>
      </c>
      <c r="D861" s="3">
        <v>0.25</v>
      </c>
      <c r="J861">
        <v>30.51</v>
      </c>
      <c r="M861" s="21">
        <f t="shared" si="106"/>
        <v>0.25</v>
      </c>
      <c r="N861" s="8">
        <f t="shared" si="112"/>
        <v>0.25</v>
      </c>
      <c r="O861" s="25">
        <f t="shared" si="109"/>
        <v>12013.799999999921</v>
      </c>
      <c r="P861" s="8">
        <f t="shared" si="107"/>
        <v>0</v>
      </c>
      <c r="Q861" s="4">
        <f>IF(AND(S861&gt;=[1]eRRSP_Rpt!$C$6,S861&lt;=[1]eRRSP_Rpt!$C$7),1,0)</f>
        <v>1</v>
      </c>
      <c r="R861" s="4"/>
      <c r="S861" s="4">
        <f t="shared" ref="S861:S924" si="113">YEAR(A861)</f>
        <v>2013</v>
      </c>
      <c r="T861" s="4"/>
      <c r="U861" s="4" t="str">
        <f t="shared" si="108"/>
        <v>IntIncTDW</v>
      </c>
      <c r="V861" s="23">
        <f>IFERROR(IF(AND(AB861&gt;0,B861&lt;&gt;"Sell"),(AA861-SUMIF(C$4:C860,C861,AC$4:AC861))/AB861,0),"")</f>
        <v>0</v>
      </c>
      <c r="W861" s="24" t="str">
        <f t="shared" si="111"/>
        <v/>
      </c>
      <c r="X861" s="25" t="str">
        <f t="shared" si="110"/>
        <v/>
      </c>
      <c r="Y861" s="10" t="str">
        <f>IF(S862&lt;&gt;eRRSP_Tx_Table[[#This Row],[Year]],SUMIFS($W$4:$W861,$S$4:$S861,eRRSP_Tx_Table[[#This Row],[Year]],$W$4:$W861,"&gt;0"),"")</f>
        <v/>
      </c>
      <c r="Z861" s="10" t="str">
        <f>IF(S862&lt;&gt;eRRSP_Tx_Table[[#This Row],[Year]],SUMIFS($W$4:$W861,$S$4:$S861,eRRSP_Tx_Table[[#This Row],[Year]],$W$4:$W861,"&lt;0"),"")</f>
        <v/>
      </c>
      <c r="AA861" s="3">
        <f>(SUMIF($U$4:$U861,CONCATENATE("Buy",$C861),$N$4:$N861)+SUMIF($U$4:$U861,CONCATENATE("ReinvDiv",$C861),$N$4:$N861))</f>
        <v>0</v>
      </c>
      <c r="AB861">
        <f>(SUMIF($U$4:$U861,CONCATENATE("Buy",$C861),$F$4:$F861)+SUMIF($U$4:$U861,CONCATENATE("ReinvDiv",$C861),$F$4:$F861)+SUMIF($U$4:$U861,CONCATENATE("StkSplit",$C861),$F$4:$F861)-SUMIF($U$4:$U861,CONCATENATE("Sell",$C861),$F$4:$F861))</f>
        <v>0</v>
      </c>
      <c r="AC861" s="3">
        <f>IF(B861="Sell",F861*INDEX(V:V,LOOKUP(2,1/(X$4:X860=CONCATENATE(C861,"_ACB")),ROW(V$4:V860))),0)</f>
        <v>0</v>
      </c>
    </row>
    <row r="862" spans="1:29" x14ac:dyDescent="0.25">
      <c r="A862" s="20">
        <v>41502</v>
      </c>
      <c r="B862" t="s">
        <v>42</v>
      </c>
      <c r="C862" t="s">
        <v>87</v>
      </c>
      <c r="D862" s="3">
        <v>40.98</v>
      </c>
      <c r="J862">
        <v>46.58</v>
      </c>
      <c r="M862" s="21">
        <f t="shared" si="106"/>
        <v>40.98</v>
      </c>
      <c r="N862" s="8">
        <f t="shared" si="112"/>
        <v>40.98</v>
      </c>
      <c r="O862" s="25">
        <f t="shared" si="109"/>
        <v>12054.779999999921</v>
      </c>
      <c r="P862" s="8">
        <f t="shared" si="107"/>
        <v>0</v>
      </c>
      <c r="Q862" s="4">
        <f>IF(AND(S862&gt;=[1]eRRSP_Rpt!$C$6,S862&lt;=[1]eRRSP_Rpt!$C$7),1,0)</f>
        <v>1</v>
      </c>
      <c r="R862" s="4"/>
      <c r="S862" s="4">
        <f t="shared" si="113"/>
        <v>2013</v>
      </c>
      <c r="T862" s="4"/>
      <c r="U862" s="4" t="str">
        <f t="shared" si="108"/>
        <v>DivAberdeen Asia Pacific Income Fund</v>
      </c>
      <c r="V862" s="23">
        <f>IFERROR(IF(AND(AB862&gt;0,B862&lt;&gt;"Sell"),(AA862-SUMIF(C$4:C861,C862,AC$4:AC862))/AB862,0),"")</f>
        <v>-7.4694020797227028</v>
      </c>
      <c r="W862" s="24" t="str">
        <f t="shared" si="111"/>
        <v/>
      </c>
      <c r="X862" s="25" t="str">
        <f t="shared" si="110"/>
        <v>Aberdeen Asia Pacific Income Fund_ACB</v>
      </c>
      <c r="Y862" s="10" t="str">
        <f>IF(S863&lt;&gt;eRRSP_Tx_Table[[#This Row],[Year]],SUMIFS($W$4:$W862,$S$4:$S862,eRRSP_Tx_Table[[#This Row],[Year]],$W$4:$W862,"&gt;0"),"")</f>
        <v/>
      </c>
      <c r="Z862" s="10" t="str">
        <f>IF(S863&lt;&gt;eRRSP_Tx_Table[[#This Row],[Year]],SUMIFS($W$4:$W862,$S$4:$S862,eRRSP_Tx_Table[[#This Row],[Year]],$W$4:$W862,"&lt;0"),"")</f>
        <v/>
      </c>
      <c r="AA862" s="3">
        <f>(SUMIF($U$4:$U862,CONCATENATE("Buy",$C862),$N$4:$N862)+SUMIF($U$4:$U862,CONCATENATE("ReinvDiv",$C862),$N$4:$N862))</f>
        <v>-8619.6899999999987</v>
      </c>
      <c r="AB862">
        <f>(SUMIF($U$4:$U862,CONCATENATE("Buy",$C862),$F$4:$F862)+SUMIF($U$4:$U862,CONCATENATE("ReinvDiv",$C862),$F$4:$F862)+SUMIF($U$4:$U862,CONCATENATE("StkSplit",$C862),$F$4:$F862)-SUMIF($U$4:$U862,CONCATENATE("Sell",$C862),$F$4:$F862))</f>
        <v>1154</v>
      </c>
      <c r="AC862" s="3">
        <f>IF(B862="Sell",F862*INDEX(V:V,LOOKUP(2,1/(X$4:X861=CONCATENATE(C862,"_ACB")),ROW(V$4:V861))),0)</f>
        <v>0</v>
      </c>
    </row>
    <row r="863" spans="1:29" x14ac:dyDescent="0.25">
      <c r="A863" s="20">
        <v>41516</v>
      </c>
      <c r="B863" t="s">
        <v>43</v>
      </c>
      <c r="C863" t="s">
        <v>99</v>
      </c>
      <c r="D863" s="3">
        <v>30.51</v>
      </c>
      <c r="J863">
        <v>62.41</v>
      </c>
      <c r="M863" s="21">
        <f t="shared" si="106"/>
        <v>30.51</v>
      </c>
      <c r="N863" s="8">
        <f t="shared" si="112"/>
        <v>30.51</v>
      </c>
      <c r="O863" s="25">
        <f t="shared" si="109"/>
        <v>12085.289999999921</v>
      </c>
      <c r="P863" s="8">
        <f t="shared" si="107"/>
        <v>0</v>
      </c>
      <c r="Q863" s="4">
        <f>IF(AND(S863&gt;=[1]eRRSP_Rpt!$C$6,S863&lt;=[1]eRRSP_Rpt!$C$7),1,0)</f>
        <v>1</v>
      </c>
      <c r="R863" s="4"/>
      <c r="S863" s="4">
        <f t="shared" si="113"/>
        <v>2013</v>
      </c>
      <c r="T863" s="4"/>
      <c r="U863" s="4" t="str">
        <f t="shared" si="108"/>
        <v>IntIncTD INV SAV ACCT  /NL'FRAC</v>
      </c>
      <c r="V863" s="23">
        <f>IFERROR(IF(AND(AB863&gt;0,B863&lt;&gt;"Sell"),(AA863-SUMIF(C$4:C862,C863,AC$4:AC863))/AB863,0),"")</f>
        <v>-10</v>
      </c>
      <c r="W863" s="24" t="str">
        <f t="shared" si="111"/>
        <v/>
      </c>
      <c r="X863" s="25" t="str">
        <f t="shared" si="110"/>
        <v>TD INV SAV ACCT  /NL'FRAC_ACB</v>
      </c>
      <c r="Y863" s="10" t="str">
        <f>IF(S864&lt;&gt;eRRSP_Tx_Table[[#This Row],[Year]],SUMIFS($W$4:$W863,$S$4:$S863,eRRSP_Tx_Table[[#This Row],[Year]],$W$4:$W863,"&gt;0"),"")</f>
        <v/>
      </c>
      <c r="Z863" s="10" t="str">
        <f>IF(S864&lt;&gt;eRRSP_Tx_Table[[#This Row],[Year]],SUMIFS($W$4:$W863,$S$4:$S863,eRRSP_Tx_Table[[#This Row],[Year]],$W$4:$W863,"&lt;0"),"")</f>
        <v/>
      </c>
      <c r="AA863" s="3">
        <f>(SUMIF($U$4:$U863,CONCATENATE("Buy",$C863),$N$4:$N863)+SUMIF($U$4:$U863,CONCATENATE("ReinvDiv",$C863),$N$4:$N863))</f>
        <v>-27000</v>
      </c>
      <c r="AB863">
        <f>(SUMIF($U$4:$U863,CONCATENATE("Buy",$C863),$F$4:$F863)+SUMIF($U$4:$U863,CONCATENATE("ReinvDiv",$C863),$F$4:$F863)+SUMIF($U$4:$U863,CONCATENATE("StkSplit",$C863),$F$4:$F863)-SUMIF($U$4:$U863,CONCATENATE("Sell",$C863),$F$4:$F863))</f>
        <v>2700</v>
      </c>
      <c r="AC863" s="3">
        <f>IF(B863="Sell",F863*INDEX(V:V,LOOKUP(2,1/(X$4:X862=CONCATENATE(C863,"_ACB")),ROW(V$4:V862))),0)</f>
        <v>0</v>
      </c>
    </row>
    <row r="864" spans="1:29" x14ac:dyDescent="0.25">
      <c r="A864" s="20">
        <v>41518</v>
      </c>
      <c r="B864" t="s">
        <v>42</v>
      </c>
      <c r="C864" t="s">
        <v>33</v>
      </c>
      <c r="D864" s="3">
        <v>46.58</v>
      </c>
      <c r="J864">
        <v>41.06</v>
      </c>
      <c r="M864" s="21">
        <f t="shared" si="106"/>
        <v>46.58</v>
      </c>
      <c r="N864" s="8">
        <f t="shared" si="112"/>
        <v>46.58</v>
      </c>
      <c r="O864" s="25">
        <f t="shared" si="109"/>
        <v>12131.869999999921</v>
      </c>
      <c r="P864" s="8">
        <f t="shared" si="107"/>
        <v>0</v>
      </c>
      <c r="Q864" s="4">
        <f>IF(AND(S864&gt;=[1]eRRSP_Rpt!$C$6,S864&lt;=[1]eRRSP_Rpt!$C$7),1,0)</f>
        <v>1</v>
      </c>
      <c r="R864" s="4"/>
      <c r="S864" s="4">
        <f t="shared" si="113"/>
        <v>2013</v>
      </c>
      <c r="T864" s="4"/>
      <c r="U864" s="4" t="str">
        <f t="shared" si="108"/>
        <v>DivEnbridge</v>
      </c>
      <c r="V864" s="23">
        <f>IFERROR(IF(AND(AB864&gt;0,B864&lt;&gt;"Sell"),(AA864-SUMIF(C$4:C863,C864,AC$4:AC864))/AB864,0),"")</f>
        <v>-16.981789097623633</v>
      </c>
      <c r="W864" s="24" t="str">
        <f t="shared" si="111"/>
        <v/>
      </c>
      <c r="X864" s="25" t="str">
        <f t="shared" si="110"/>
        <v>Enbridge_ACB</v>
      </c>
      <c r="Y864" s="10" t="str">
        <f>IF(S865&lt;&gt;eRRSP_Tx_Table[[#This Row],[Year]],SUMIFS($W$4:$W864,$S$4:$S864,eRRSP_Tx_Table[[#This Row],[Year]],$W$4:$W864,"&gt;0"),"")</f>
        <v/>
      </c>
      <c r="Z864" s="10" t="str">
        <f>IF(S865&lt;&gt;eRRSP_Tx_Table[[#This Row],[Year]],SUMIFS($W$4:$W864,$S$4:$S864,eRRSP_Tx_Table[[#This Row],[Year]],$W$4:$W864,"&lt;0"),"")</f>
        <v/>
      </c>
      <c r="AA864" s="3">
        <f>(SUMIF($U$4:$U864,CONCATENATE("Buy",$C864),$N$4:$N864)+SUMIF($U$4:$U864,CONCATENATE("ReinvDiv",$C864),$N$4:$N864))</f>
        <v>-6788.69</v>
      </c>
      <c r="AB864">
        <f>(SUMIF($U$4:$U864,CONCATENATE("Buy",$C864),$F$4:$F864)+SUMIF($U$4:$U864,CONCATENATE("ReinvDiv",$C864),$F$4:$F864)+SUMIF($U$4:$U864,CONCATENATE("StkSplit",$C864),$F$4:$F864)-SUMIF($U$4:$U864,CONCATENATE("Sell",$C864),$F$4:$F864))</f>
        <v>346</v>
      </c>
      <c r="AC864" s="3">
        <f>IF(B864="Sell",F864*INDEX(V:V,LOOKUP(2,1/(X$4:X863=CONCATENATE(C864,"_ACB")),ROW(V$4:V863))),0)</f>
        <v>0</v>
      </c>
    </row>
    <row r="865" spans="1:29" x14ac:dyDescent="0.25">
      <c r="A865" s="20">
        <v>41518</v>
      </c>
      <c r="B865" t="s">
        <v>42</v>
      </c>
      <c r="C865" t="s">
        <v>33</v>
      </c>
      <c r="D865" s="3">
        <v>62.41</v>
      </c>
      <c r="J865">
        <v>0.25</v>
      </c>
      <c r="M865" s="21">
        <f t="shared" ref="M865:M928" si="114">ROUND(IF(OR(B865="Buy",B865="Sell"),E865*F865,D865),2)</f>
        <v>62.41</v>
      </c>
      <c r="N865" s="8">
        <f t="shared" si="112"/>
        <v>62.41</v>
      </c>
      <c r="O865" s="25">
        <f t="shared" si="109"/>
        <v>12194.279999999921</v>
      </c>
      <c r="P865" s="8">
        <f t="shared" ref="P865:P930" si="115">IF(OR($B865="Cash"),$N865,0)</f>
        <v>0</v>
      </c>
      <c r="Q865" s="4">
        <f>IF(AND(S865&gt;=[1]eRRSP_Rpt!$C$6,S865&lt;=[1]eRRSP_Rpt!$C$7),1,0)</f>
        <v>1</v>
      </c>
      <c r="R865" s="4"/>
      <c r="S865" s="4">
        <f t="shared" si="113"/>
        <v>2013</v>
      </c>
      <c r="T865" s="4"/>
      <c r="U865" s="4" t="str">
        <f t="shared" ref="U865:U928" si="116">CONCATENATE(B865,C865)</f>
        <v>DivEnbridge</v>
      </c>
      <c r="V865" s="23">
        <f>IFERROR(IF(AND(AB865&gt;0,B865&lt;&gt;"Sell"),(AA865-SUMIF(C$4:C864,C865,AC$4:AC865))/AB865,0),"")</f>
        <v>-16.981789097623633</v>
      </c>
      <c r="W865" s="24" t="str">
        <f t="shared" si="111"/>
        <v/>
      </c>
      <c r="X865" s="25" t="str">
        <f t="shared" si="110"/>
        <v>Enbridge_ACB</v>
      </c>
      <c r="Y865" s="10" t="str">
        <f>IF(S866&lt;&gt;eRRSP_Tx_Table[[#This Row],[Year]],SUMIFS($W$4:$W865,$S$4:$S865,eRRSP_Tx_Table[[#This Row],[Year]],$W$4:$W865,"&gt;0"),"")</f>
        <v/>
      </c>
      <c r="Z865" s="10" t="str">
        <f>IF(S866&lt;&gt;eRRSP_Tx_Table[[#This Row],[Year]],SUMIFS($W$4:$W865,$S$4:$S865,eRRSP_Tx_Table[[#This Row],[Year]],$W$4:$W865,"&lt;0"),"")</f>
        <v/>
      </c>
      <c r="AA865" s="3">
        <f>(SUMIF($U$4:$U865,CONCATENATE("Buy",$C865),$N$4:$N865)+SUMIF($U$4:$U865,CONCATENATE("ReinvDiv",$C865),$N$4:$N865))</f>
        <v>-6788.69</v>
      </c>
      <c r="AB865">
        <f>(SUMIF($U$4:$U865,CONCATENATE("Buy",$C865),$F$4:$F865)+SUMIF($U$4:$U865,CONCATENATE("ReinvDiv",$C865),$F$4:$F865)+SUMIF($U$4:$U865,CONCATENATE("StkSplit",$C865),$F$4:$F865)-SUMIF($U$4:$U865,CONCATENATE("Sell",$C865),$F$4:$F865))</f>
        <v>346</v>
      </c>
      <c r="AC865" s="3">
        <f>IF(B865="Sell",F865*INDEX(V:V,LOOKUP(2,1/(X$4:X864=CONCATENATE(C865,"_ACB")),ROW(V$4:V864))),0)</f>
        <v>0</v>
      </c>
    </row>
    <row r="866" spans="1:29" x14ac:dyDescent="0.25">
      <c r="A866" s="20">
        <v>41530</v>
      </c>
      <c r="B866" t="s">
        <v>42</v>
      </c>
      <c r="C866" t="s">
        <v>87</v>
      </c>
      <c r="D866" s="3">
        <v>41.06</v>
      </c>
      <c r="J866">
        <v>26.87</v>
      </c>
      <c r="M866" s="21">
        <f t="shared" si="114"/>
        <v>41.06</v>
      </c>
      <c r="N866" s="8">
        <f t="shared" si="112"/>
        <v>41.06</v>
      </c>
      <c r="O866" s="25">
        <f t="shared" si="109"/>
        <v>12235.33999999992</v>
      </c>
      <c r="P866" s="8">
        <f t="shared" si="115"/>
        <v>0</v>
      </c>
      <c r="Q866" s="4">
        <f>IF(AND(S866&gt;=[1]eRRSP_Rpt!$C$6,S866&lt;=[1]eRRSP_Rpt!$C$7),1,0)</f>
        <v>1</v>
      </c>
      <c r="R866" s="4"/>
      <c r="S866" s="4">
        <f t="shared" si="113"/>
        <v>2013</v>
      </c>
      <c r="T866" s="4"/>
      <c r="U866" s="4" t="str">
        <f t="shared" si="116"/>
        <v>DivAberdeen Asia Pacific Income Fund</v>
      </c>
      <c r="V866" s="23">
        <f>IFERROR(IF(AND(AB866&gt;0,B866&lt;&gt;"Sell"),(AA866-SUMIF(C$4:C865,C866,AC$4:AC866))/AB866,0),"")</f>
        <v>-7.4694020797227028</v>
      </c>
      <c r="W866" s="24" t="str">
        <f t="shared" si="111"/>
        <v/>
      </c>
      <c r="X866" s="25" t="str">
        <f t="shared" si="110"/>
        <v>Aberdeen Asia Pacific Income Fund_ACB</v>
      </c>
      <c r="Y866" s="10" t="str">
        <f>IF(S867&lt;&gt;eRRSP_Tx_Table[[#This Row],[Year]],SUMIFS($W$4:$W866,$S$4:$S866,eRRSP_Tx_Table[[#This Row],[Year]],$W$4:$W866,"&gt;0"),"")</f>
        <v/>
      </c>
      <c r="Z866" s="10" t="str">
        <f>IF(S867&lt;&gt;eRRSP_Tx_Table[[#This Row],[Year]],SUMIFS($W$4:$W866,$S$4:$S866,eRRSP_Tx_Table[[#This Row],[Year]],$W$4:$W866,"&lt;0"),"")</f>
        <v/>
      </c>
      <c r="AA866" s="3">
        <f>(SUMIF($U$4:$U866,CONCATENATE("Buy",$C866),$N$4:$N866)+SUMIF($U$4:$U866,CONCATENATE("ReinvDiv",$C866),$N$4:$N866))</f>
        <v>-8619.6899999999987</v>
      </c>
      <c r="AB866">
        <f>(SUMIF($U$4:$U866,CONCATENATE("Buy",$C866),$F$4:$F866)+SUMIF($U$4:$U866,CONCATENATE("ReinvDiv",$C866),$F$4:$F866)+SUMIF($U$4:$U866,CONCATENATE("StkSplit",$C866),$F$4:$F866)-SUMIF($U$4:$U866,CONCATENATE("Sell",$C866),$F$4:$F866))</f>
        <v>1154</v>
      </c>
      <c r="AC866" s="3">
        <f>IF(B866="Sell",F866*INDEX(V:V,LOOKUP(2,1/(X$4:X865=CONCATENATE(C866,"_ACB")),ROW(V$4:V865))),0)</f>
        <v>0</v>
      </c>
    </row>
    <row r="867" spans="1:29" x14ac:dyDescent="0.25">
      <c r="A867" s="20">
        <v>41533</v>
      </c>
      <c r="B867" t="s">
        <v>43</v>
      </c>
      <c r="C867" t="s">
        <v>36</v>
      </c>
      <c r="D867" s="3">
        <v>0.25</v>
      </c>
      <c r="J867">
        <v>0.76</v>
      </c>
      <c r="M867" s="21">
        <f t="shared" si="114"/>
        <v>0.25</v>
      </c>
      <c r="N867" s="8">
        <f t="shared" si="112"/>
        <v>0.25</v>
      </c>
      <c r="O867" s="25">
        <f t="shared" si="109"/>
        <v>12235.58999999992</v>
      </c>
      <c r="P867" s="8">
        <f t="shared" si="115"/>
        <v>0</v>
      </c>
      <c r="Q867" s="4">
        <f>IF(AND(S867&gt;=[1]eRRSP_Rpt!$C$6,S867&lt;=[1]eRRSP_Rpt!$C$7),1,0)</f>
        <v>1</v>
      </c>
      <c r="R867" s="4"/>
      <c r="S867" s="4">
        <f t="shared" si="113"/>
        <v>2013</v>
      </c>
      <c r="T867" s="4"/>
      <c r="U867" s="4" t="str">
        <f t="shared" si="116"/>
        <v>IntIncTDW</v>
      </c>
      <c r="V867" s="23">
        <f>IFERROR(IF(AND(AB867&gt;0,B867&lt;&gt;"Sell"),(AA867-SUMIF(C$4:C866,C867,AC$4:AC867))/AB867,0),"")</f>
        <v>0</v>
      </c>
      <c r="W867" s="24" t="str">
        <f t="shared" si="111"/>
        <v/>
      </c>
      <c r="X867" s="25" t="str">
        <f t="shared" si="110"/>
        <v/>
      </c>
      <c r="Y867" s="10" t="str">
        <f>IF(S868&lt;&gt;eRRSP_Tx_Table[[#This Row],[Year]],SUMIFS($W$4:$W867,$S$4:$S867,eRRSP_Tx_Table[[#This Row],[Year]],$W$4:$W867,"&gt;0"),"")</f>
        <v/>
      </c>
      <c r="Z867" s="10" t="str">
        <f>IF(S868&lt;&gt;eRRSP_Tx_Table[[#This Row],[Year]],SUMIFS($W$4:$W867,$S$4:$S867,eRRSP_Tx_Table[[#This Row],[Year]],$W$4:$W867,"&lt;0"),"")</f>
        <v/>
      </c>
      <c r="AA867" s="3">
        <f>(SUMIF($U$4:$U867,CONCATENATE("Buy",$C867),$N$4:$N867)+SUMIF($U$4:$U867,CONCATENATE("ReinvDiv",$C867),$N$4:$N867))</f>
        <v>0</v>
      </c>
      <c r="AB867">
        <f>(SUMIF($U$4:$U867,CONCATENATE("Buy",$C867),$F$4:$F867)+SUMIF($U$4:$U867,CONCATENATE("ReinvDiv",$C867),$F$4:$F867)+SUMIF($U$4:$U867,CONCATENATE("StkSplit",$C867),$F$4:$F867)-SUMIF($U$4:$U867,CONCATENATE("Sell",$C867),$F$4:$F867))</f>
        <v>0</v>
      </c>
      <c r="AC867" s="3">
        <f>IF(B867="Sell",F867*INDEX(V:V,LOOKUP(2,1/(X$4:X866=CONCATENATE(C867,"_ACB")),ROW(V$4:V866))),0)</f>
        <v>0</v>
      </c>
    </row>
    <row r="868" spans="1:29" x14ac:dyDescent="0.25">
      <c r="A868" s="20">
        <v>41544</v>
      </c>
      <c r="B868" t="s">
        <v>42</v>
      </c>
      <c r="C868" t="s">
        <v>90</v>
      </c>
      <c r="D868" s="3">
        <v>26.87</v>
      </c>
      <c r="M868" s="21">
        <f t="shared" si="114"/>
        <v>26.87</v>
      </c>
      <c r="N868" s="8">
        <f t="shared" si="112"/>
        <v>26.87</v>
      </c>
      <c r="O868" s="25">
        <f t="shared" si="109"/>
        <v>12262.459999999921</v>
      </c>
      <c r="P868" s="8">
        <f t="shared" si="115"/>
        <v>0</v>
      </c>
      <c r="Q868" s="4">
        <f>IF(AND(S868&gt;=[1]eRRSP_Rpt!$C$6,S868&lt;=[1]eRRSP_Rpt!$C$7),1,0)</f>
        <v>1</v>
      </c>
      <c r="R868" s="4"/>
      <c r="S868" s="4">
        <f t="shared" si="113"/>
        <v>2013</v>
      </c>
      <c r="T868" s="4"/>
      <c r="U868" s="4" t="str">
        <f t="shared" si="116"/>
        <v>DivVanguard Large Cap ETF</v>
      </c>
      <c r="V868" s="23">
        <f>IFERROR(IF(AND(AB868&gt;0,B868&lt;&gt;"Sell"),(AA868-SUMIF(C$4:C867,C868,AC$4:AC868))/AB868,0),"")</f>
        <v>-74.401142857142858</v>
      </c>
      <c r="W868" s="24" t="str">
        <f t="shared" si="111"/>
        <v/>
      </c>
      <c r="X868" s="25" t="str">
        <f t="shared" si="110"/>
        <v>Vanguard Large Cap ETF_ACB</v>
      </c>
      <c r="Y868" s="10" t="str">
        <f>IF(S869&lt;&gt;eRRSP_Tx_Table[[#This Row],[Year]],SUMIFS($W$4:$W868,$S$4:$S868,eRRSP_Tx_Table[[#This Row],[Year]],$W$4:$W868,"&gt;0"),"")</f>
        <v/>
      </c>
      <c r="Z868" s="10" t="str">
        <f>IF(S869&lt;&gt;eRRSP_Tx_Table[[#This Row],[Year]],SUMIFS($W$4:$W868,$S$4:$S868,eRRSP_Tx_Table[[#This Row],[Year]],$W$4:$W868,"&lt;0"),"")</f>
        <v/>
      </c>
      <c r="AA868" s="3">
        <f>(SUMIF($U$4:$U868,CONCATENATE("Buy",$C868),$N$4:$N868)+SUMIF($U$4:$U868,CONCATENATE("ReinvDiv",$C868),$N$4:$N868))</f>
        <v>-5208.08</v>
      </c>
      <c r="AB868">
        <f>(SUMIF($U$4:$U868,CONCATENATE("Buy",$C868),$F$4:$F868)+SUMIF($U$4:$U868,CONCATENATE("ReinvDiv",$C868),$F$4:$F868)+SUMIF($U$4:$U868,CONCATENATE("StkSplit",$C868),$F$4:$F868)-SUMIF($U$4:$U868,CONCATENATE("Sell",$C868),$F$4:$F868))</f>
        <v>70</v>
      </c>
      <c r="AC868" s="3">
        <f>IF(B868="Sell",F868*INDEX(V:V,LOOKUP(2,1/(X$4:X867=CONCATENATE(C868,"_ACB")),ROW(V$4:V867))),0)</f>
        <v>0</v>
      </c>
    </row>
    <row r="869" spans="1:29" x14ac:dyDescent="0.25">
      <c r="A869" s="20">
        <v>41544</v>
      </c>
      <c r="B869" t="s">
        <v>41</v>
      </c>
      <c r="C869" t="s">
        <v>97</v>
      </c>
      <c r="D869" s="3">
        <v>163.92</v>
      </c>
      <c r="E869">
        <f>eRRSP_Tx_Table[[#This Row],[Amount]]/eRRSP_Tx_Table[[#This Row],[Quantity]]</f>
        <v>10.330224350894882</v>
      </c>
      <c r="F869" s="3">
        <v>15.868</v>
      </c>
      <c r="J869">
        <v>-774.8</v>
      </c>
      <c r="M869" s="21">
        <f t="shared" si="114"/>
        <v>163.92</v>
      </c>
      <c r="N869" s="8">
        <f t="shared" si="112"/>
        <v>-163.92</v>
      </c>
      <c r="O869" s="25">
        <f t="shared" si="109"/>
        <v>12262.459999999921</v>
      </c>
      <c r="P869" s="8">
        <f t="shared" si="115"/>
        <v>0</v>
      </c>
      <c r="Q869" s="4">
        <f>IF(AND(S869&gt;=[1]eRRSP_Rpt!$C$6,S869&lt;=[1]eRRSP_Rpt!$C$7),1,0)</f>
        <v>1</v>
      </c>
      <c r="R869" s="4"/>
      <c r="S869" s="4">
        <f t="shared" si="113"/>
        <v>2013</v>
      </c>
      <c r="T869" s="4"/>
      <c r="U869" s="4" t="str">
        <f t="shared" si="116"/>
        <v>ReinvDivTD International Index - e</v>
      </c>
      <c r="V869" s="23">
        <f>IFERROR(IF(AND(AB869&gt;0,B869&lt;&gt;"Sell"),(AA869-SUMIF(C$4:C868,C869,AC$4:AC869))/AB869,0),"")</f>
        <v>-8.3665603648540277</v>
      </c>
      <c r="W869" s="24" t="str">
        <f t="shared" si="111"/>
        <v/>
      </c>
      <c r="X869" s="25" t="str">
        <f t="shared" si="110"/>
        <v>TD International Index - e_ACB</v>
      </c>
      <c r="Y869" s="10" t="str">
        <f>IF(S870&lt;&gt;eRRSP_Tx_Table[[#This Row],[Year]],SUMIFS($W$4:$W869,$S$4:$S869,eRRSP_Tx_Table[[#This Row],[Year]],$W$4:$W869,"&gt;0"),"")</f>
        <v/>
      </c>
      <c r="Z869" s="10" t="str">
        <f>IF(S870&lt;&gt;eRRSP_Tx_Table[[#This Row],[Year]],SUMIFS($W$4:$W869,$S$4:$S869,eRRSP_Tx_Table[[#This Row],[Year]],$W$4:$W869,"&lt;0"),"")</f>
        <v/>
      </c>
      <c r="AA869" s="3">
        <f>(SUMIF($U$4:$U869,CONCATENATE("Buy",$C869),$N$4:$N869)+SUMIF($U$4:$U869,CONCATENATE("ReinvDiv",$C869),$N$4:$N869))</f>
        <v>-29370.35</v>
      </c>
      <c r="AB869">
        <f>(SUMIF($U$4:$U869,CONCATENATE("Buy",$C869),$F$4:$F869)+SUMIF($U$4:$U869,CONCATENATE("ReinvDiv",$C869),$F$4:$F869)+SUMIF($U$4:$U869,CONCATENATE("StkSplit",$C869),$F$4:$F869)-SUMIF($U$4:$U869,CONCATENATE("Sell",$C869),$F$4:$F869))</f>
        <v>3510.4450000000002</v>
      </c>
      <c r="AC869" s="3">
        <f>IF(B869="Sell",F869*INDEX(V:V,LOOKUP(2,1/(X$4:X868=CONCATENATE(C869,"_ACB")),ROW(V$4:V868))),0)</f>
        <v>0</v>
      </c>
    </row>
    <row r="870" spans="1:29" x14ac:dyDescent="0.25">
      <c r="A870" s="20">
        <v>41544</v>
      </c>
      <c r="B870" t="s">
        <v>41</v>
      </c>
      <c r="C870" t="s">
        <v>62</v>
      </c>
      <c r="D870" s="3">
        <v>70.89</v>
      </c>
      <c r="E870">
        <v>16.140699999999999</v>
      </c>
      <c r="F870" s="3">
        <v>4.3920000000000003</v>
      </c>
      <c r="M870" s="21">
        <f t="shared" si="114"/>
        <v>70.89</v>
      </c>
      <c r="N870" s="8">
        <f t="shared" si="112"/>
        <v>-70.89</v>
      </c>
      <c r="O870" s="25">
        <f t="shared" si="109"/>
        <v>12262.459999999921</v>
      </c>
      <c r="P870" s="8">
        <f t="shared" si="115"/>
        <v>0</v>
      </c>
      <c r="Q870" s="4">
        <f>IF(AND(S870&gt;=[1]eRRSP_Rpt!$C$6,S870&lt;=[1]eRRSP_Rpt!$C$7),1,0)</f>
        <v>1</v>
      </c>
      <c r="R870" s="4"/>
      <c r="S870" s="4">
        <f t="shared" si="113"/>
        <v>2013</v>
      </c>
      <c r="T870" s="4"/>
      <c r="U870" s="4" t="str">
        <f t="shared" si="116"/>
        <v>ReinvDivTD RR Bond</v>
      </c>
      <c r="V870" s="23">
        <f>IFERROR(IF(AND(AB870&gt;0,B870&lt;&gt;"Sell"),(AA870-SUMIF(C$4:C869,C870,AC$4:AC870))/AB870,0),"")</f>
        <v>-14.434842390933618</v>
      </c>
      <c r="W870" s="24" t="str">
        <f t="shared" si="111"/>
        <v/>
      </c>
      <c r="X870" s="25" t="str">
        <f t="shared" si="110"/>
        <v>TD RR Bond_ACB</v>
      </c>
      <c r="Y870" s="10" t="str">
        <f>IF(S871&lt;&gt;eRRSP_Tx_Table[[#This Row],[Year]],SUMIFS($W$4:$W870,$S$4:$S870,eRRSP_Tx_Table[[#This Row],[Year]],$W$4:$W870,"&gt;0"),"")</f>
        <v/>
      </c>
      <c r="Z870" s="10" t="str">
        <f>IF(S871&lt;&gt;eRRSP_Tx_Table[[#This Row],[Year]],SUMIFS($W$4:$W870,$S$4:$S870,eRRSP_Tx_Table[[#This Row],[Year]],$W$4:$W870,"&lt;0"),"")</f>
        <v/>
      </c>
      <c r="AA870" s="3">
        <f>(SUMIF($U$4:$U870,CONCATENATE("Buy",$C870),$N$4:$N870)+SUMIF($U$4:$U870,CONCATENATE("ReinvDiv",$C870),$N$4:$N870))</f>
        <v>-10792.08</v>
      </c>
      <c r="AB870">
        <f>(SUMIF($U$4:$U870,CONCATENATE("Buy",$C870),$F$4:$F870)+SUMIF($U$4:$U870,CONCATENATE("ReinvDiv",$C870),$F$4:$F870)+SUMIF($U$4:$U870,CONCATENATE("StkSplit",$C870),$F$4:$F870)-SUMIF($U$4:$U870,CONCATENATE("Sell",$C870),$F$4:$F870))</f>
        <v>747.64099999999996</v>
      </c>
      <c r="AC870" s="3">
        <f>IF(B870="Sell",F870*INDEX(V:V,LOOKUP(2,1/(X$4:X869=CONCATENATE(C870,"_ACB")),ROW(V$4:V869))),0)</f>
        <v>0</v>
      </c>
    </row>
    <row r="871" spans="1:29" x14ac:dyDescent="0.25">
      <c r="A871" s="20">
        <v>41547</v>
      </c>
      <c r="B871" t="s">
        <v>42</v>
      </c>
      <c r="C871" t="s">
        <v>47</v>
      </c>
      <c r="D871" s="3">
        <v>0.76</v>
      </c>
      <c r="M871" s="21">
        <f t="shared" si="114"/>
        <v>0.76</v>
      </c>
      <c r="N871" s="8">
        <f t="shared" si="112"/>
        <v>0.76</v>
      </c>
      <c r="O871" s="25">
        <f t="shared" si="109"/>
        <v>12263.219999999921</v>
      </c>
      <c r="P871" s="8">
        <f t="shared" si="115"/>
        <v>0</v>
      </c>
      <c r="Q871" s="4">
        <f>IF(AND(S871&gt;=[1]eRRSP_Rpt!$C$6,S871&lt;=[1]eRRSP_Rpt!$C$7),1,0)</f>
        <v>1</v>
      </c>
      <c r="R871" s="4"/>
      <c r="S871" s="4">
        <f t="shared" si="113"/>
        <v>2013</v>
      </c>
      <c r="T871" s="4"/>
      <c r="U871" s="4" t="str">
        <f t="shared" si="116"/>
        <v>DivBombardier</v>
      </c>
      <c r="V871" s="23">
        <f>IFERROR(IF(AND(AB871&gt;0,B871&lt;&gt;"Sell"),(AA871-SUMIF(C$4:C870,C871,AC$4:AC871))/AB871,0),"")</f>
        <v>-23.216666666666665</v>
      </c>
      <c r="W871" s="24" t="str">
        <f t="shared" si="111"/>
        <v/>
      </c>
      <c r="X871" s="25" t="str">
        <f t="shared" si="110"/>
        <v>Bombardier_ACB</v>
      </c>
      <c r="Y871" s="10" t="str">
        <f>IF(S872&lt;&gt;eRRSP_Tx_Table[[#This Row],[Year]],SUMIFS($W$4:$W871,$S$4:$S871,eRRSP_Tx_Table[[#This Row],[Year]],$W$4:$W871,"&gt;0"),"")</f>
        <v/>
      </c>
      <c r="Z871" s="10" t="str">
        <f>IF(S872&lt;&gt;eRRSP_Tx_Table[[#This Row],[Year]],SUMIFS($W$4:$W871,$S$4:$S871,eRRSP_Tx_Table[[#This Row],[Year]],$W$4:$W871,"&lt;0"),"")</f>
        <v/>
      </c>
      <c r="AA871" s="3">
        <f>(SUMIF($U$4:$U871,CONCATENATE("Buy",$C871),$N$4:$N871)+SUMIF($U$4:$U871,CONCATENATE("ReinvDiv",$C871),$N$4:$N871))</f>
        <v>-696.5</v>
      </c>
      <c r="AB871">
        <f>(SUMIF($U$4:$U871,CONCATENATE("Buy",$C871),$F$4:$F871)+SUMIF($U$4:$U871,CONCATENATE("ReinvDiv",$C871),$F$4:$F871)+SUMIF($U$4:$U871,CONCATENATE("StkSplit",$C871),$F$4:$F871)-SUMIF($U$4:$U871,CONCATENATE("Sell",$C871),$F$4:$F871))</f>
        <v>30</v>
      </c>
      <c r="AC871" s="3">
        <f>IF(B871="Sell",F871*INDEX(V:V,LOOKUP(2,1/(X$4:X870=CONCATENATE(C871,"_ACB")),ROW(V$4:V870))),0)</f>
        <v>0</v>
      </c>
    </row>
    <row r="872" spans="1:29" x14ac:dyDescent="0.25">
      <c r="A872" s="20">
        <v>41547</v>
      </c>
      <c r="B872" t="s">
        <v>43</v>
      </c>
      <c r="C872" t="s">
        <v>99</v>
      </c>
      <c r="D872" s="3">
        <v>25.89</v>
      </c>
      <c r="M872" s="21">
        <f t="shared" si="114"/>
        <v>25.89</v>
      </c>
      <c r="N872" s="8">
        <f t="shared" si="112"/>
        <v>25.89</v>
      </c>
      <c r="O872" s="25">
        <f t="shared" si="109"/>
        <v>12289.109999999921</v>
      </c>
      <c r="P872" s="8">
        <f t="shared" si="115"/>
        <v>0</v>
      </c>
      <c r="Q872" s="4">
        <f>IF(AND(S872&gt;=[1]eRRSP_Rpt!$C$6,S872&lt;=[1]eRRSP_Rpt!$C$7),1,0)</f>
        <v>1</v>
      </c>
      <c r="R872" s="4"/>
      <c r="S872" s="4">
        <f t="shared" si="113"/>
        <v>2013</v>
      </c>
      <c r="T872" s="4"/>
      <c r="U872" s="4" t="str">
        <f t="shared" si="116"/>
        <v>IntIncTD INV SAV ACCT  /NL'FRAC</v>
      </c>
      <c r="V872" s="23">
        <f>IFERROR(IF(AND(AB872&gt;0,B872&lt;&gt;"Sell"),(AA872-SUMIF(C$4:C871,C872,AC$4:AC872))/AB872,0),"")</f>
        <v>-10</v>
      </c>
      <c r="W872" s="24" t="str">
        <f t="shared" si="111"/>
        <v/>
      </c>
      <c r="X872" s="25" t="str">
        <f t="shared" si="110"/>
        <v>TD INV SAV ACCT  /NL'FRAC_ACB</v>
      </c>
      <c r="Y872" s="10" t="str">
        <f>IF(S873&lt;&gt;eRRSP_Tx_Table[[#This Row],[Year]],SUMIFS($W$4:$W872,$S$4:$S872,eRRSP_Tx_Table[[#This Row],[Year]],$W$4:$W872,"&gt;0"),"")</f>
        <v/>
      </c>
      <c r="Z872" s="10" t="str">
        <f>IF(S873&lt;&gt;eRRSP_Tx_Table[[#This Row],[Year]],SUMIFS($W$4:$W872,$S$4:$S872,eRRSP_Tx_Table[[#This Row],[Year]],$W$4:$W872,"&lt;0"),"")</f>
        <v/>
      </c>
      <c r="AA872" s="3">
        <f>(SUMIF($U$4:$U872,CONCATENATE("Buy",$C872),$N$4:$N872)+SUMIF($U$4:$U872,CONCATENATE("ReinvDiv",$C872),$N$4:$N872))</f>
        <v>-27000</v>
      </c>
      <c r="AB872">
        <f>(SUMIF($U$4:$U872,CONCATENATE("Buy",$C872),$F$4:$F872)+SUMIF($U$4:$U872,CONCATENATE("ReinvDiv",$C872),$F$4:$F872)+SUMIF($U$4:$U872,CONCATENATE("StkSplit",$C872),$F$4:$F872)-SUMIF($U$4:$U872,CONCATENATE("Sell",$C872),$F$4:$F872))</f>
        <v>2700</v>
      </c>
      <c r="AC872" s="3">
        <f>IF(B872="Sell",F872*INDEX(V:V,LOOKUP(2,1/(X$4:X871=CONCATENATE(C872,"_ACB")),ROW(V$4:V871))),0)</f>
        <v>0</v>
      </c>
    </row>
    <row r="873" spans="1:29" x14ac:dyDescent="0.25">
      <c r="A873" s="20">
        <v>41557</v>
      </c>
      <c r="B873" t="s">
        <v>30</v>
      </c>
      <c r="C873" t="s">
        <v>31</v>
      </c>
      <c r="D873" s="3">
        <v>6060.91</v>
      </c>
      <c r="H873" t="s">
        <v>100</v>
      </c>
      <c r="J873" t="s">
        <v>101</v>
      </c>
      <c r="M873" s="21">
        <f t="shared" si="114"/>
        <v>6060.91</v>
      </c>
      <c r="N873" s="8">
        <f t="shared" si="112"/>
        <v>6060.91</v>
      </c>
      <c r="O873" s="25">
        <f t="shared" si="109"/>
        <v>18350.01999999992</v>
      </c>
      <c r="P873" s="8">
        <f t="shared" si="115"/>
        <v>6060.91</v>
      </c>
      <c r="Q873" s="4">
        <f>IF(AND(S873&gt;=[1]eRRSP_Rpt!$C$6,S873&lt;=[1]eRRSP_Rpt!$C$7),1,0)</f>
        <v>1</v>
      </c>
      <c r="R873" s="4"/>
      <c r="S873" s="4">
        <f t="shared" si="113"/>
        <v>2013</v>
      </c>
      <c r="T873" s="4"/>
      <c r="U873" s="4" t="str">
        <f t="shared" si="116"/>
        <v>CashContribution</v>
      </c>
      <c r="V873" s="23">
        <f>IFERROR(IF(AND(AB873&gt;0,B873&lt;&gt;"Sell"),(AA873-SUMIF(C$4:C872,C873,AC$4:AC873))/AB873,0),"")</f>
        <v>0</v>
      </c>
      <c r="W873" s="24" t="str">
        <f t="shared" si="111"/>
        <v/>
      </c>
      <c r="X873" s="25" t="str">
        <f t="shared" si="110"/>
        <v/>
      </c>
      <c r="Y873" s="10" t="str">
        <f>IF(S874&lt;&gt;eRRSP_Tx_Table[[#This Row],[Year]],SUMIFS($W$4:$W873,$S$4:$S873,eRRSP_Tx_Table[[#This Row],[Year]],$W$4:$W873,"&gt;0"),"")</f>
        <v/>
      </c>
      <c r="Z873" s="10" t="str">
        <f>IF(S874&lt;&gt;eRRSP_Tx_Table[[#This Row],[Year]],SUMIFS($W$4:$W873,$S$4:$S873,eRRSP_Tx_Table[[#This Row],[Year]],$W$4:$W873,"&lt;0"),"")</f>
        <v/>
      </c>
      <c r="AA873" s="3">
        <f>(SUMIF($U$4:$U873,CONCATENATE("Buy",$C873),$N$4:$N873)+SUMIF($U$4:$U873,CONCATENATE("ReinvDiv",$C873),$N$4:$N873))</f>
        <v>0</v>
      </c>
      <c r="AB873">
        <f>(SUMIF($U$4:$U873,CONCATENATE("Buy",$C873),$F$4:$F873)+SUMIF($U$4:$U873,CONCATENATE("ReinvDiv",$C873),$F$4:$F873)+SUMIF($U$4:$U873,CONCATENATE("StkSplit",$C873),$F$4:$F873)-SUMIF($U$4:$U873,CONCATENATE("Sell",$C873),$F$4:$F873))</f>
        <v>0</v>
      </c>
      <c r="AC873" s="3">
        <f>IF(B873="Sell",F873*INDEX(V:V,LOOKUP(2,1/(X$4:X872=CONCATENATE(C873,"_ACB")),ROW(V$4:V872))),0)</f>
        <v>0</v>
      </c>
    </row>
    <row r="874" spans="1:29" x14ac:dyDescent="0.25">
      <c r="A874" s="20">
        <v>41563</v>
      </c>
      <c r="B874" t="s">
        <v>43</v>
      </c>
      <c r="C874" t="s">
        <v>36</v>
      </c>
      <c r="D874" s="3">
        <v>0.27</v>
      </c>
      <c r="M874" s="21">
        <f t="shared" si="114"/>
        <v>0.27</v>
      </c>
      <c r="N874" s="8">
        <f t="shared" si="112"/>
        <v>0.27</v>
      </c>
      <c r="O874" s="25">
        <f t="shared" si="109"/>
        <v>18350.289999999921</v>
      </c>
      <c r="P874" s="8">
        <f t="shared" si="115"/>
        <v>0</v>
      </c>
      <c r="Q874" s="4">
        <f>IF(AND(S874&gt;=[1]eRRSP_Rpt!$C$6,S874&lt;=[1]eRRSP_Rpt!$C$7),1,0)</f>
        <v>1</v>
      </c>
      <c r="R874" s="4"/>
      <c r="S874" s="4">
        <f t="shared" si="113"/>
        <v>2013</v>
      </c>
      <c r="T874" s="4"/>
      <c r="U874" s="4" t="str">
        <f t="shared" si="116"/>
        <v>IntIncTDW</v>
      </c>
      <c r="V874" s="23">
        <f>IFERROR(IF(AND(AB874&gt;0,B874&lt;&gt;"Sell"),(AA874-SUMIF(C$4:C873,C874,AC$4:AC874))/AB874,0),"")</f>
        <v>0</v>
      </c>
      <c r="W874" s="24" t="str">
        <f t="shared" si="111"/>
        <v/>
      </c>
      <c r="X874" s="25" t="str">
        <f t="shared" si="110"/>
        <v/>
      </c>
      <c r="Y874" s="10" t="str">
        <f>IF(S875&lt;&gt;eRRSP_Tx_Table[[#This Row],[Year]],SUMIFS($W$4:$W874,$S$4:$S874,eRRSP_Tx_Table[[#This Row],[Year]],$W$4:$W874,"&gt;0"),"")</f>
        <v/>
      </c>
      <c r="Z874" s="10" t="str">
        <f>IF(S875&lt;&gt;eRRSP_Tx_Table[[#This Row],[Year]],SUMIFS($W$4:$W874,$S$4:$S874,eRRSP_Tx_Table[[#This Row],[Year]],$W$4:$W874,"&lt;0"),"")</f>
        <v/>
      </c>
      <c r="AA874" s="3">
        <f>(SUMIF($U$4:$U874,CONCATENATE("Buy",$C874),$N$4:$N874)+SUMIF($U$4:$U874,CONCATENATE("ReinvDiv",$C874),$N$4:$N874))</f>
        <v>0</v>
      </c>
      <c r="AB874">
        <f>(SUMIF($U$4:$U874,CONCATENATE("Buy",$C874),$F$4:$F874)+SUMIF($U$4:$U874,CONCATENATE("ReinvDiv",$C874),$F$4:$F874)+SUMIF($U$4:$U874,CONCATENATE("StkSplit",$C874),$F$4:$F874)-SUMIF($U$4:$U874,CONCATENATE("Sell",$C874),$F$4:$F874))</f>
        <v>0</v>
      </c>
      <c r="AC874" s="3">
        <f>IF(B874="Sell",F874*INDEX(V:V,LOOKUP(2,1/(X$4:X873=CONCATENATE(C874,"_ACB")),ROW(V$4:V873))),0)</f>
        <v>0</v>
      </c>
    </row>
    <row r="875" spans="1:29" x14ac:dyDescent="0.25">
      <c r="A875" s="20">
        <v>41565</v>
      </c>
      <c r="B875" t="s">
        <v>42</v>
      </c>
      <c r="C875" t="s">
        <v>87</v>
      </c>
      <c r="D875" s="3">
        <v>40.89</v>
      </c>
      <c r="M875" s="21">
        <f t="shared" si="114"/>
        <v>40.89</v>
      </c>
      <c r="N875" s="8">
        <f t="shared" si="112"/>
        <v>40.89</v>
      </c>
      <c r="O875" s="25">
        <f t="shared" si="109"/>
        <v>18391.17999999992</v>
      </c>
      <c r="P875" s="8">
        <f t="shared" si="115"/>
        <v>0</v>
      </c>
      <c r="Q875" s="4">
        <f>IF(AND(S875&gt;=[1]eRRSP_Rpt!$C$6,S875&lt;=[1]eRRSP_Rpt!$C$7),1,0)</f>
        <v>1</v>
      </c>
      <c r="R875" s="4"/>
      <c r="S875" s="4">
        <f t="shared" si="113"/>
        <v>2013</v>
      </c>
      <c r="T875" s="4"/>
      <c r="U875" s="4" t="str">
        <f t="shared" si="116"/>
        <v>DivAberdeen Asia Pacific Income Fund</v>
      </c>
      <c r="V875" s="23">
        <f>IFERROR(IF(AND(AB875&gt;0,B875&lt;&gt;"Sell"),(AA875-SUMIF(C$4:C874,C875,AC$4:AC875))/AB875,0),"")</f>
        <v>-7.4694020797227028</v>
      </c>
      <c r="W875" s="24" t="str">
        <f t="shared" si="111"/>
        <v/>
      </c>
      <c r="X875" s="25" t="str">
        <f t="shared" si="110"/>
        <v>Aberdeen Asia Pacific Income Fund_ACB</v>
      </c>
      <c r="Y875" s="10" t="str">
        <f>IF(S876&lt;&gt;eRRSP_Tx_Table[[#This Row],[Year]],SUMIFS($W$4:$W875,$S$4:$S875,eRRSP_Tx_Table[[#This Row],[Year]],$W$4:$W875,"&gt;0"),"")</f>
        <v/>
      </c>
      <c r="Z875" s="10" t="str">
        <f>IF(S876&lt;&gt;eRRSP_Tx_Table[[#This Row],[Year]],SUMIFS($W$4:$W875,$S$4:$S875,eRRSP_Tx_Table[[#This Row],[Year]],$W$4:$W875,"&lt;0"),"")</f>
        <v/>
      </c>
      <c r="AA875" s="3">
        <f>(SUMIF($U$4:$U875,CONCATENATE("Buy",$C875),$N$4:$N875)+SUMIF($U$4:$U875,CONCATENATE("ReinvDiv",$C875),$N$4:$N875))</f>
        <v>-8619.6899999999987</v>
      </c>
      <c r="AB875">
        <f>(SUMIF($U$4:$U875,CONCATENATE("Buy",$C875),$F$4:$F875)+SUMIF($U$4:$U875,CONCATENATE("ReinvDiv",$C875),$F$4:$F875)+SUMIF($U$4:$U875,CONCATENATE("StkSplit",$C875),$F$4:$F875)-SUMIF($U$4:$U875,CONCATENATE("Sell",$C875),$F$4:$F875))</f>
        <v>1154</v>
      </c>
      <c r="AC875" s="3">
        <f>IF(B875="Sell",F875*INDEX(V:V,LOOKUP(2,1/(X$4:X874=CONCATENATE(C875,"_ACB")),ROW(V$4:V874))),0)</f>
        <v>0</v>
      </c>
    </row>
    <row r="876" spans="1:29" x14ac:dyDescent="0.25">
      <c r="A876" s="20">
        <v>41578</v>
      </c>
      <c r="B876" t="s">
        <v>42</v>
      </c>
      <c r="C876" t="s">
        <v>45</v>
      </c>
      <c r="D876" s="3">
        <v>17</v>
      </c>
      <c r="M876" s="21">
        <f t="shared" si="114"/>
        <v>17</v>
      </c>
      <c r="N876" s="8">
        <f t="shared" si="112"/>
        <v>17</v>
      </c>
      <c r="O876" s="25">
        <f t="shared" si="109"/>
        <v>18408.17999999992</v>
      </c>
      <c r="P876" s="8">
        <f t="shared" si="115"/>
        <v>0</v>
      </c>
      <c r="Q876" s="4">
        <f>IF(AND(S876&gt;=[1]eRRSP_Rpt!$C$6,S876&lt;=[1]eRRSP_Rpt!$C$7),1,0)</f>
        <v>1</v>
      </c>
      <c r="R876" s="4"/>
      <c r="S876" s="4">
        <f t="shared" si="113"/>
        <v>2013</v>
      </c>
      <c r="T876" s="4"/>
      <c r="U876" s="4" t="str">
        <f t="shared" si="116"/>
        <v>DivTD Bank</v>
      </c>
      <c r="V876" s="23">
        <f>IFERROR(IF(AND(AB876&gt;0,B876&lt;&gt;"Sell"),(AA876-SUMIF(C$4:C875,C876,AC$4:AC876))/AB876,0),"")</f>
        <v>-44.29</v>
      </c>
      <c r="W876" s="24" t="str">
        <f t="shared" si="111"/>
        <v/>
      </c>
      <c r="X876" s="25" t="str">
        <f t="shared" si="110"/>
        <v>TD Bank_ACB</v>
      </c>
      <c r="Y876" s="10" t="str">
        <f>IF(S877&lt;&gt;eRRSP_Tx_Table[[#This Row],[Year]],SUMIFS($W$4:$W876,$S$4:$S876,eRRSP_Tx_Table[[#This Row],[Year]],$W$4:$W876,"&gt;0"),"")</f>
        <v/>
      </c>
      <c r="Z876" s="10" t="str">
        <f>IF(S877&lt;&gt;eRRSP_Tx_Table[[#This Row],[Year]],SUMIFS($W$4:$W876,$S$4:$S876,eRRSP_Tx_Table[[#This Row],[Year]],$W$4:$W876,"&lt;0"),"")</f>
        <v/>
      </c>
      <c r="AA876" s="3">
        <f>(SUMIF($U$4:$U876,CONCATENATE("Buy",$C876),$N$4:$N876)+SUMIF($U$4:$U876,CONCATENATE("ReinvDiv",$C876),$N$4:$N876))</f>
        <v>-885.8</v>
      </c>
      <c r="AB876">
        <f>(SUMIF($U$4:$U876,CONCATENATE("Buy",$C876),$F$4:$F876)+SUMIF($U$4:$U876,CONCATENATE("ReinvDiv",$C876),$F$4:$F876)+SUMIF($U$4:$U876,CONCATENATE("StkSplit",$C876),$F$4:$F876)-SUMIF($U$4:$U876,CONCATENATE("Sell",$C876),$F$4:$F876))</f>
        <v>20</v>
      </c>
      <c r="AC876" s="3">
        <f>IF(B876="Sell",F876*INDEX(V:V,LOOKUP(2,1/(X$4:X875=CONCATENATE(C876,"_ACB")),ROW(V$4:V875))),0)</f>
        <v>0</v>
      </c>
    </row>
    <row r="877" spans="1:29" x14ac:dyDescent="0.25">
      <c r="A877" s="20">
        <v>41578</v>
      </c>
      <c r="B877" t="s">
        <v>43</v>
      </c>
      <c r="C877" t="s">
        <v>99</v>
      </c>
      <c r="D877" s="3">
        <v>28.66</v>
      </c>
      <c r="M877" s="21">
        <f t="shared" si="114"/>
        <v>28.66</v>
      </c>
      <c r="N877" s="8">
        <f t="shared" si="112"/>
        <v>28.66</v>
      </c>
      <c r="O877" s="25">
        <f t="shared" si="109"/>
        <v>18436.83999999992</v>
      </c>
      <c r="P877" s="8">
        <f t="shared" si="115"/>
        <v>0</v>
      </c>
      <c r="Q877" s="4">
        <f>IF(AND(S877&gt;=[1]eRRSP_Rpt!$C$6,S877&lt;=[1]eRRSP_Rpt!$C$7),1,0)</f>
        <v>1</v>
      </c>
      <c r="R877" s="4"/>
      <c r="S877" s="4">
        <f t="shared" si="113"/>
        <v>2013</v>
      </c>
      <c r="T877" s="4"/>
      <c r="U877" s="4" t="str">
        <f t="shared" si="116"/>
        <v>IntIncTD INV SAV ACCT  /NL'FRAC</v>
      </c>
      <c r="V877" s="23">
        <f>IFERROR(IF(AND(AB877&gt;0,B877&lt;&gt;"Sell"),(AA877-SUMIF(C$4:C876,C877,AC$4:AC877))/AB877,0),"")</f>
        <v>-10</v>
      </c>
      <c r="W877" s="24" t="str">
        <f t="shared" si="111"/>
        <v/>
      </c>
      <c r="X877" s="25" t="str">
        <f t="shared" si="110"/>
        <v>TD INV SAV ACCT  /NL'FRAC_ACB</v>
      </c>
      <c r="Y877" s="10" t="str">
        <f>IF(S878&lt;&gt;eRRSP_Tx_Table[[#This Row],[Year]],SUMIFS($W$4:$W877,$S$4:$S877,eRRSP_Tx_Table[[#This Row],[Year]],$W$4:$W877,"&gt;0"),"")</f>
        <v/>
      </c>
      <c r="Z877" s="10" t="str">
        <f>IF(S878&lt;&gt;eRRSP_Tx_Table[[#This Row],[Year]],SUMIFS($W$4:$W877,$S$4:$S877,eRRSP_Tx_Table[[#This Row],[Year]],$W$4:$W877,"&lt;0"),"")</f>
        <v/>
      </c>
      <c r="AA877" s="3">
        <f>(SUMIF($U$4:$U877,CONCATENATE("Buy",$C877),$N$4:$N877)+SUMIF($U$4:$U877,CONCATENATE("ReinvDiv",$C877),$N$4:$N877))</f>
        <v>-27000</v>
      </c>
      <c r="AB877">
        <f>(SUMIF($U$4:$U877,CONCATENATE("Buy",$C877),$F$4:$F877)+SUMIF($U$4:$U877,CONCATENATE("ReinvDiv",$C877),$F$4:$F877)+SUMIF($U$4:$U877,CONCATENATE("StkSplit",$C877),$F$4:$F877)-SUMIF($U$4:$U877,CONCATENATE("Sell",$C877),$F$4:$F877))</f>
        <v>2700</v>
      </c>
      <c r="AC877" s="3">
        <f>IF(B877="Sell",F877*INDEX(V:V,LOOKUP(2,1/(X$4:X876=CONCATENATE(C877,"_ACB")),ROW(V$4:V876))),0)</f>
        <v>0</v>
      </c>
    </row>
    <row r="878" spans="1:29" x14ac:dyDescent="0.25">
      <c r="A878" s="20">
        <v>41592</v>
      </c>
      <c r="B878" t="s">
        <v>42</v>
      </c>
      <c r="C878" t="s">
        <v>79</v>
      </c>
      <c r="D878" s="3">
        <v>2.3199999999999998</v>
      </c>
      <c r="M878" s="21">
        <f t="shared" si="114"/>
        <v>2.3199999999999998</v>
      </c>
      <c r="N878" s="8">
        <f t="shared" si="112"/>
        <v>2.3199999999999998</v>
      </c>
      <c r="O878" s="25">
        <f t="shared" si="109"/>
        <v>18439.15999999992</v>
      </c>
      <c r="P878" s="8">
        <f t="shared" si="115"/>
        <v>0</v>
      </c>
      <c r="Q878" s="4">
        <f>IF(AND(S878&gt;=[1]eRRSP_Rpt!$C$6,S878&lt;=[1]eRRSP_Rpt!$C$7),1,0)</f>
        <v>1</v>
      </c>
      <c r="R878" s="4"/>
      <c r="S878" s="4">
        <f t="shared" si="113"/>
        <v>2013</v>
      </c>
      <c r="T878" s="4"/>
      <c r="U878" s="4" t="str">
        <f t="shared" si="116"/>
        <v>DivCentral Fund of Canada</v>
      </c>
      <c r="V878" s="23">
        <f>IFERROR(IF(AND(AB878&gt;0,B878&lt;&gt;"Sell"),(AA878-SUMIF(C$4:C877,C878,AC$4:AC878))/AB878,0),"")</f>
        <v>-10.243200000000002</v>
      </c>
      <c r="W878" s="24" t="str">
        <f t="shared" si="111"/>
        <v/>
      </c>
      <c r="X878" s="25" t="str">
        <f t="shared" si="110"/>
        <v>Central Fund of Canada_ACB</v>
      </c>
      <c r="Y878" s="10" t="str">
        <f>IF(S879&lt;&gt;eRRSP_Tx_Table[[#This Row],[Year]],SUMIFS($W$4:$W878,$S$4:$S878,eRRSP_Tx_Table[[#This Row],[Year]],$W$4:$W878,"&gt;0"),"")</f>
        <v/>
      </c>
      <c r="Z878" s="10" t="str">
        <f>IF(S879&lt;&gt;eRRSP_Tx_Table[[#This Row],[Year]],SUMIFS($W$4:$W878,$S$4:$S878,eRRSP_Tx_Table[[#This Row],[Year]],$W$4:$W878,"&lt;0"),"")</f>
        <v/>
      </c>
      <c r="AA878" s="3">
        <f>(SUMIF($U$4:$U878,CONCATENATE("Buy",$C878),$N$4:$N878)+SUMIF($U$4:$U878,CONCATENATE("ReinvDiv",$C878),$N$4:$N878))</f>
        <v>-2304.7200000000003</v>
      </c>
      <c r="AB878">
        <f>(SUMIF($U$4:$U878,CONCATENATE("Buy",$C878),$F$4:$F878)+SUMIF($U$4:$U878,CONCATENATE("ReinvDiv",$C878),$F$4:$F878)+SUMIF($U$4:$U878,CONCATENATE("StkSplit",$C878),$F$4:$F878)-SUMIF($U$4:$U878,CONCATENATE("Sell",$C878),$F$4:$F878))</f>
        <v>225</v>
      </c>
      <c r="AC878" s="3">
        <f>IF(B878="Sell",F878*INDEX(V:V,LOOKUP(2,1/(X$4:X877=CONCATENATE(C878,"_ACB")),ROW(V$4:V877))),0)</f>
        <v>0</v>
      </c>
    </row>
    <row r="879" spans="1:29" x14ac:dyDescent="0.25">
      <c r="A879" s="20">
        <v>41593</v>
      </c>
      <c r="B879" t="s">
        <v>42</v>
      </c>
      <c r="C879" t="s">
        <v>87</v>
      </c>
      <c r="D879" s="3">
        <v>41.74</v>
      </c>
      <c r="M879" s="21">
        <f t="shared" si="114"/>
        <v>41.74</v>
      </c>
      <c r="N879" s="8">
        <f t="shared" si="112"/>
        <v>41.74</v>
      </c>
      <c r="O879" s="25">
        <f t="shared" si="109"/>
        <v>18480.899999999921</v>
      </c>
      <c r="P879" s="8">
        <f t="shared" si="115"/>
        <v>0</v>
      </c>
      <c r="Q879" s="4">
        <f>IF(AND(S879&gt;=[1]eRRSP_Rpt!$C$6,S879&lt;=[1]eRRSP_Rpt!$C$7),1,0)</f>
        <v>1</v>
      </c>
      <c r="R879" s="4"/>
      <c r="S879" s="4">
        <f t="shared" si="113"/>
        <v>2013</v>
      </c>
      <c r="T879" s="4"/>
      <c r="U879" s="4" t="str">
        <f t="shared" si="116"/>
        <v>DivAberdeen Asia Pacific Income Fund</v>
      </c>
      <c r="V879" s="23">
        <f>IFERROR(IF(AND(AB879&gt;0,B879&lt;&gt;"Sell"),(AA879-SUMIF(C$4:C878,C879,AC$4:AC879))/AB879,0),"")</f>
        <v>-7.4694020797227028</v>
      </c>
      <c r="W879" s="24" t="str">
        <f t="shared" si="111"/>
        <v/>
      </c>
      <c r="X879" s="25" t="str">
        <f t="shared" si="110"/>
        <v>Aberdeen Asia Pacific Income Fund_ACB</v>
      </c>
      <c r="Y879" s="10" t="str">
        <f>IF(S880&lt;&gt;eRRSP_Tx_Table[[#This Row],[Year]],SUMIFS($W$4:$W879,$S$4:$S879,eRRSP_Tx_Table[[#This Row],[Year]],$W$4:$W879,"&gt;0"),"")</f>
        <v/>
      </c>
      <c r="Z879" s="10" t="str">
        <f>IF(S880&lt;&gt;eRRSP_Tx_Table[[#This Row],[Year]],SUMIFS($W$4:$W879,$S$4:$S879,eRRSP_Tx_Table[[#This Row],[Year]],$W$4:$W879,"&lt;0"),"")</f>
        <v/>
      </c>
      <c r="AA879" s="3">
        <f>(SUMIF($U$4:$U879,CONCATENATE("Buy",$C879),$N$4:$N879)+SUMIF($U$4:$U879,CONCATENATE("ReinvDiv",$C879),$N$4:$N879))</f>
        <v>-8619.6899999999987</v>
      </c>
      <c r="AB879">
        <f>(SUMIF($U$4:$U879,CONCATENATE("Buy",$C879),$F$4:$F879)+SUMIF($U$4:$U879,CONCATENATE("ReinvDiv",$C879),$F$4:$F879)+SUMIF($U$4:$U879,CONCATENATE("StkSplit",$C879),$F$4:$F879)-SUMIF($U$4:$U879,CONCATENATE("Sell",$C879),$F$4:$F879))</f>
        <v>1154</v>
      </c>
      <c r="AC879" s="3">
        <f>IF(B879="Sell",F879*INDEX(V:V,LOOKUP(2,1/(X$4:X878=CONCATENATE(C879,"_ACB")),ROW(V$4:V878))),0)</f>
        <v>0</v>
      </c>
    </row>
    <row r="880" spans="1:29" x14ac:dyDescent="0.25">
      <c r="A880" s="20">
        <v>41594</v>
      </c>
      <c r="B880" t="s">
        <v>43</v>
      </c>
      <c r="D880" s="3">
        <v>0.39</v>
      </c>
      <c r="M880" s="21">
        <f t="shared" si="114"/>
        <v>0.39</v>
      </c>
      <c r="N880" s="8">
        <f t="shared" si="112"/>
        <v>0.39</v>
      </c>
      <c r="O880" s="25">
        <f t="shared" si="109"/>
        <v>18481.289999999921</v>
      </c>
      <c r="P880" s="8">
        <f t="shared" si="115"/>
        <v>0</v>
      </c>
      <c r="Q880" s="4">
        <f>IF(AND(S880&gt;=[1]eRRSP_Rpt!$C$6,S880&lt;=[1]eRRSP_Rpt!$C$7),1,0)</f>
        <v>1</v>
      </c>
      <c r="R880" s="4"/>
      <c r="S880" s="4">
        <f t="shared" si="113"/>
        <v>2013</v>
      </c>
      <c r="T880" s="4"/>
      <c r="U880" s="4" t="str">
        <f t="shared" si="116"/>
        <v>IntInc</v>
      </c>
      <c r="V880" s="23">
        <f>IFERROR(IF(AND(AB880&gt;0,B880&lt;&gt;"Sell"),(AA880-SUMIF(C$4:C879,C880,AC$4:AC880))/AB880,0),"")</f>
        <v>0</v>
      </c>
      <c r="W880" s="24" t="str">
        <f t="shared" si="111"/>
        <v/>
      </c>
      <c r="X880" s="25" t="str">
        <f t="shared" si="110"/>
        <v/>
      </c>
      <c r="Y880" s="10" t="str">
        <f>IF(S881&lt;&gt;eRRSP_Tx_Table[[#This Row],[Year]],SUMIFS($W$4:$W880,$S$4:$S880,eRRSP_Tx_Table[[#This Row],[Year]],$W$4:$W880,"&gt;0"),"")</f>
        <v/>
      </c>
      <c r="Z880" s="10" t="str">
        <f>IF(S881&lt;&gt;eRRSP_Tx_Table[[#This Row],[Year]],SUMIFS($W$4:$W880,$S$4:$S880,eRRSP_Tx_Table[[#This Row],[Year]],$W$4:$W880,"&lt;0"),"")</f>
        <v/>
      </c>
      <c r="AA880" s="3">
        <f>(SUMIF($U$4:$U880,CONCATENATE("Buy",$C880),$N$4:$N880)+SUMIF($U$4:$U880,CONCATENATE("ReinvDiv",$C880),$N$4:$N880))</f>
        <v>0</v>
      </c>
      <c r="AB880">
        <f>(SUMIF($U$4:$U880,CONCATENATE("Buy",$C880),$F$4:$F880)+SUMIF($U$4:$U880,CONCATENATE("ReinvDiv",$C880),$F$4:$F880)+SUMIF($U$4:$U880,CONCATENATE("StkSplit",$C880),$F$4:$F880)-SUMIF($U$4:$U880,CONCATENATE("Sell",$C880),$F$4:$F880))</f>
        <v>0</v>
      </c>
      <c r="AC880" s="3">
        <f>IF(B880="Sell",F880*INDEX(V:V,LOOKUP(2,1/(X$4:X879=CONCATENATE(C880,"_ACB")),ROW(V$4:V879))),0)</f>
        <v>0</v>
      </c>
    </row>
    <row r="881" spans="1:29" x14ac:dyDescent="0.25">
      <c r="A881" s="20">
        <v>41600</v>
      </c>
      <c r="B881" t="s">
        <v>30</v>
      </c>
      <c r="C881" t="s">
        <v>31</v>
      </c>
      <c r="D881" s="3">
        <v>2178</v>
      </c>
      <c r="H881" t="s">
        <v>102</v>
      </c>
      <c r="M881" s="21">
        <f t="shared" si="114"/>
        <v>2178</v>
      </c>
      <c r="N881" s="8">
        <f t="shared" si="112"/>
        <v>2178</v>
      </c>
      <c r="O881" s="25">
        <f t="shared" si="109"/>
        <v>20659.289999999921</v>
      </c>
      <c r="P881" s="8">
        <f t="shared" si="115"/>
        <v>2178</v>
      </c>
      <c r="Q881" s="4">
        <f>IF(AND(S881&gt;=[1]eRRSP_Rpt!$C$6,S881&lt;=[1]eRRSP_Rpt!$C$7),1,0)</f>
        <v>1</v>
      </c>
      <c r="R881" s="4"/>
      <c r="S881" s="4">
        <f t="shared" si="113"/>
        <v>2013</v>
      </c>
      <c r="T881" s="4"/>
      <c r="U881" s="4" t="str">
        <f t="shared" si="116"/>
        <v>CashContribution</v>
      </c>
      <c r="V881" s="23">
        <f>IFERROR(IF(AND(AB881&gt;0,B881&lt;&gt;"Sell"),(AA881-SUMIF(C$4:C880,C881,AC$4:AC881))/AB881,0),"")</f>
        <v>0</v>
      </c>
      <c r="W881" s="24" t="str">
        <f t="shared" si="111"/>
        <v/>
      </c>
      <c r="X881" s="25" t="str">
        <f t="shared" si="110"/>
        <v/>
      </c>
      <c r="Y881" s="10" t="str">
        <f>IF(S882&lt;&gt;eRRSP_Tx_Table[[#This Row],[Year]],SUMIFS($W$4:$W881,$S$4:$S881,eRRSP_Tx_Table[[#This Row],[Year]],$W$4:$W881,"&gt;0"),"")</f>
        <v/>
      </c>
      <c r="Z881" s="10" t="str">
        <f>IF(S882&lt;&gt;eRRSP_Tx_Table[[#This Row],[Year]],SUMIFS($W$4:$W881,$S$4:$S881,eRRSP_Tx_Table[[#This Row],[Year]],$W$4:$W881,"&lt;0"),"")</f>
        <v/>
      </c>
      <c r="AA881" s="3">
        <f>(SUMIF($U$4:$U881,CONCATENATE("Buy",$C881),$N$4:$N881)+SUMIF($U$4:$U881,CONCATENATE("ReinvDiv",$C881),$N$4:$N881))</f>
        <v>0</v>
      </c>
      <c r="AB881">
        <f>(SUMIF($U$4:$U881,CONCATENATE("Buy",$C881),$F$4:$F881)+SUMIF($U$4:$U881,CONCATENATE("ReinvDiv",$C881),$F$4:$F881)+SUMIF($U$4:$U881,CONCATENATE("StkSplit",$C881),$F$4:$F881)-SUMIF($U$4:$U881,CONCATENATE("Sell",$C881),$F$4:$F881))</f>
        <v>0</v>
      </c>
      <c r="AC881" s="3">
        <f>IF(B881="Sell",F881*INDEX(V:V,LOOKUP(2,1/(X$4:X880=CONCATENATE(C881,"_ACB")),ROW(V$4:V880))),0)</f>
        <v>0</v>
      </c>
    </row>
    <row r="882" spans="1:29" x14ac:dyDescent="0.25">
      <c r="A882" s="20">
        <v>41607</v>
      </c>
      <c r="B882" t="s">
        <v>43</v>
      </c>
      <c r="C882" t="s">
        <v>99</v>
      </c>
      <c r="D882" s="3">
        <v>28.66</v>
      </c>
      <c r="M882" s="21">
        <f t="shared" si="114"/>
        <v>28.66</v>
      </c>
      <c r="N882" s="8">
        <f t="shared" si="112"/>
        <v>28.66</v>
      </c>
      <c r="O882" s="25">
        <f t="shared" si="109"/>
        <v>20687.949999999921</v>
      </c>
      <c r="P882" s="8">
        <f t="shared" si="115"/>
        <v>0</v>
      </c>
      <c r="Q882" s="4">
        <f>IF(AND(S882&gt;=[1]eRRSP_Rpt!$C$6,S882&lt;=[1]eRRSP_Rpt!$C$7),1,0)</f>
        <v>1</v>
      </c>
      <c r="R882" s="4"/>
      <c r="S882" s="4">
        <f t="shared" si="113"/>
        <v>2013</v>
      </c>
      <c r="T882" s="4"/>
      <c r="U882" s="4" t="str">
        <f t="shared" si="116"/>
        <v>IntIncTD INV SAV ACCT  /NL'FRAC</v>
      </c>
      <c r="V882" s="23">
        <f>IFERROR(IF(AND(AB882&gt;0,B882&lt;&gt;"Sell"),(AA882-SUMIF(C$4:C881,C882,AC$4:AC882))/AB882,0),"")</f>
        <v>-10</v>
      </c>
      <c r="W882" s="24" t="str">
        <f t="shared" si="111"/>
        <v/>
      </c>
      <c r="X882" s="25" t="str">
        <f t="shared" si="110"/>
        <v>TD INV SAV ACCT  /NL'FRAC_ACB</v>
      </c>
      <c r="Y882" s="10" t="str">
        <f>IF(S883&lt;&gt;eRRSP_Tx_Table[[#This Row],[Year]],SUMIFS($W$4:$W882,$S$4:$S882,eRRSP_Tx_Table[[#This Row],[Year]],$W$4:$W882,"&gt;0"),"")</f>
        <v/>
      </c>
      <c r="Z882" s="10" t="str">
        <f>IF(S883&lt;&gt;eRRSP_Tx_Table[[#This Row],[Year]],SUMIFS($W$4:$W882,$S$4:$S882,eRRSP_Tx_Table[[#This Row],[Year]],$W$4:$W882,"&lt;0"),"")</f>
        <v/>
      </c>
      <c r="AA882" s="3">
        <f>(SUMIF($U$4:$U882,CONCATENATE("Buy",$C882),$N$4:$N882)+SUMIF($U$4:$U882,CONCATENATE("ReinvDiv",$C882),$N$4:$N882))</f>
        <v>-27000</v>
      </c>
      <c r="AB882">
        <f>(SUMIF($U$4:$U882,CONCATENATE("Buy",$C882),$F$4:$F882)+SUMIF($U$4:$U882,CONCATENATE("ReinvDiv",$C882),$F$4:$F882)+SUMIF($U$4:$U882,CONCATENATE("StkSplit",$C882),$F$4:$F882)-SUMIF($U$4:$U882,CONCATENATE("Sell",$C882),$F$4:$F882))</f>
        <v>2700</v>
      </c>
      <c r="AC882" s="3">
        <f>IF(B882="Sell",F882*INDEX(V:V,LOOKUP(2,1/(X$4:X881=CONCATENATE(C882,"_ACB")),ROW(V$4:V881))),0)</f>
        <v>0</v>
      </c>
    </row>
    <row r="883" spans="1:29" x14ac:dyDescent="0.25">
      <c r="A883" s="20">
        <v>41609</v>
      </c>
      <c r="B883" t="s">
        <v>42</v>
      </c>
      <c r="C883" t="s">
        <v>33</v>
      </c>
      <c r="D883" s="3">
        <v>108.99</v>
      </c>
      <c r="M883" s="21">
        <f t="shared" si="114"/>
        <v>108.99</v>
      </c>
      <c r="N883" s="8">
        <f t="shared" si="112"/>
        <v>108.99</v>
      </c>
      <c r="O883" s="25">
        <f t="shared" si="109"/>
        <v>20796.939999999922</v>
      </c>
      <c r="P883" s="8">
        <f t="shared" si="115"/>
        <v>0</v>
      </c>
      <c r="Q883" s="4">
        <f>IF(AND(S883&gt;=[1]eRRSP_Rpt!$C$6,S883&lt;=[1]eRRSP_Rpt!$C$7),1,0)</f>
        <v>1</v>
      </c>
      <c r="R883" s="4"/>
      <c r="S883" s="4">
        <f t="shared" si="113"/>
        <v>2013</v>
      </c>
      <c r="T883" s="4"/>
      <c r="U883" s="4" t="str">
        <f t="shared" si="116"/>
        <v>DivEnbridge</v>
      </c>
      <c r="V883" s="23">
        <f>IFERROR(IF(AND(AB883&gt;0,B883&lt;&gt;"Sell"),(AA883-SUMIF(C$4:C882,C883,AC$4:AC883))/AB883,0),"")</f>
        <v>-16.981789097623633</v>
      </c>
      <c r="W883" s="24" t="str">
        <f t="shared" si="111"/>
        <v/>
      </c>
      <c r="X883" s="25" t="str">
        <f t="shared" si="110"/>
        <v>Enbridge_ACB</v>
      </c>
      <c r="Y883" s="10" t="str">
        <f>IF(S884&lt;&gt;eRRSP_Tx_Table[[#This Row],[Year]],SUMIFS($W$4:$W883,$S$4:$S883,eRRSP_Tx_Table[[#This Row],[Year]],$W$4:$W883,"&gt;0"),"")</f>
        <v/>
      </c>
      <c r="Z883" s="10" t="str">
        <f>IF(S884&lt;&gt;eRRSP_Tx_Table[[#This Row],[Year]],SUMIFS($W$4:$W883,$S$4:$S883,eRRSP_Tx_Table[[#This Row],[Year]],$W$4:$W883,"&lt;0"),"")</f>
        <v/>
      </c>
      <c r="AA883" s="3">
        <f>(SUMIF($U$4:$U883,CONCATENATE("Buy",$C883),$N$4:$N883)+SUMIF($U$4:$U883,CONCATENATE("ReinvDiv",$C883),$N$4:$N883))</f>
        <v>-6788.69</v>
      </c>
      <c r="AB883">
        <f>(SUMIF($U$4:$U883,CONCATENATE("Buy",$C883),$F$4:$F883)+SUMIF($U$4:$U883,CONCATENATE("ReinvDiv",$C883),$F$4:$F883)+SUMIF($U$4:$U883,CONCATENATE("StkSplit",$C883),$F$4:$F883)-SUMIF($U$4:$U883,CONCATENATE("Sell",$C883),$F$4:$F883))</f>
        <v>346</v>
      </c>
      <c r="AC883" s="3">
        <f>IF(B883="Sell",F883*INDEX(V:V,LOOKUP(2,1/(X$4:X882=CONCATENATE(C883,"_ACB")),ROW(V$4:V882))),0)</f>
        <v>0</v>
      </c>
    </row>
    <row r="884" spans="1:29" x14ac:dyDescent="0.25">
      <c r="A884" s="20">
        <v>41609</v>
      </c>
      <c r="B884" t="s">
        <v>40</v>
      </c>
      <c r="C884" t="s">
        <v>33</v>
      </c>
      <c r="D884" s="3">
        <v>15089.45</v>
      </c>
      <c r="E884">
        <v>43.64</v>
      </c>
      <c r="F884" s="3">
        <v>346</v>
      </c>
      <c r="G884">
        <v>9.99</v>
      </c>
      <c r="M884" s="21">
        <f t="shared" si="114"/>
        <v>15099.44</v>
      </c>
      <c r="N884" s="8">
        <f t="shared" si="112"/>
        <v>15089.45</v>
      </c>
      <c r="O884" s="25">
        <f t="shared" si="109"/>
        <v>35886.389999999927</v>
      </c>
      <c r="P884" s="8">
        <f t="shared" si="115"/>
        <v>0</v>
      </c>
      <c r="Q884" s="4">
        <f>IF(AND(S884&gt;=[1]eRRSP_Rpt!$C$6,S884&lt;=[1]eRRSP_Rpt!$C$7),1,0)</f>
        <v>1</v>
      </c>
      <c r="R884" s="4"/>
      <c r="S884" s="4">
        <f t="shared" si="113"/>
        <v>2013</v>
      </c>
      <c r="T884" s="4"/>
      <c r="U884" s="4" t="str">
        <f t="shared" si="116"/>
        <v>SellEnbridge</v>
      </c>
      <c r="V884" s="23">
        <f>IFERROR(IF(AND(AB884&gt;0,B884&lt;&gt;"Sell"),(AA884-SUMIF(C$4:C883,C884,AC$4:AC884))/AB884,0),"")</f>
        <v>0</v>
      </c>
      <c r="W884" s="24">
        <f t="shared" si="111"/>
        <v>9213.7509722222239</v>
      </c>
      <c r="X884" s="25" t="str">
        <f t="shared" si="110"/>
        <v/>
      </c>
      <c r="Y884" s="10" t="str">
        <f>IF(S885&lt;&gt;eRRSP_Tx_Table[[#This Row],[Year]],SUMIFS($W$4:$W884,$S$4:$S884,eRRSP_Tx_Table[[#This Row],[Year]],$W$4:$W884,"&gt;0"),"")</f>
        <v/>
      </c>
      <c r="Z884" s="10" t="str">
        <f>IF(S885&lt;&gt;eRRSP_Tx_Table[[#This Row],[Year]],SUMIFS($W$4:$W884,$S$4:$S884,eRRSP_Tx_Table[[#This Row],[Year]],$W$4:$W884,"&lt;0"),"")</f>
        <v/>
      </c>
      <c r="AA884" s="3">
        <f>(SUMIF($U$4:$U884,CONCATENATE("Buy",$C884),$N$4:$N884)+SUMIF($U$4:$U884,CONCATENATE("ReinvDiv",$C884),$N$4:$N884))</f>
        <v>-6788.69</v>
      </c>
      <c r="AB884">
        <f>(SUMIF($U$4:$U884,CONCATENATE("Buy",$C884),$F$4:$F884)+SUMIF($U$4:$U884,CONCATENATE("ReinvDiv",$C884),$F$4:$F884)+SUMIF($U$4:$U884,CONCATENATE("StkSplit",$C884),$F$4:$F884)-SUMIF($U$4:$U884,CONCATENATE("Sell",$C884),$F$4:$F884))</f>
        <v>0</v>
      </c>
      <c r="AC884" s="3">
        <f>IF(B884="Sell",F884*INDEX(V:V,LOOKUP(2,1/(X$4:X883=CONCATENATE(C884,"_ACB")),ROW(V$4:V883))),0)</f>
        <v>-5875.6990277777768</v>
      </c>
    </row>
    <row r="885" spans="1:29" x14ac:dyDescent="0.25">
      <c r="A885" s="20">
        <v>41621</v>
      </c>
      <c r="B885" t="s">
        <v>42</v>
      </c>
      <c r="C885" t="s">
        <v>87</v>
      </c>
      <c r="D885" s="3">
        <v>42.35</v>
      </c>
      <c r="M885" s="21">
        <f t="shared" si="114"/>
        <v>42.35</v>
      </c>
      <c r="N885" s="8">
        <f t="shared" si="112"/>
        <v>42.35</v>
      </c>
      <c r="O885" s="25">
        <f t="shared" si="109"/>
        <v>35928.739999999925</v>
      </c>
      <c r="P885" s="8">
        <f t="shared" si="115"/>
        <v>0</v>
      </c>
      <c r="Q885" s="4">
        <f>IF(AND(S885&gt;=[1]eRRSP_Rpt!$C$6,S885&lt;=[1]eRRSP_Rpt!$C$7),1,0)</f>
        <v>1</v>
      </c>
      <c r="R885" s="4"/>
      <c r="S885" s="4">
        <f t="shared" si="113"/>
        <v>2013</v>
      </c>
      <c r="T885" s="4"/>
      <c r="U885" s="4" t="str">
        <f t="shared" si="116"/>
        <v>DivAberdeen Asia Pacific Income Fund</v>
      </c>
      <c r="V885" s="23">
        <f>IFERROR(IF(AND(AB885&gt;0,B885&lt;&gt;"Sell"),(AA885-SUMIF(C$4:C884,C885,AC$4:AC885))/AB885,0),"")</f>
        <v>-7.4694020797227028</v>
      </c>
      <c r="W885" s="24" t="str">
        <f t="shared" si="111"/>
        <v/>
      </c>
      <c r="X885" s="25" t="str">
        <f t="shared" si="110"/>
        <v>Aberdeen Asia Pacific Income Fund_ACB</v>
      </c>
      <c r="Y885" s="10" t="str">
        <f>IF(S886&lt;&gt;eRRSP_Tx_Table[[#This Row],[Year]],SUMIFS($W$4:$W885,$S$4:$S885,eRRSP_Tx_Table[[#This Row],[Year]],$W$4:$W885,"&gt;0"),"")</f>
        <v/>
      </c>
      <c r="Z885" s="10" t="str">
        <f>IF(S886&lt;&gt;eRRSP_Tx_Table[[#This Row],[Year]],SUMIFS($W$4:$W885,$S$4:$S885,eRRSP_Tx_Table[[#This Row],[Year]],$W$4:$W885,"&lt;0"),"")</f>
        <v/>
      </c>
      <c r="AA885" s="3">
        <f>(SUMIF($U$4:$U885,CONCATENATE("Buy",$C885),$N$4:$N885)+SUMIF($U$4:$U885,CONCATENATE("ReinvDiv",$C885),$N$4:$N885))</f>
        <v>-8619.6899999999987</v>
      </c>
      <c r="AB885">
        <f>(SUMIF($U$4:$U885,CONCATENATE("Buy",$C885),$F$4:$F885)+SUMIF($U$4:$U885,CONCATENATE("ReinvDiv",$C885),$F$4:$F885)+SUMIF($U$4:$U885,CONCATENATE("StkSplit",$C885),$F$4:$F885)-SUMIF($U$4:$U885,CONCATENATE("Sell",$C885),$F$4:$F885))</f>
        <v>1154</v>
      </c>
      <c r="AC885" s="3">
        <f>IF(B885="Sell",F885*INDEX(V:V,LOOKUP(2,1/(X$4:X884=CONCATENATE(C885,"_ACB")),ROW(V$4:V884))),0)</f>
        <v>0</v>
      </c>
    </row>
    <row r="886" spans="1:29" x14ac:dyDescent="0.25">
      <c r="A886" s="20">
        <v>41621</v>
      </c>
      <c r="B886" t="s">
        <v>41</v>
      </c>
      <c r="C886" t="s">
        <v>96</v>
      </c>
      <c r="D886" s="3">
        <v>415.47</v>
      </c>
      <c r="E886">
        <v>21.270199999999999</v>
      </c>
      <c r="F886" s="3">
        <v>19.533000000000001</v>
      </c>
      <c r="M886" s="21">
        <f t="shared" si="114"/>
        <v>415.47</v>
      </c>
      <c r="N886" s="8">
        <f t="shared" si="112"/>
        <v>-415.47</v>
      </c>
      <c r="O886" s="25">
        <f t="shared" si="109"/>
        <v>35928.739999999925</v>
      </c>
      <c r="P886" s="8">
        <f t="shared" si="115"/>
        <v>0</v>
      </c>
      <c r="Q886" s="4">
        <f>IF(AND(S886&gt;=[1]eRRSP_Rpt!$C$6,S886&lt;=[1]eRRSP_Rpt!$C$7),1,0)</f>
        <v>1</v>
      </c>
      <c r="R886" s="4"/>
      <c r="S886" s="4">
        <f t="shared" si="113"/>
        <v>2013</v>
      </c>
      <c r="T886" s="4"/>
      <c r="U886" s="4" t="str">
        <f t="shared" si="116"/>
        <v>ReinvDivTD Canadian Index - e</v>
      </c>
      <c r="V886" s="23">
        <f>IFERROR(IF(AND(AB886&gt;0,B886&lt;&gt;"Sell"),(AA886-SUMIF(C$4:C885,C886,AC$4:AC886))/AB886,0),"")</f>
        <v>-19.544900845286609</v>
      </c>
      <c r="W886" s="24" t="str">
        <f t="shared" si="111"/>
        <v/>
      </c>
      <c r="X886" s="25" t="str">
        <f t="shared" si="110"/>
        <v>TD Canadian Index - e_ACB</v>
      </c>
      <c r="Y886" s="10" t="str">
        <f>IF(S887&lt;&gt;eRRSP_Tx_Table[[#This Row],[Year]],SUMIFS($W$4:$W886,$S$4:$S886,eRRSP_Tx_Table[[#This Row],[Year]],$W$4:$W886,"&gt;0"),"")</f>
        <v/>
      </c>
      <c r="Z886" s="10" t="str">
        <f>IF(S887&lt;&gt;eRRSP_Tx_Table[[#This Row],[Year]],SUMIFS($W$4:$W886,$S$4:$S886,eRRSP_Tx_Table[[#This Row],[Year]],$W$4:$W886,"&lt;0"),"")</f>
        <v/>
      </c>
      <c r="AA886" s="3">
        <f>(SUMIF($U$4:$U886,CONCATENATE("Buy",$C886),$N$4:$N886)+SUMIF($U$4:$U886,CONCATENATE("ReinvDiv",$C886),$N$4:$N886))</f>
        <v>-16349.72</v>
      </c>
      <c r="AB886">
        <f>(SUMIF($U$4:$U886,CONCATENATE("Buy",$C886),$F$4:$F886)+SUMIF($U$4:$U886,CONCATENATE("ReinvDiv",$C886),$F$4:$F886)+SUMIF($U$4:$U886,CONCATENATE("StkSplit",$C886),$F$4:$F886)-SUMIF($U$4:$U886,CONCATENATE("Sell",$C886),$F$4:$F886))</f>
        <v>836.52099999999996</v>
      </c>
      <c r="AC886" s="3">
        <f>IF(B886="Sell",F886*INDEX(V:V,LOOKUP(2,1/(X$4:X885=CONCATENATE(C886,"_ACB")),ROW(V$4:V885))),0)</f>
        <v>0</v>
      </c>
    </row>
    <row r="887" spans="1:29" x14ac:dyDescent="0.25">
      <c r="A887" s="20">
        <v>41621</v>
      </c>
      <c r="B887" t="s">
        <v>41</v>
      </c>
      <c r="C887" t="s">
        <v>97</v>
      </c>
      <c r="D887" s="3">
        <v>173.09</v>
      </c>
      <c r="E887">
        <f>eRRSP_Tx_Table[[#This Row],[Amount]]/eRRSP_Tx_Table[[#This Row],[Quantity]]</f>
        <v>10.67007767229688</v>
      </c>
      <c r="F887" s="3">
        <v>16.222000000000001</v>
      </c>
      <c r="M887" s="21">
        <f t="shared" si="114"/>
        <v>173.09</v>
      </c>
      <c r="N887" s="8">
        <f t="shared" si="112"/>
        <v>-173.09</v>
      </c>
      <c r="O887" s="25">
        <f t="shared" si="109"/>
        <v>35928.739999999925</v>
      </c>
      <c r="P887" s="8">
        <f t="shared" si="115"/>
        <v>0</v>
      </c>
      <c r="Q887" s="4">
        <f>IF(AND(S887&gt;=[1]eRRSP_Rpt!$C$6,S887&lt;=[1]eRRSP_Rpt!$C$7),1,0)</f>
        <v>1</v>
      </c>
      <c r="R887" s="4"/>
      <c r="S887" s="4">
        <f t="shared" si="113"/>
        <v>2013</v>
      </c>
      <c r="T887" s="4"/>
      <c r="U887" s="4" t="str">
        <f t="shared" si="116"/>
        <v>ReinvDivTD International Index - e</v>
      </c>
      <c r="V887" s="23">
        <f>IFERROR(IF(AND(AB887&gt;0,B887&lt;&gt;"Sell"),(AA887-SUMIF(C$4:C886,C887,AC$4:AC887))/AB887,0),"")</f>
        <v>-8.3771561080192711</v>
      </c>
      <c r="W887" s="24" t="str">
        <f t="shared" si="111"/>
        <v/>
      </c>
      <c r="X887" s="25" t="str">
        <f t="shared" si="110"/>
        <v>TD International Index - e_ACB</v>
      </c>
      <c r="Y887" s="10" t="str">
        <f>IF(S888&lt;&gt;eRRSP_Tx_Table[[#This Row],[Year]],SUMIFS($W$4:$W887,$S$4:$S887,eRRSP_Tx_Table[[#This Row],[Year]],$W$4:$W887,"&gt;0"),"")</f>
        <v/>
      </c>
      <c r="Z887" s="10" t="str">
        <f>IF(S888&lt;&gt;eRRSP_Tx_Table[[#This Row],[Year]],SUMIFS($W$4:$W887,$S$4:$S887,eRRSP_Tx_Table[[#This Row],[Year]],$W$4:$W887,"&lt;0"),"")</f>
        <v/>
      </c>
      <c r="AA887" s="3">
        <f>(SUMIF($U$4:$U887,CONCATENATE("Buy",$C887),$N$4:$N887)+SUMIF($U$4:$U887,CONCATENATE("ReinvDiv",$C887),$N$4:$N887))</f>
        <v>-29543.439999999999</v>
      </c>
      <c r="AB887">
        <f>(SUMIF($U$4:$U887,CONCATENATE("Buy",$C887),$F$4:$F887)+SUMIF($U$4:$U887,CONCATENATE("ReinvDiv",$C887),$F$4:$F887)+SUMIF($U$4:$U887,CONCATENATE("StkSplit",$C887),$F$4:$F887)-SUMIF($U$4:$U887,CONCATENATE("Sell",$C887),$F$4:$F887))</f>
        <v>3526.6669999999999</v>
      </c>
      <c r="AC887" s="3">
        <f>IF(B887="Sell",F887*INDEX(V:V,LOOKUP(2,1/(X$4:X886=CONCATENATE(C887,"_ACB")),ROW(V$4:V886))),0)</f>
        <v>0</v>
      </c>
    </row>
    <row r="888" spans="1:29" x14ac:dyDescent="0.25">
      <c r="A888" s="20">
        <v>41624</v>
      </c>
      <c r="B888" t="s">
        <v>40</v>
      </c>
      <c r="C888" t="s">
        <v>87</v>
      </c>
      <c r="D888" s="3">
        <v>7118.14</v>
      </c>
      <c r="E888">
        <v>6.1742999999999997</v>
      </c>
      <c r="F888" s="3">
        <v>1154</v>
      </c>
      <c r="G888">
        <v>7</v>
      </c>
      <c r="M888" s="21">
        <f t="shared" si="114"/>
        <v>7125.14</v>
      </c>
      <c r="N888" s="8">
        <f t="shared" si="112"/>
        <v>7118.14</v>
      </c>
      <c r="O888" s="25">
        <f t="shared" si="109"/>
        <v>43046.879999999925</v>
      </c>
      <c r="P888" s="8">
        <f t="shared" si="115"/>
        <v>0</v>
      </c>
      <c r="Q888" s="4">
        <f>IF(AND(S888&gt;=[1]eRRSP_Rpt!$C$6,S888&lt;=[1]eRRSP_Rpt!$C$7),1,0)</f>
        <v>1</v>
      </c>
      <c r="R888" s="4"/>
      <c r="S888" s="4">
        <f t="shared" si="113"/>
        <v>2013</v>
      </c>
      <c r="T888" s="4"/>
      <c r="U888" s="4" t="str">
        <f t="shared" si="116"/>
        <v>SellAberdeen Asia Pacific Income Fund</v>
      </c>
      <c r="V888" s="23">
        <f>IFERROR(IF(AND(AB888&gt;0,B888&lt;&gt;"Sell"),(AA888-SUMIF(C$4:C887,C888,AC$4:AC888))/AB888,0),"")</f>
        <v>0</v>
      </c>
      <c r="W888" s="24">
        <f t="shared" si="111"/>
        <v>-1501.5499999999984</v>
      </c>
      <c r="X888" s="25" t="str">
        <f t="shared" si="110"/>
        <v/>
      </c>
      <c r="Y888" s="10" t="str">
        <f>IF(S889&lt;&gt;eRRSP_Tx_Table[[#This Row],[Year]],SUMIFS($W$4:$W888,$S$4:$S888,eRRSP_Tx_Table[[#This Row],[Year]],$W$4:$W888,"&gt;0"),"")</f>
        <v/>
      </c>
      <c r="Z888" s="10" t="str">
        <f>IF(S889&lt;&gt;eRRSP_Tx_Table[[#This Row],[Year]],SUMIFS($W$4:$W888,$S$4:$S888,eRRSP_Tx_Table[[#This Row],[Year]],$W$4:$W888,"&lt;0"),"")</f>
        <v/>
      </c>
      <c r="AA888" s="3">
        <f>(SUMIF($U$4:$U888,CONCATENATE("Buy",$C888),$N$4:$N888)+SUMIF($U$4:$U888,CONCATENATE("ReinvDiv",$C888),$N$4:$N888))</f>
        <v>-8619.6899999999987</v>
      </c>
      <c r="AB888">
        <f>(SUMIF($U$4:$U888,CONCATENATE("Buy",$C888),$F$4:$F888)+SUMIF($U$4:$U888,CONCATENATE("ReinvDiv",$C888),$F$4:$F888)+SUMIF($U$4:$U888,CONCATENATE("StkSplit",$C888),$F$4:$F888)-SUMIF($U$4:$U888,CONCATENATE("Sell",$C888),$F$4:$F888))</f>
        <v>0</v>
      </c>
      <c r="AC888" s="3">
        <f>IF(B888="Sell",F888*INDEX(V:V,LOOKUP(2,1/(X$4:X887=CONCATENATE(C888,"_ACB")),ROW(V$4:V887))),0)</f>
        <v>-8619.6899999999987</v>
      </c>
    </row>
    <row r="889" spans="1:29" x14ac:dyDescent="0.25">
      <c r="A889" s="20">
        <v>41624</v>
      </c>
      <c r="B889" t="s">
        <v>43</v>
      </c>
      <c r="D889" s="3">
        <v>0.52</v>
      </c>
      <c r="M889" s="21">
        <f t="shared" si="114"/>
        <v>0.52</v>
      </c>
      <c r="N889" s="8">
        <f t="shared" si="112"/>
        <v>0.52</v>
      </c>
      <c r="O889" s="25">
        <f t="shared" si="109"/>
        <v>43047.399999999921</v>
      </c>
      <c r="P889" s="8">
        <f t="shared" si="115"/>
        <v>0</v>
      </c>
      <c r="Q889" s="4">
        <f>IF(AND(S889&gt;=[1]eRRSP_Rpt!$C$6,S889&lt;=[1]eRRSP_Rpt!$C$7),1,0)</f>
        <v>1</v>
      </c>
      <c r="R889" s="4"/>
      <c r="S889" s="4">
        <f t="shared" si="113"/>
        <v>2013</v>
      </c>
      <c r="T889" s="4"/>
      <c r="U889" s="4" t="str">
        <f t="shared" si="116"/>
        <v>IntInc</v>
      </c>
      <c r="V889" s="23">
        <f>IFERROR(IF(AND(AB889&gt;0,B889&lt;&gt;"Sell"),(AA889-SUMIF(C$4:C888,C889,AC$4:AC889))/AB889,0),"")</f>
        <v>0</v>
      </c>
      <c r="W889" s="24" t="str">
        <f t="shared" si="111"/>
        <v/>
      </c>
      <c r="X889" s="25" t="str">
        <f t="shared" si="110"/>
        <v/>
      </c>
      <c r="Y889" s="10" t="str">
        <f>IF(S890&lt;&gt;eRRSP_Tx_Table[[#This Row],[Year]],SUMIFS($W$4:$W889,$S$4:$S889,eRRSP_Tx_Table[[#This Row],[Year]],$W$4:$W889,"&gt;0"),"")</f>
        <v/>
      </c>
      <c r="Z889" s="10" t="str">
        <f>IF(S890&lt;&gt;eRRSP_Tx_Table[[#This Row],[Year]],SUMIFS($W$4:$W889,$S$4:$S889,eRRSP_Tx_Table[[#This Row],[Year]],$W$4:$W889,"&lt;0"),"")</f>
        <v/>
      </c>
      <c r="AA889" s="3">
        <f>(SUMIF($U$4:$U889,CONCATENATE("Buy",$C889),$N$4:$N889)+SUMIF($U$4:$U889,CONCATENATE("ReinvDiv",$C889),$N$4:$N889))</f>
        <v>0</v>
      </c>
      <c r="AB889">
        <f>(SUMIF($U$4:$U889,CONCATENATE("Buy",$C889),$F$4:$F889)+SUMIF($U$4:$U889,CONCATENATE("ReinvDiv",$C889),$F$4:$F889)+SUMIF($U$4:$U889,CONCATENATE("StkSplit",$C889),$F$4:$F889)-SUMIF($U$4:$U889,CONCATENATE("Sell",$C889),$F$4:$F889))</f>
        <v>0</v>
      </c>
      <c r="AC889" s="3">
        <f>IF(B889="Sell",F889*INDEX(V:V,LOOKUP(2,1/(X$4:X888=CONCATENATE(C889,"_ACB")),ROW(V$4:V888))),0)</f>
        <v>0</v>
      </c>
    </row>
    <row r="890" spans="1:29" x14ac:dyDescent="0.25">
      <c r="A890" s="20">
        <v>41624</v>
      </c>
      <c r="B890" t="s">
        <v>40</v>
      </c>
      <c r="C890" t="s">
        <v>47</v>
      </c>
      <c r="D890" s="3">
        <v>131</v>
      </c>
      <c r="E890">
        <v>4.5999999999999996</v>
      </c>
      <c r="F890" s="3">
        <v>30</v>
      </c>
      <c r="G890">
        <v>7</v>
      </c>
      <c r="M890" s="21">
        <f t="shared" si="114"/>
        <v>138</v>
      </c>
      <c r="N890" s="8">
        <f t="shared" si="112"/>
        <v>131</v>
      </c>
      <c r="O890" s="25">
        <f t="shared" si="109"/>
        <v>43178.399999999921</v>
      </c>
      <c r="P890" s="8">
        <f t="shared" si="115"/>
        <v>0</v>
      </c>
      <c r="Q890" s="4">
        <f>IF(AND(S890&gt;=[1]eRRSP_Rpt!$C$6,S890&lt;=[1]eRRSP_Rpt!$C$7),1,0)</f>
        <v>1</v>
      </c>
      <c r="R890" s="4"/>
      <c r="S890" s="4">
        <f t="shared" si="113"/>
        <v>2013</v>
      </c>
      <c r="T890" s="4"/>
      <c r="U890" s="4" t="str">
        <f t="shared" si="116"/>
        <v>SellBombardier</v>
      </c>
      <c r="V890" s="23">
        <f>IFERROR(IF(AND(AB890&gt;0,B890&lt;&gt;"Sell"),(AA890-SUMIF(C$4:C889,C890,AC$4:AC890))/AB890,0),"")</f>
        <v>0</v>
      </c>
      <c r="W890" s="24">
        <f t="shared" si="111"/>
        <v>-565.5</v>
      </c>
      <c r="X890" s="25" t="str">
        <f t="shared" si="110"/>
        <v/>
      </c>
      <c r="Y890" s="10" t="str">
        <f>IF(S891&lt;&gt;eRRSP_Tx_Table[[#This Row],[Year]],SUMIFS($W$4:$W890,$S$4:$S890,eRRSP_Tx_Table[[#This Row],[Year]],$W$4:$W890,"&gt;0"),"")</f>
        <v/>
      </c>
      <c r="Z890" s="10" t="str">
        <f>IF(S891&lt;&gt;eRRSP_Tx_Table[[#This Row],[Year]],SUMIFS($W$4:$W890,$S$4:$S890,eRRSP_Tx_Table[[#This Row],[Year]],$W$4:$W890,"&lt;0"),"")</f>
        <v/>
      </c>
      <c r="AA890" s="3">
        <f>(SUMIF($U$4:$U890,CONCATENATE("Buy",$C890),$N$4:$N890)+SUMIF($U$4:$U890,CONCATENATE("ReinvDiv",$C890),$N$4:$N890))</f>
        <v>-696.5</v>
      </c>
      <c r="AB890">
        <f>(SUMIF($U$4:$U890,CONCATENATE("Buy",$C890),$F$4:$F890)+SUMIF($U$4:$U890,CONCATENATE("ReinvDiv",$C890),$F$4:$F890)+SUMIF($U$4:$U890,CONCATENATE("StkSplit",$C890),$F$4:$F890)-SUMIF($U$4:$U890,CONCATENATE("Sell",$C890),$F$4:$F890))</f>
        <v>0</v>
      </c>
      <c r="AC890" s="3">
        <f>IF(B890="Sell",F890*INDEX(V:V,LOOKUP(2,1/(X$4:X889=CONCATENATE(C890,"_ACB")),ROW(V$4:V889))),0)</f>
        <v>-696.5</v>
      </c>
    </row>
    <row r="891" spans="1:29" x14ac:dyDescent="0.25">
      <c r="A891" s="20">
        <v>41624</v>
      </c>
      <c r="B891" t="s">
        <v>40</v>
      </c>
      <c r="C891" t="s">
        <v>45</v>
      </c>
      <c r="D891" s="3">
        <v>1899</v>
      </c>
      <c r="E891">
        <v>95.3</v>
      </c>
      <c r="F891" s="3">
        <v>20</v>
      </c>
      <c r="G891">
        <v>7</v>
      </c>
      <c r="M891" s="21">
        <f t="shared" si="114"/>
        <v>1906</v>
      </c>
      <c r="N891" s="8">
        <f t="shared" si="112"/>
        <v>1899</v>
      </c>
      <c r="O891" s="25">
        <f t="shared" ref="O891:O896" si="117">O890+IF(OR(B891="Cash",B891="Buy",B891="Sell",B891="Div",B891="Rebate",B891="Fees",B891="IntInc",B891="Tax",B891="Distr"),N891,0)</f>
        <v>45077.399999999921</v>
      </c>
      <c r="P891" s="8">
        <f t="shared" si="115"/>
        <v>0</v>
      </c>
      <c r="Q891" s="4">
        <f>IF(AND(S891&gt;=[1]eRRSP_Rpt!$C$6,S891&lt;=[1]eRRSP_Rpt!$C$7),1,0)</f>
        <v>1</v>
      </c>
      <c r="R891" s="4"/>
      <c r="S891" s="4">
        <f t="shared" si="113"/>
        <v>2013</v>
      </c>
      <c r="T891" s="4"/>
      <c r="U891" s="4" t="str">
        <f t="shared" si="116"/>
        <v>SellTD Bank</v>
      </c>
      <c r="V891" s="23">
        <f>IFERROR(IF(AND(AB891&gt;0,B891&lt;&gt;"Sell"),(AA891-SUMIF(C$4:C890,C891,AC$4:AC891))/AB891,0),"")</f>
        <v>0</v>
      </c>
      <c r="W891" s="24">
        <f t="shared" si="111"/>
        <v>1013.2</v>
      </c>
      <c r="X891" s="25" t="str">
        <f t="shared" si="110"/>
        <v/>
      </c>
      <c r="Y891" s="10" t="str">
        <f>IF(S892&lt;&gt;eRRSP_Tx_Table[[#This Row],[Year]],SUMIFS($W$4:$W891,$S$4:$S891,eRRSP_Tx_Table[[#This Row],[Year]],$W$4:$W891,"&gt;0"),"")</f>
        <v/>
      </c>
      <c r="Z891" s="10" t="str">
        <f>IF(S892&lt;&gt;eRRSP_Tx_Table[[#This Row],[Year]],SUMIFS($W$4:$W891,$S$4:$S891,eRRSP_Tx_Table[[#This Row],[Year]],$W$4:$W891,"&lt;0"),"")</f>
        <v/>
      </c>
      <c r="AA891" s="3">
        <f>(SUMIF($U$4:$U891,CONCATENATE("Buy",$C891),$N$4:$N891)+SUMIF($U$4:$U891,CONCATENATE("ReinvDiv",$C891),$N$4:$N891))</f>
        <v>-885.8</v>
      </c>
      <c r="AB891">
        <f>(SUMIF($U$4:$U891,CONCATENATE("Buy",$C891),$F$4:$F891)+SUMIF($U$4:$U891,CONCATENATE("ReinvDiv",$C891),$F$4:$F891)+SUMIF($U$4:$U891,CONCATENATE("StkSplit",$C891),$F$4:$F891)-SUMIF($U$4:$U891,CONCATENATE("Sell",$C891),$F$4:$F891))</f>
        <v>0</v>
      </c>
      <c r="AC891" s="3">
        <f>IF(B891="Sell",F891*INDEX(V:V,LOOKUP(2,1/(X$4:X890=CONCATENATE(C891,"_ACB")),ROW(V$4:V890))),0)</f>
        <v>-885.8</v>
      </c>
    </row>
    <row r="892" spans="1:29" x14ac:dyDescent="0.25">
      <c r="A892" s="20">
        <v>41624</v>
      </c>
      <c r="B892" t="s">
        <v>40</v>
      </c>
      <c r="C892" t="s">
        <v>58</v>
      </c>
      <c r="D892" s="3">
        <v>26371.23</v>
      </c>
      <c r="E892">
        <v>11.310018141503729</v>
      </c>
      <c r="F892" s="3">
        <v>2331.67</v>
      </c>
      <c r="M892" s="8">
        <f>ROUND(IF(OR(B892="Buy",B892="Sell"),E892*F892,D892),2)</f>
        <v>26371.23</v>
      </c>
      <c r="N892" s="8">
        <f t="shared" si="112"/>
        <v>26371.23</v>
      </c>
      <c r="O892" s="25">
        <f t="shared" si="117"/>
        <v>71448.629999999917</v>
      </c>
      <c r="P892" s="8">
        <f t="shared" si="115"/>
        <v>0</v>
      </c>
      <c r="Q892" s="4">
        <f>IF(AND(S892&gt;=[1]eRRSP_Rpt!$C$6,S892&lt;=[1]eRRSP_Rpt!$C$7),1,0)</f>
        <v>1</v>
      </c>
      <c r="R892" s="4"/>
      <c r="S892" s="4">
        <f t="shared" si="113"/>
        <v>2013</v>
      </c>
      <c r="T892" s="4"/>
      <c r="U892" s="4" t="str">
        <f t="shared" si="116"/>
        <v>SellTD DJIA Index</v>
      </c>
      <c r="V892" s="23">
        <f>IFERROR(IF(AND(AB892&gt;0,B892&lt;&gt;"Sell"),(AA892-SUMIF(C$4:C891,C892,AC$4:AC892))/AB892,0),"")</f>
        <v>0</v>
      </c>
      <c r="W892" s="24">
        <f t="shared" si="111"/>
        <v>9399.3543868136221</v>
      </c>
      <c r="X892" s="25" t="str">
        <f t="shared" si="110"/>
        <v/>
      </c>
      <c r="Y892" s="10" t="str">
        <f>IF(S893&lt;&gt;eRRSP_Tx_Table[[#This Row],[Year]],SUMIFS($W$4:$W892,$S$4:$S892,eRRSP_Tx_Table[[#This Row],[Year]],$W$4:$W892,"&gt;0"),"")</f>
        <v/>
      </c>
      <c r="Z892" s="10" t="str">
        <f>IF(S893&lt;&gt;eRRSP_Tx_Table[[#This Row],[Year]],SUMIFS($W$4:$W892,$S$4:$S892,eRRSP_Tx_Table[[#This Row],[Year]],$W$4:$W892,"&lt;0"),"")</f>
        <v/>
      </c>
      <c r="AA892" s="3">
        <f>(SUMIF($U$4:$U892,CONCATENATE("Buy",$C892),$N$4:$N892)+SUMIF($U$4:$U892,CONCATENATE("ReinvDiv",$C892),$N$4:$N892))</f>
        <v>-18084.419999999998</v>
      </c>
      <c r="AB892">
        <f>(SUMIF($U$4:$U892,CONCATENATE("Buy",$C892),$F$4:$F892)+SUMIF($U$4:$U892,CONCATENATE("ReinvDiv",$C892),$F$4:$F892)+SUMIF($U$4:$U892,CONCATENATE("StkSplit",$C892),$F$4:$F892)-SUMIF($U$4:$U892,CONCATENATE("Sell",$C892),$F$4:$F892))</f>
        <v>-4.5474735088646412E-13</v>
      </c>
      <c r="AC892" s="3">
        <f>IF(B892="Sell",F892*INDEX(V:V,LOOKUP(2,1/(X$4:X891=CONCATENATE(C892,"_ACB")),ROW(V$4:V891))),0)</f>
        <v>-16971.875613186377</v>
      </c>
    </row>
    <row r="893" spans="1:29" x14ac:dyDescent="0.25">
      <c r="A893" s="20">
        <v>41624</v>
      </c>
      <c r="B893" t="s">
        <v>40</v>
      </c>
      <c r="C893" t="s">
        <v>62</v>
      </c>
      <c r="D893" s="3">
        <v>11725.73</v>
      </c>
      <c r="E893">
        <v>15.683636999999999</v>
      </c>
      <c r="F893" s="3">
        <v>747.64099999999996</v>
      </c>
      <c r="M893" s="21">
        <f t="shared" si="114"/>
        <v>11725.73</v>
      </c>
      <c r="N893" s="8">
        <f t="shared" si="112"/>
        <v>11725.73</v>
      </c>
      <c r="O893" s="25">
        <f t="shared" si="117"/>
        <v>83174.359999999913</v>
      </c>
      <c r="P893" s="8">
        <f t="shared" si="115"/>
        <v>0</v>
      </c>
      <c r="Q893" s="4">
        <f>IF(AND(S893&gt;=[1]eRRSP_Rpt!$C$6,S893&lt;=[1]eRRSP_Rpt!$C$7),1,0)</f>
        <v>1</v>
      </c>
      <c r="R893" s="4"/>
      <c r="S893" s="4">
        <f t="shared" si="113"/>
        <v>2013</v>
      </c>
      <c r="T893" s="4"/>
      <c r="U893" s="4" t="str">
        <f t="shared" si="116"/>
        <v>SellTD RR Bond</v>
      </c>
      <c r="V893" s="23">
        <f>IFERROR(IF(AND(AB893&gt;0,B893&lt;&gt;"Sell"),(AA893-SUMIF(C$4:C892,C893,AC$4:AC893))/AB893,0),"")</f>
        <v>0</v>
      </c>
      <c r="W893" s="24">
        <f t="shared" si="111"/>
        <v>933.64999999999964</v>
      </c>
      <c r="X893" s="25" t="str">
        <f t="shared" si="110"/>
        <v/>
      </c>
      <c r="Y893" s="10" t="str">
        <f>IF(S894&lt;&gt;eRRSP_Tx_Table[[#This Row],[Year]],SUMIFS($W$4:$W893,$S$4:$S893,eRRSP_Tx_Table[[#This Row],[Year]],$W$4:$W893,"&gt;0"),"")</f>
        <v/>
      </c>
      <c r="Z893" s="10" t="str">
        <f>IF(S894&lt;&gt;eRRSP_Tx_Table[[#This Row],[Year]],SUMIFS($W$4:$W893,$S$4:$S893,eRRSP_Tx_Table[[#This Row],[Year]],$W$4:$W893,"&lt;0"),"")</f>
        <v/>
      </c>
      <c r="AA893" s="3">
        <f>(SUMIF($U$4:$U893,CONCATENATE("Buy",$C893),$N$4:$N893)+SUMIF($U$4:$U893,CONCATENATE("ReinvDiv",$C893),$N$4:$N893))</f>
        <v>-10792.08</v>
      </c>
      <c r="AB893">
        <f>(SUMIF($U$4:$U893,CONCATENATE("Buy",$C893),$F$4:$F893)+SUMIF($U$4:$U893,CONCATENATE("ReinvDiv",$C893),$F$4:$F893)+SUMIF($U$4:$U893,CONCATENATE("StkSplit",$C893),$F$4:$F893)-SUMIF($U$4:$U893,CONCATENATE("Sell",$C893),$F$4:$F893))</f>
        <v>0</v>
      </c>
      <c r="AC893" s="3">
        <f>IF(B893="Sell",F893*INDEX(V:V,LOOKUP(2,1/(X$4:X892=CONCATENATE(C893,"_ACB")),ROW(V$4:V892))),0)</f>
        <v>-10792.08</v>
      </c>
    </row>
    <row r="894" spans="1:29" x14ac:dyDescent="0.25">
      <c r="A894" s="20">
        <v>41639</v>
      </c>
      <c r="B894" t="s">
        <v>42</v>
      </c>
      <c r="C894" t="s">
        <v>47</v>
      </c>
      <c r="D894" s="3">
        <v>0.76</v>
      </c>
      <c r="M894" s="21">
        <f t="shared" si="114"/>
        <v>0.76</v>
      </c>
      <c r="N894" s="8">
        <f t="shared" si="112"/>
        <v>0.76</v>
      </c>
      <c r="O894" s="25">
        <f t="shared" si="117"/>
        <v>83175.119999999908</v>
      </c>
      <c r="P894" s="8">
        <f t="shared" si="115"/>
        <v>0</v>
      </c>
      <c r="Q894" s="4">
        <f>IF(AND(S894&gt;=[1]eRRSP_Rpt!$C$6,S894&lt;=[1]eRRSP_Rpt!$C$7),1,0)</f>
        <v>1</v>
      </c>
      <c r="R894" s="4"/>
      <c r="S894" s="4">
        <f t="shared" si="113"/>
        <v>2013</v>
      </c>
      <c r="T894" s="4"/>
      <c r="U894" s="4" t="str">
        <f t="shared" si="116"/>
        <v>DivBombardier</v>
      </c>
      <c r="V894" s="23">
        <f>IFERROR(IF(AND(AB894&gt;0,B894&lt;&gt;"Sell"),(AA894-SUMIF(C$4:C893,C894,AC$4:AC894))/AB894,0),"")</f>
        <v>0</v>
      </c>
      <c r="W894" s="24" t="str">
        <f t="shared" si="111"/>
        <v/>
      </c>
      <c r="X894" s="25" t="str">
        <f t="shared" si="110"/>
        <v/>
      </c>
      <c r="Y894" s="10" t="str">
        <f>IF(S895&lt;&gt;eRRSP_Tx_Table[[#This Row],[Year]],SUMIFS($W$4:$W894,$S$4:$S894,eRRSP_Tx_Table[[#This Row],[Year]],$W$4:$W894,"&gt;0"),"")</f>
        <v/>
      </c>
      <c r="Z894" s="10" t="str">
        <f>IF(S895&lt;&gt;eRRSP_Tx_Table[[#This Row],[Year]],SUMIFS($W$4:$W894,$S$4:$S894,eRRSP_Tx_Table[[#This Row],[Year]],$W$4:$W894,"&lt;0"),"")</f>
        <v/>
      </c>
      <c r="AA894" s="3">
        <f>(SUMIF($U$4:$U894,CONCATENATE("Buy",$C894),$N$4:$N894)+SUMIF($U$4:$U894,CONCATENATE("ReinvDiv",$C894),$N$4:$N894))</f>
        <v>-696.5</v>
      </c>
      <c r="AB894">
        <f>(SUMIF($U$4:$U894,CONCATENATE("Buy",$C894),$F$4:$F894)+SUMIF($U$4:$U894,CONCATENATE("ReinvDiv",$C894),$F$4:$F894)+SUMIF($U$4:$U894,CONCATENATE("StkSplit",$C894),$F$4:$F894)-SUMIF($U$4:$U894,CONCATENATE("Sell",$C894),$F$4:$F894))</f>
        <v>0</v>
      </c>
      <c r="AC894" s="3">
        <f>IF(B894="Sell",F894*INDEX(V:V,LOOKUP(2,1/(X$4:X893=CONCATENATE(C894,"_ACB")),ROW(V$4:V893))),0)</f>
        <v>0</v>
      </c>
    </row>
    <row r="895" spans="1:29" x14ac:dyDescent="0.25">
      <c r="A895" s="20">
        <v>41639</v>
      </c>
      <c r="B895" t="s">
        <v>42</v>
      </c>
      <c r="C895" t="s">
        <v>90</v>
      </c>
      <c r="D895" s="3">
        <v>32.47</v>
      </c>
      <c r="M895" s="21">
        <f t="shared" si="114"/>
        <v>32.47</v>
      </c>
      <c r="N895" s="8">
        <f t="shared" si="112"/>
        <v>32.47</v>
      </c>
      <c r="O895" s="25">
        <f t="shared" si="117"/>
        <v>83207.589999999909</v>
      </c>
      <c r="P895" s="8">
        <f t="shared" si="115"/>
        <v>0</v>
      </c>
      <c r="Q895" s="4">
        <f>IF(AND(S895&gt;=[1]eRRSP_Rpt!$C$6,S895&lt;=[1]eRRSP_Rpt!$C$7),1,0)</f>
        <v>1</v>
      </c>
      <c r="R895" s="4"/>
      <c r="S895" s="4">
        <f t="shared" si="113"/>
        <v>2013</v>
      </c>
      <c r="T895" s="4"/>
      <c r="U895" s="4" t="str">
        <f t="shared" si="116"/>
        <v>DivVanguard Large Cap ETF</v>
      </c>
      <c r="V895" s="23">
        <f>IFERROR(IF(AND(AB895&gt;0,B895&lt;&gt;"Sell"),(AA895-SUMIF(C$4:C894,C895,AC$4:AC895))/AB895,0),"")</f>
        <v>-74.401142857142858</v>
      </c>
      <c r="W895" s="24" t="str">
        <f t="shared" si="111"/>
        <v/>
      </c>
      <c r="X895" s="25" t="str">
        <f t="shared" si="110"/>
        <v>Vanguard Large Cap ETF_ACB</v>
      </c>
      <c r="Y895" s="10" t="str">
        <f>IF(S896&lt;&gt;eRRSP_Tx_Table[[#This Row],[Year]],SUMIFS($W$4:$W895,$S$4:$S895,eRRSP_Tx_Table[[#This Row],[Year]],$W$4:$W895,"&gt;0"),"")</f>
        <v/>
      </c>
      <c r="Z895" s="10" t="str">
        <f>IF(S896&lt;&gt;eRRSP_Tx_Table[[#This Row],[Year]],SUMIFS($W$4:$W895,$S$4:$S895,eRRSP_Tx_Table[[#This Row],[Year]],$W$4:$W895,"&lt;0"),"")</f>
        <v/>
      </c>
      <c r="AA895" s="3">
        <f>(SUMIF($U$4:$U895,CONCATENATE("Buy",$C895),$N$4:$N895)+SUMIF($U$4:$U895,CONCATENATE("ReinvDiv",$C895),$N$4:$N895))</f>
        <v>-5208.08</v>
      </c>
      <c r="AB895">
        <f>(SUMIF($U$4:$U895,CONCATENATE("Buy",$C895),$F$4:$F895)+SUMIF($U$4:$U895,CONCATENATE("ReinvDiv",$C895),$F$4:$F895)+SUMIF($U$4:$U895,CONCATENATE("StkSplit",$C895),$F$4:$F895)-SUMIF($U$4:$U895,CONCATENATE("Sell",$C895),$F$4:$F895))</f>
        <v>70</v>
      </c>
      <c r="AC895" s="3">
        <f>IF(B895="Sell",F895*INDEX(V:V,LOOKUP(2,1/(X$4:X894=CONCATENATE(C895,"_ACB")),ROW(V$4:V894))),0)</f>
        <v>0</v>
      </c>
    </row>
    <row r="896" spans="1:29" x14ac:dyDescent="0.25">
      <c r="A896" s="20">
        <v>41639</v>
      </c>
      <c r="B896" t="s">
        <v>43</v>
      </c>
      <c r="C896" t="s">
        <v>99</v>
      </c>
      <c r="D896" s="3">
        <v>28.66</v>
      </c>
      <c r="M896" s="21">
        <f t="shared" si="114"/>
        <v>28.66</v>
      </c>
      <c r="N896" s="8">
        <f t="shared" si="112"/>
        <v>28.66</v>
      </c>
      <c r="O896" s="25">
        <f t="shared" si="117"/>
        <v>83236.249999999913</v>
      </c>
      <c r="P896" s="8">
        <f t="shared" si="115"/>
        <v>0</v>
      </c>
      <c r="Q896" s="4">
        <f>IF(AND(S896&gt;=[1]eRRSP_Rpt!$C$6,S896&lt;=[1]eRRSP_Rpt!$C$7),1,0)</f>
        <v>1</v>
      </c>
      <c r="R896" s="4"/>
      <c r="S896" s="4">
        <f t="shared" si="113"/>
        <v>2013</v>
      </c>
      <c r="T896" s="4"/>
      <c r="U896" s="4" t="str">
        <f t="shared" si="116"/>
        <v>IntIncTD INV SAV ACCT  /NL'FRAC</v>
      </c>
      <c r="V896" s="23">
        <f>IFERROR(IF(AND(AB896&gt;0,B896&lt;&gt;"Sell"),(AA896-SUMIF(C$4:C895,C896,AC$4:AC896))/AB896,0),"")</f>
        <v>-10</v>
      </c>
      <c r="W896" s="24" t="str">
        <f t="shared" si="111"/>
        <v/>
      </c>
      <c r="X896" s="25" t="str">
        <f t="shared" si="110"/>
        <v>TD INV SAV ACCT  /NL'FRAC_ACB</v>
      </c>
      <c r="Y896" s="10" t="str">
        <f>IF(S897&lt;&gt;eRRSP_Tx_Table[[#This Row],[Year]],SUMIFS($W$4:$W896,$S$4:$S896,eRRSP_Tx_Table[[#This Row],[Year]],$W$4:$W896,"&gt;0"),"")</f>
        <v/>
      </c>
      <c r="Z896" s="10" t="str">
        <f>IF(S897&lt;&gt;eRRSP_Tx_Table[[#This Row],[Year]],SUMIFS($W$4:$W896,$S$4:$S896,eRRSP_Tx_Table[[#This Row],[Year]],$W$4:$W896,"&lt;0"),"")</f>
        <v/>
      </c>
      <c r="AA896" s="3">
        <f>(SUMIF($U$4:$U896,CONCATENATE("Buy",$C896),$N$4:$N896)+SUMIF($U$4:$U896,CONCATENATE("ReinvDiv",$C896),$N$4:$N896))</f>
        <v>-27000</v>
      </c>
      <c r="AB896">
        <f>(SUMIF($U$4:$U896,CONCATENATE("Buy",$C896),$F$4:$F896)+SUMIF($U$4:$U896,CONCATENATE("ReinvDiv",$C896),$F$4:$F896)+SUMIF($U$4:$U896,CONCATENATE("StkSplit",$C896),$F$4:$F896)-SUMIF($U$4:$U896,CONCATENATE("Sell",$C896),$F$4:$F896))</f>
        <v>2700</v>
      </c>
      <c r="AC896" s="3">
        <f>IF(B896="Sell",F896*INDEX(V:V,LOOKUP(2,1/(X$4:X895=CONCATENATE(C896,"_ACB")),ROW(V$4:V895))),0)</f>
        <v>0</v>
      </c>
    </row>
    <row r="897" spans="1:30" ht="13.5" customHeight="1" x14ac:dyDescent="0.25">
      <c r="A897" s="32">
        <f>A825+364</f>
        <v>41639</v>
      </c>
      <c r="B897" s="33"/>
      <c r="C897" s="33"/>
      <c r="D897" s="34"/>
      <c r="E897" s="33"/>
      <c r="F897" s="34"/>
      <c r="G897" s="33"/>
      <c r="H897" s="33"/>
      <c r="I897" s="33"/>
      <c r="J897" s="33"/>
      <c r="K897" s="33"/>
      <c r="L897" s="33"/>
      <c r="M897" s="35"/>
      <c r="N897" s="8">
        <f t="shared" si="112"/>
        <v>0</v>
      </c>
      <c r="O897" s="36"/>
      <c r="P897" s="37">
        <v>-193062.23</v>
      </c>
      <c r="Q897" s="4">
        <f>IF(AND(S897&gt;=[1]eRRSP_Rpt!$C$6,S897&lt;=[1]eRRSP_Rpt!$C$7),1,0)</f>
        <v>1</v>
      </c>
      <c r="R897" s="4" t="s">
        <v>34</v>
      </c>
      <c r="S897" s="4">
        <f>YEAR(A897)</f>
        <v>2013</v>
      </c>
      <c r="T897" s="22"/>
      <c r="U897" s="4"/>
      <c r="V897" s="23">
        <f>IFERROR(IF(AND(AB897&gt;0,B897&lt;&gt;"Sell"),(AA897-SUMIF(C$4:C896,C897,AC$4:AC897))/AB897,0),"")</f>
        <v>0</v>
      </c>
      <c r="W897" s="24" t="str">
        <f t="shared" si="111"/>
        <v/>
      </c>
      <c r="X897" s="25" t="str">
        <f t="shared" si="110"/>
        <v/>
      </c>
      <c r="Y897" s="10">
        <f>IF(S898&lt;&gt;eRRSP_Tx_Table[[#This Row],[Year]],SUMIFS($W$4:$W897,$S$4:$S897,eRRSP_Tx_Table[[#This Row],[Year]],$W$4:$W897,"&gt;0"),"")</f>
        <v>20559.955359035848</v>
      </c>
      <c r="Z897" s="10">
        <f>IF(S898&lt;&gt;eRRSP_Tx_Table[[#This Row],[Year]],SUMIFS($W$4:$W897,$S$4:$S897,eRRSP_Tx_Table[[#This Row],[Year]],$W$4:$W897,"&lt;0"),"")</f>
        <v>-2067.0499999999984</v>
      </c>
      <c r="AA897" s="3">
        <f>(SUMIF($U$4:$U897,CONCATENATE("Buy",$C897),$N$4:$N897)+SUMIF($U$4:$U897,CONCATENATE("ReinvDiv",$C897),$N$4:$N897))</f>
        <v>0</v>
      </c>
      <c r="AB897">
        <f>(SUMIF($U$4:$U897,CONCATENATE("Buy",$C897),$F$4:$F897)+SUMIF($U$4:$U897,CONCATENATE("ReinvDiv",$C897),$F$4:$F897)+SUMIF($U$4:$U897,CONCATENATE("StkSplit",$C897),$F$4:$F897)-SUMIF($U$4:$U897,CONCATENATE("Sell",$C897),$F$4:$F897))</f>
        <v>0</v>
      </c>
      <c r="AC897" s="3">
        <f>IF(B897="Sell",F897*INDEX(V:V,LOOKUP(2,1/(X$4:X896=CONCATENATE(C897,"_ACB")),ROW(V$4:V896))),0)</f>
        <v>0</v>
      </c>
    </row>
    <row r="898" spans="1:30" ht="13.5" customHeight="1" x14ac:dyDescent="0.25">
      <c r="A898" s="32">
        <f>A897+1</f>
        <v>41640</v>
      </c>
      <c r="B898" s="33"/>
      <c r="C898" s="33"/>
      <c r="D898" s="34"/>
      <c r="E898" s="33"/>
      <c r="F898" s="34"/>
      <c r="G898" s="33"/>
      <c r="H898" s="33"/>
      <c r="I898" s="33"/>
      <c r="J898" s="33"/>
      <c r="K898" s="33"/>
      <c r="L898" s="33"/>
      <c r="M898" s="35"/>
      <c r="N898" s="8">
        <f t="shared" si="112"/>
        <v>0</v>
      </c>
      <c r="O898" s="36"/>
      <c r="P898" s="37">
        <f>-P897</f>
        <v>193062.23</v>
      </c>
      <c r="Q898" s="4">
        <f>IF(AND(S898&gt;=[1]eRRSP_Rpt!$C$6,S898&lt;=[1]eRRSP_Rpt!$C$7),1,0)</f>
        <v>1</v>
      </c>
      <c r="R898" s="4" t="s">
        <v>34</v>
      </c>
      <c r="S898" s="4">
        <f>YEAR(A898)</f>
        <v>2014</v>
      </c>
      <c r="T898" s="22"/>
      <c r="U898" s="4"/>
      <c r="V898" s="23">
        <f>IFERROR(IF(AND(AB898&gt;0,B898&lt;&gt;"Sell"),(AA898-SUMIF(C$4:C897,C898,AC$4:AC898))/AB898,0),"")</f>
        <v>0</v>
      </c>
      <c r="W898" s="24" t="str">
        <f t="shared" si="111"/>
        <v/>
      </c>
      <c r="X898" s="25" t="str">
        <f t="shared" si="110"/>
        <v/>
      </c>
      <c r="Y898" s="10" t="str">
        <f>IF(S899&lt;&gt;eRRSP_Tx_Table[[#This Row],[Year]],SUMIFS($W$4:$W898,$S$4:$S898,eRRSP_Tx_Table[[#This Row],[Year]],$W$4:$W898,"&gt;0"),"")</f>
        <v/>
      </c>
      <c r="Z898" s="10" t="str">
        <f>IF(S899&lt;&gt;eRRSP_Tx_Table[[#This Row],[Year]],SUMIFS($W$4:$W898,$S$4:$S898,eRRSP_Tx_Table[[#This Row],[Year]],$W$4:$W898,"&lt;0"),"")</f>
        <v/>
      </c>
      <c r="AA898" s="3">
        <f>(SUMIF($U$4:$U898,CONCATENATE("Buy",$C898),$N$4:$N898)+SUMIF($U$4:$U898,CONCATENATE("ReinvDiv",$C898),$N$4:$N898))</f>
        <v>0</v>
      </c>
      <c r="AB898">
        <f>(SUMIF($U$4:$U898,CONCATENATE("Buy",$C898),$F$4:$F898)+SUMIF($U$4:$U898,CONCATENATE("ReinvDiv",$C898),$F$4:$F898)+SUMIF($U$4:$U898,CONCATENATE("StkSplit",$C898),$F$4:$F898)-SUMIF($U$4:$U898,CONCATENATE("Sell",$C898),$F$4:$F898))</f>
        <v>0</v>
      </c>
      <c r="AC898" s="3">
        <f>IF(B898="Sell",F898*INDEX(V:V,LOOKUP(2,1/(X$4:X897=CONCATENATE(C898,"_ACB")),ROW(V$4:V897))),0)</f>
        <v>0</v>
      </c>
    </row>
    <row r="899" spans="1:30" x14ac:dyDescent="0.25">
      <c r="A899" s="20">
        <v>41652</v>
      </c>
      <c r="B899" t="s">
        <v>35</v>
      </c>
      <c r="C899" t="s">
        <v>36</v>
      </c>
      <c r="D899" s="3">
        <v>2.99</v>
      </c>
      <c r="J899" s="38">
        <v>42341</v>
      </c>
      <c r="K899" s="38"/>
      <c r="L899" s="38"/>
      <c r="M899" s="21">
        <f t="shared" si="114"/>
        <v>2.99</v>
      </c>
      <c r="N899" s="8">
        <f t="shared" si="112"/>
        <v>2.99</v>
      </c>
      <c r="O899" s="25">
        <f>O896+IF(OR(B899="Cash",B899="Buy",B899="Sell",B899="Div",B899="Rebate",B899="Fees",B899="IntInc",B899="Tax",B899="Distr"),N899,0)</f>
        <v>83239.239999999918</v>
      </c>
      <c r="P899" s="8">
        <f t="shared" si="115"/>
        <v>0</v>
      </c>
      <c r="Q899" s="4">
        <f>IF(AND(S899&gt;=[1]eRRSP_Rpt!$C$6,S899&lt;=[1]eRRSP_Rpt!$C$7),1,0)</f>
        <v>1</v>
      </c>
      <c r="R899" s="4"/>
      <c r="S899" s="4">
        <f t="shared" si="113"/>
        <v>2014</v>
      </c>
      <c r="T899" s="4"/>
      <c r="U899" s="4" t="str">
        <f t="shared" si="116"/>
        <v>FeesTDW</v>
      </c>
      <c r="V899" s="23">
        <f>IFERROR(IF(AND(AB899&gt;0,B899&lt;&gt;"Sell"),(AA899-SUMIF(C$4:C898,C899,AC$4:AC899))/AB899,0),"")</f>
        <v>0</v>
      </c>
      <c r="W899" s="24" t="str">
        <f t="shared" si="111"/>
        <v/>
      </c>
      <c r="X899" s="25" t="str">
        <f t="shared" si="110"/>
        <v/>
      </c>
      <c r="Y899" s="10" t="str">
        <f>IF(S900&lt;&gt;eRRSP_Tx_Table[[#This Row],[Year]],SUMIFS($W$4:$W899,$S$4:$S899,eRRSP_Tx_Table[[#This Row],[Year]],$W$4:$W899,"&gt;0"),"")</f>
        <v/>
      </c>
      <c r="Z899" s="10" t="str">
        <f>IF(S900&lt;&gt;eRRSP_Tx_Table[[#This Row],[Year]],SUMIFS($W$4:$W899,$S$4:$S899,eRRSP_Tx_Table[[#This Row],[Year]],$W$4:$W899,"&lt;0"),"")</f>
        <v/>
      </c>
      <c r="AA899" s="3">
        <f>(SUMIF($U$4:$U899,CONCATENATE("Buy",$C899),$N$4:$N899)+SUMIF($U$4:$U899,CONCATENATE("ReinvDiv",$C899),$N$4:$N899))</f>
        <v>0</v>
      </c>
      <c r="AB899">
        <f>(SUMIF($U$4:$U899,CONCATENATE("Buy",$C899),$F$4:$F899)+SUMIF($U$4:$U899,CONCATENATE("ReinvDiv",$C899),$F$4:$F899)+SUMIF($U$4:$U899,CONCATENATE("StkSplit",$C899),$F$4:$F899)-SUMIF($U$4:$U899,CONCATENATE("Sell",$C899),$F$4:$F899))</f>
        <v>0</v>
      </c>
      <c r="AC899" s="3">
        <f>IF(B899="Sell",F899*INDEX(V:V,LOOKUP(2,1/(X$4:X898=CONCATENATE(C899,"_ACB")),ROW(V$4:V898))),0)</f>
        <v>0</v>
      </c>
    </row>
    <row r="900" spans="1:30" x14ac:dyDescent="0.25">
      <c r="A900" s="20">
        <v>41652</v>
      </c>
      <c r="B900" t="s">
        <v>35</v>
      </c>
      <c r="C900" t="s">
        <v>36</v>
      </c>
      <c r="D900" s="3">
        <v>5.98</v>
      </c>
      <c r="M900" s="21">
        <f t="shared" si="114"/>
        <v>5.98</v>
      </c>
      <c r="N900" s="8">
        <f t="shared" si="112"/>
        <v>5.98</v>
      </c>
      <c r="O900" s="25">
        <f t="shared" ref="O900:O963" si="118">O899+IF(OR(B900="Cash",B900="Buy",B900="Sell",B900="Div",B900="Rebate",B900="Fees",B900="IntInc",B900="Tax",B900="Distr"),N900,0)</f>
        <v>83245.219999999914</v>
      </c>
      <c r="P900" s="8">
        <f t="shared" si="115"/>
        <v>0</v>
      </c>
      <c r="Q900" s="4">
        <f>IF(AND(S900&gt;=[1]eRRSP_Rpt!$C$6,S900&lt;=[1]eRRSP_Rpt!$C$7),1,0)</f>
        <v>1</v>
      </c>
      <c r="R900" s="4"/>
      <c r="S900" s="4">
        <f t="shared" si="113"/>
        <v>2014</v>
      </c>
      <c r="T900" s="4"/>
      <c r="U900" s="4" t="str">
        <f t="shared" si="116"/>
        <v>FeesTDW</v>
      </c>
      <c r="V900" s="23">
        <f>IFERROR(IF(AND(AB900&gt;0,B900&lt;&gt;"Sell"),(AA900-SUMIF(C$4:C899,C900,AC$4:AC900))/AB900,0),"")</f>
        <v>0</v>
      </c>
      <c r="W900" s="24" t="str">
        <f t="shared" si="111"/>
        <v/>
      </c>
      <c r="X900" s="25" t="str">
        <f t="shared" ref="X900:X963" si="119">IF(V900,CONCATENATE(C900,"_ACB"),"")</f>
        <v/>
      </c>
      <c r="Y900" s="10" t="str">
        <f>IF(S901&lt;&gt;eRRSP_Tx_Table[[#This Row],[Year]],SUMIFS($W$4:$W900,$S$4:$S900,eRRSP_Tx_Table[[#This Row],[Year]],$W$4:$W900,"&gt;0"),"")</f>
        <v/>
      </c>
      <c r="Z900" s="10" t="str">
        <f>IF(S901&lt;&gt;eRRSP_Tx_Table[[#This Row],[Year]],SUMIFS($W$4:$W900,$S$4:$S900,eRRSP_Tx_Table[[#This Row],[Year]],$W$4:$W900,"&lt;0"),"")</f>
        <v/>
      </c>
      <c r="AA900" s="3">
        <f>(SUMIF($U$4:$U900,CONCATENATE("Buy",$C900),$N$4:$N900)+SUMIF($U$4:$U900,CONCATENATE("ReinvDiv",$C900),$N$4:$N900))</f>
        <v>0</v>
      </c>
      <c r="AB900">
        <f>(SUMIF($U$4:$U900,CONCATENATE("Buy",$C900),$F$4:$F900)+SUMIF($U$4:$U900,CONCATENATE("ReinvDiv",$C900),$F$4:$F900)+SUMIF($U$4:$U900,CONCATENATE("StkSplit",$C900),$F$4:$F900)-SUMIF($U$4:$U900,CONCATENATE("Sell",$C900),$F$4:$F900))</f>
        <v>0</v>
      </c>
      <c r="AC900" s="3">
        <f>IF(B900="Sell",F900*INDEX(V:V,LOOKUP(2,1/(X$4:X899=CONCATENATE(C900,"_ACB")),ROW(V$4:V899))),0)</f>
        <v>0</v>
      </c>
    </row>
    <row r="901" spans="1:30" x14ac:dyDescent="0.25">
      <c r="A901" s="20">
        <v>41653</v>
      </c>
      <c r="B901" t="s">
        <v>40</v>
      </c>
      <c r="C901" t="s">
        <v>99</v>
      </c>
      <c r="D901" s="3">
        <v>13000</v>
      </c>
      <c r="E901">
        <v>10</v>
      </c>
      <c r="F901" s="3">
        <v>1300</v>
      </c>
      <c r="M901" s="21">
        <f t="shared" si="114"/>
        <v>13000</v>
      </c>
      <c r="N901" s="8">
        <f t="shared" si="112"/>
        <v>13000</v>
      </c>
      <c r="O901" s="25">
        <f t="shared" si="118"/>
        <v>96245.219999999914</v>
      </c>
      <c r="P901" s="8">
        <f t="shared" si="115"/>
        <v>0</v>
      </c>
      <c r="Q901" s="4">
        <f>IF(AND(S901&gt;=[1]eRRSP_Rpt!$C$6,S901&lt;=[1]eRRSP_Rpt!$C$7),1,0)</f>
        <v>1</v>
      </c>
      <c r="R901" s="4"/>
      <c r="S901" s="4">
        <f t="shared" si="113"/>
        <v>2014</v>
      </c>
      <c r="T901" s="4"/>
      <c r="U901" s="4" t="str">
        <f t="shared" si="116"/>
        <v>SellTD INV SAV ACCT  /NL'FRAC</v>
      </c>
      <c r="V901" s="23">
        <f>IFERROR(IF(AND(AB901&gt;0,B901&lt;&gt;"Sell"),(AA901-SUMIF(C$4:C900,C901,AC$4:AC901))/AB901,0),"")</f>
        <v>0</v>
      </c>
      <c r="W901" s="24">
        <f t="shared" ref="W901:W964" si="120">IF(B901="Sell",N901+AC901,"")</f>
        <v>0</v>
      </c>
      <c r="X901" s="25" t="str">
        <f t="shared" si="119"/>
        <v/>
      </c>
      <c r="Y901" s="10" t="str">
        <f>IF(S902&lt;&gt;eRRSP_Tx_Table[[#This Row],[Year]],SUMIFS($W$4:$W901,$S$4:$S901,eRRSP_Tx_Table[[#This Row],[Year]],$W$4:$W901,"&gt;0"),"")</f>
        <v/>
      </c>
      <c r="Z901" s="10" t="str">
        <f>IF(S902&lt;&gt;eRRSP_Tx_Table[[#This Row],[Year]],SUMIFS($W$4:$W901,$S$4:$S901,eRRSP_Tx_Table[[#This Row],[Year]],$W$4:$W901,"&lt;0"),"")</f>
        <v/>
      </c>
      <c r="AA901" s="3">
        <f>(SUMIF($U$4:$U901,CONCATENATE("Buy",$C901),$N$4:$N901)+SUMIF($U$4:$U901,CONCATENATE("ReinvDiv",$C901),$N$4:$N901))</f>
        <v>-27000</v>
      </c>
      <c r="AB901">
        <f>(SUMIF($U$4:$U901,CONCATENATE("Buy",$C901),$F$4:$F901)+SUMIF($U$4:$U901,CONCATENATE("ReinvDiv",$C901),$F$4:$F901)+SUMIF($U$4:$U901,CONCATENATE("StkSplit",$C901),$F$4:$F901)-SUMIF($U$4:$U901,CONCATENATE("Sell",$C901),$F$4:$F901))</f>
        <v>1400</v>
      </c>
      <c r="AC901" s="3">
        <f>IF(B901="Sell",F901*INDEX(V:V,LOOKUP(2,1/(X$4:X900=CONCATENATE(C901,"_ACB")),ROW(V$4:V900))),0)</f>
        <v>-13000</v>
      </c>
    </row>
    <row r="902" spans="1:30" x14ac:dyDescent="0.25">
      <c r="A902" s="20">
        <v>41655</v>
      </c>
      <c r="B902" t="s">
        <v>43</v>
      </c>
      <c r="D902" s="3">
        <v>1.78</v>
      </c>
      <c r="M902" s="21">
        <f t="shared" si="114"/>
        <v>1.78</v>
      </c>
      <c r="N902" s="8">
        <f t="shared" si="112"/>
        <v>1.78</v>
      </c>
      <c r="O902" s="25">
        <f t="shared" si="118"/>
        <v>96246.999999999913</v>
      </c>
      <c r="P902" s="8">
        <f t="shared" si="115"/>
        <v>0</v>
      </c>
      <c r="Q902" s="4">
        <f>IF(AND(S902&gt;=[1]eRRSP_Rpt!$C$6,S902&lt;=[1]eRRSP_Rpt!$C$7),1,0)</f>
        <v>1</v>
      </c>
      <c r="R902" s="4"/>
      <c r="S902" s="4">
        <f t="shared" si="113"/>
        <v>2014</v>
      </c>
      <c r="T902" s="4"/>
      <c r="U902" s="4" t="str">
        <f t="shared" si="116"/>
        <v>IntInc</v>
      </c>
      <c r="V902" s="23">
        <f>IFERROR(IF(AND(AB902&gt;0,B902&lt;&gt;"Sell"),(AA902-SUMIF(C$4:C901,C902,AC$4:AC902))/AB902,0),"")</f>
        <v>0</v>
      </c>
      <c r="W902" s="24" t="str">
        <f t="shared" si="120"/>
        <v/>
      </c>
      <c r="X902" s="25" t="str">
        <f t="shared" si="119"/>
        <v/>
      </c>
      <c r="Y902" s="10" t="str">
        <f>IF(S903&lt;&gt;eRRSP_Tx_Table[[#This Row],[Year]],SUMIFS($W$4:$W902,$S$4:$S902,eRRSP_Tx_Table[[#This Row],[Year]],$W$4:$W902,"&gt;0"),"")</f>
        <v/>
      </c>
      <c r="Z902" s="10" t="str">
        <f>IF(S903&lt;&gt;eRRSP_Tx_Table[[#This Row],[Year]],SUMIFS($W$4:$W902,$S$4:$S902,eRRSP_Tx_Table[[#This Row],[Year]],$W$4:$W902,"&lt;0"),"")</f>
        <v/>
      </c>
      <c r="AA902" s="3">
        <f>(SUMIF($U$4:$U902,CONCATENATE("Buy",$C902),$N$4:$N902)+SUMIF($U$4:$U902,CONCATENATE("ReinvDiv",$C902),$N$4:$N902))</f>
        <v>0</v>
      </c>
      <c r="AB902">
        <f>(SUMIF($U$4:$U902,CONCATENATE("Buy",$C902),$F$4:$F902)+SUMIF($U$4:$U902,CONCATENATE("ReinvDiv",$C902),$F$4:$F902)+SUMIF($U$4:$U902,CONCATENATE("StkSplit",$C902),$F$4:$F902)-SUMIF($U$4:$U902,CONCATENATE("Sell",$C902),$F$4:$F902))</f>
        <v>0</v>
      </c>
      <c r="AC902" s="3">
        <f>IF(B902="Sell",F902*INDEX(V:V,LOOKUP(2,1/(X$4:X901=CONCATENATE(C902,"_ACB")),ROW(V$4:V901))),0)</f>
        <v>0</v>
      </c>
    </row>
    <row r="903" spans="1:30" x14ac:dyDescent="0.25">
      <c r="A903" s="20">
        <v>41655</v>
      </c>
      <c r="B903" t="s">
        <v>32</v>
      </c>
      <c r="C903" t="s">
        <v>103</v>
      </c>
      <c r="D903" s="3">
        <v>4331.99</v>
      </c>
      <c r="E903">
        <v>21.61</v>
      </c>
      <c r="F903" s="3">
        <v>200</v>
      </c>
      <c r="G903">
        <v>9.99</v>
      </c>
      <c r="M903" s="21">
        <f t="shared" si="114"/>
        <v>4322</v>
      </c>
      <c r="N903" s="8">
        <f t="shared" si="112"/>
        <v>-4331.99</v>
      </c>
      <c r="O903" s="25">
        <f t="shared" si="118"/>
        <v>91915.009999999907</v>
      </c>
      <c r="P903" s="8">
        <f t="shared" si="115"/>
        <v>0</v>
      </c>
      <c r="Q903" s="4">
        <f>IF(AND(S903&gt;=[1]eRRSP_Rpt!$C$6,S903&lt;=[1]eRRSP_Rpt!$C$7),1,0)</f>
        <v>1</v>
      </c>
      <c r="R903" s="4"/>
      <c r="S903" s="4">
        <f t="shared" si="113"/>
        <v>2014</v>
      </c>
      <c r="T903" s="4"/>
      <c r="U903" s="4" t="str">
        <f t="shared" si="116"/>
        <v>BuyIshares Global Real Estate Index</v>
      </c>
      <c r="V903" s="23">
        <f>IFERROR(IF(AND(AB903&gt;0,B903&lt;&gt;"Sell"),(AA903-SUMIF(C$4:C902,C903,AC$4:AC903))/AB903,0),"")</f>
        <v>-21.659949999999998</v>
      </c>
      <c r="W903" s="24" t="str">
        <f t="shared" si="120"/>
        <v/>
      </c>
      <c r="X903" s="25" t="str">
        <f t="shared" si="119"/>
        <v>Ishares Global Real Estate Index_ACB</v>
      </c>
      <c r="Y903" s="10" t="str">
        <f>IF(S904&lt;&gt;eRRSP_Tx_Table[[#This Row],[Year]],SUMIFS($W$4:$W903,$S$4:$S903,eRRSP_Tx_Table[[#This Row],[Year]],$W$4:$W903,"&gt;0"),"")</f>
        <v/>
      </c>
      <c r="Z903" s="10" t="str">
        <f>IF(S904&lt;&gt;eRRSP_Tx_Table[[#This Row],[Year]],SUMIFS($W$4:$W903,$S$4:$S903,eRRSP_Tx_Table[[#This Row],[Year]],$W$4:$W903,"&lt;0"),"")</f>
        <v/>
      </c>
      <c r="AA903" s="3">
        <f>(SUMIF($U$4:$U903,CONCATENATE("Buy",$C903),$N$4:$N903)+SUMIF($U$4:$U903,CONCATENATE("ReinvDiv",$C903),$N$4:$N903))</f>
        <v>-4331.99</v>
      </c>
      <c r="AB903">
        <f>(SUMIF($U$4:$U903,CONCATENATE("Buy",$C903),$F$4:$F903)+SUMIF($U$4:$U903,CONCATENATE("ReinvDiv",$C903),$F$4:$F903)+SUMIF($U$4:$U903,CONCATENATE("StkSplit",$C903),$F$4:$F903)-SUMIF($U$4:$U903,CONCATENATE("Sell",$C903),$F$4:$F903))</f>
        <v>200</v>
      </c>
      <c r="AC903" s="3">
        <f>IF(B903="Sell",F903*INDEX(V:V,LOOKUP(2,1/(X$4:X902=CONCATENATE(C903,"_ACB")),ROW(V$4:V902))),0)</f>
        <v>0</v>
      </c>
    </row>
    <row r="904" spans="1:30" x14ac:dyDescent="0.25">
      <c r="A904" s="20">
        <v>41655</v>
      </c>
      <c r="B904" t="s">
        <v>32</v>
      </c>
      <c r="C904" t="s">
        <v>103</v>
      </c>
      <c r="D904" s="3">
        <v>20709.48</v>
      </c>
      <c r="E904">
        <v>21.64</v>
      </c>
      <c r="F904" s="3">
        <v>957</v>
      </c>
      <c r="M904" s="21">
        <f t="shared" si="114"/>
        <v>20709.48</v>
      </c>
      <c r="N904" s="8">
        <f t="shared" si="112"/>
        <v>-20709.48</v>
      </c>
      <c r="O904" s="25">
        <f t="shared" si="118"/>
        <v>71205.529999999912</v>
      </c>
      <c r="P904" s="8">
        <f t="shared" si="115"/>
        <v>0</v>
      </c>
      <c r="Q904" s="4">
        <f>IF(AND(S904&gt;=[1]eRRSP_Rpt!$C$6,S904&lt;=[1]eRRSP_Rpt!$C$7),1,0)</f>
        <v>1</v>
      </c>
      <c r="R904" s="4"/>
      <c r="S904" s="4">
        <f t="shared" si="113"/>
        <v>2014</v>
      </c>
      <c r="T904" s="4"/>
      <c r="U904" s="4" t="str">
        <f t="shared" si="116"/>
        <v>BuyIshares Global Real Estate Index</v>
      </c>
      <c r="V904" s="23">
        <f>IFERROR(IF(AND(AB904&gt;0,B904&lt;&gt;"Sell"),(AA904-SUMIF(C$4:C903,C904,AC$4:AC904))/AB904,0),"")</f>
        <v>-21.643448573898013</v>
      </c>
      <c r="W904" s="24" t="str">
        <f t="shared" si="120"/>
        <v/>
      </c>
      <c r="X904" s="25" t="str">
        <f t="shared" si="119"/>
        <v>Ishares Global Real Estate Index_ACB</v>
      </c>
      <c r="Y904" s="10" t="str">
        <f>IF(S905&lt;&gt;eRRSP_Tx_Table[[#This Row],[Year]],SUMIFS($W$4:$W904,$S$4:$S904,eRRSP_Tx_Table[[#This Row],[Year]],$W$4:$W904,"&gt;0"),"")</f>
        <v/>
      </c>
      <c r="Z904" s="10" t="str">
        <f>IF(S905&lt;&gt;eRRSP_Tx_Table[[#This Row],[Year]],SUMIFS($W$4:$W904,$S$4:$S904,eRRSP_Tx_Table[[#This Row],[Year]],$W$4:$W904,"&lt;0"),"")</f>
        <v/>
      </c>
      <c r="AA904" s="3">
        <f>(SUMIF($U$4:$U904,CONCATENATE("Buy",$C904),$N$4:$N904)+SUMIF($U$4:$U904,CONCATENATE("ReinvDiv",$C904),$N$4:$N904))</f>
        <v>-25041.47</v>
      </c>
      <c r="AB904">
        <f>(SUMIF($U$4:$U904,CONCATENATE("Buy",$C904),$F$4:$F904)+SUMIF($U$4:$U904,CONCATENATE("ReinvDiv",$C904),$F$4:$F904)+SUMIF($U$4:$U904,CONCATENATE("StkSplit",$C904),$F$4:$F904)-SUMIF($U$4:$U904,CONCATENATE("Sell",$C904),$F$4:$F904))</f>
        <v>1157</v>
      </c>
      <c r="AC904" s="3">
        <f>IF(B904="Sell",F904*INDEX(V:V,LOOKUP(2,1/(X$4:X903=CONCATENATE(C904,"_ACB")),ROW(V$4:V903))),0)</f>
        <v>0</v>
      </c>
    </row>
    <row r="905" spans="1:30" x14ac:dyDescent="0.25">
      <c r="A905" s="20">
        <v>41655</v>
      </c>
      <c r="B905" t="s">
        <v>32</v>
      </c>
      <c r="C905" t="s">
        <v>104</v>
      </c>
      <c r="D905" s="3">
        <v>56009.99</v>
      </c>
      <c r="E905">
        <v>28</v>
      </c>
      <c r="F905" s="3">
        <v>2000</v>
      </c>
      <c r="G905">
        <v>9.99</v>
      </c>
      <c r="M905" s="21">
        <f t="shared" si="114"/>
        <v>56000</v>
      </c>
      <c r="N905" s="8">
        <f t="shared" si="112"/>
        <v>-56009.99</v>
      </c>
      <c r="O905" s="25">
        <f t="shared" si="118"/>
        <v>15195.539999999914</v>
      </c>
      <c r="P905" s="8">
        <f t="shared" si="115"/>
        <v>0</v>
      </c>
      <c r="Q905" s="4">
        <f>IF(AND(S905&gt;=[1]eRRSP_Rpt!$C$6,S905&lt;=[1]eRRSP_Rpt!$C$7),1,0)</f>
        <v>1</v>
      </c>
      <c r="R905" s="4"/>
      <c r="S905" s="4">
        <f t="shared" si="113"/>
        <v>2014</v>
      </c>
      <c r="T905" s="4"/>
      <c r="U905" s="4" t="str">
        <f t="shared" si="116"/>
        <v>BuyVanguard US Total Market ETF</v>
      </c>
      <c r="V905" s="23">
        <f>IFERROR(IF(AND(AB905&gt;0,B905&lt;&gt;"Sell"),(AA905-SUMIF(C$4:C904,C905,AC$4:AC905))/AB905,0),"")</f>
        <v>-28.004994999999997</v>
      </c>
      <c r="W905" s="24" t="str">
        <f t="shared" si="120"/>
        <v/>
      </c>
      <c r="X905" s="25" t="str">
        <f t="shared" si="119"/>
        <v>Vanguard US Total Market ETF_ACB</v>
      </c>
      <c r="Y905" s="10" t="str">
        <f>IF(S906&lt;&gt;eRRSP_Tx_Table[[#This Row],[Year]],SUMIFS($W$4:$W905,$S$4:$S905,eRRSP_Tx_Table[[#This Row],[Year]],$W$4:$W905,"&gt;0"),"")</f>
        <v/>
      </c>
      <c r="Z905" s="10" t="str">
        <f>IF(S906&lt;&gt;eRRSP_Tx_Table[[#This Row],[Year]],SUMIFS($W$4:$W905,$S$4:$S905,eRRSP_Tx_Table[[#This Row],[Year]],$W$4:$W905,"&lt;0"),"")</f>
        <v/>
      </c>
      <c r="AA905" s="3">
        <f>(SUMIF($U$4:$U905,CONCATENATE("Buy",$C905),$N$4:$N905)+SUMIF($U$4:$U905,CONCATENATE("ReinvDiv",$C905),$N$4:$N905))</f>
        <v>-56009.99</v>
      </c>
      <c r="AB905">
        <f>(SUMIF($U$4:$U905,CONCATENATE("Buy",$C905),$F$4:$F905)+SUMIF($U$4:$U905,CONCATENATE("ReinvDiv",$C905),$F$4:$F905)+SUMIF($U$4:$U905,CONCATENATE("StkSplit",$C905),$F$4:$F905)-SUMIF($U$4:$U905,CONCATENATE("Sell",$C905),$F$4:$F905))</f>
        <v>2000</v>
      </c>
      <c r="AC905" s="3">
        <f>IF(B905="Sell",F905*INDEX(V:V,LOOKUP(2,1/(X$4:X904=CONCATENATE(C905,"_ACB")),ROW(V$4:V904))),0)</f>
        <v>0</v>
      </c>
    </row>
    <row r="906" spans="1:30" x14ac:dyDescent="0.25">
      <c r="A906" s="20">
        <v>41655</v>
      </c>
      <c r="B906" t="s">
        <v>40</v>
      </c>
      <c r="C906" t="s">
        <v>96</v>
      </c>
      <c r="D906" s="3">
        <v>12000</v>
      </c>
      <c r="E906">
        <v>22.12</v>
      </c>
      <c r="F906" s="3">
        <v>542.495</v>
      </c>
      <c r="M906" s="21">
        <f t="shared" si="114"/>
        <v>11999.99</v>
      </c>
      <c r="N906" s="8">
        <f t="shared" ref="N906:N969" si="121">IF(OR(B906="Buy",B906="ReinvDiv"),-M906-G906,M906-G906)</f>
        <v>11999.99</v>
      </c>
      <c r="O906" s="25">
        <f t="shared" si="118"/>
        <v>27195.529999999912</v>
      </c>
      <c r="P906" s="8">
        <f t="shared" si="115"/>
        <v>0</v>
      </c>
      <c r="Q906" s="4">
        <f>IF(AND(S906&gt;=[1]eRRSP_Rpt!$C$6,S906&lt;=[1]eRRSP_Rpt!$C$7),1,0)</f>
        <v>1</v>
      </c>
      <c r="R906" s="4"/>
      <c r="S906" s="4">
        <f t="shared" si="113"/>
        <v>2014</v>
      </c>
      <c r="T906" s="4"/>
      <c r="U906" s="4" t="str">
        <f t="shared" si="116"/>
        <v>SellTD Canadian Index - e</v>
      </c>
      <c r="V906" s="23">
        <f>IFERROR(IF(AND(AB906&gt;0,B906&lt;&gt;"Sell"),(AA906-SUMIF(C$4:C905,C906,AC$4:AC906))/AB906,0),"")</f>
        <v>0</v>
      </c>
      <c r="W906" s="24">
        <f t="shared" si="120"/>
        <v>1396.9790159362401</v>
      </c>
      <c r="X906" s="25" t="str">
        <f t="shared" si="119"/>
        <v/>
      </c>
      <c r="Y906" s="10" t="str">
        <f>IF(S907&lt;&gt;eRRSP_Tx_Table[[#This Row],[Year]],SUMIFS($W$4:$W906,$S$4:$S906,eRRSP_Tx_Table[[#This Row],[Year]],$W$4:$W906,"&gt;0"),"")</f>
        <v/>
      </c>
      <c r="Z906" s="10" t="str">
        <f>IF(S907&lt;&gt;eRRSP_Tx_Table[[#This Row],[Year]],SUMIFS($W$4:$W906,$S$4:$S906,eRRSP_Tx_Table[[#This Row],[Year]],$W$4:$W906,"&lt;0"),"")</f>
        <v/>
      </c>
      <c r="AA906" s="3">
        <f>(SUMIF($U$4:$U906,CONCATENATE("Buy",$C906),$N$4:$N906)+SUMIF($U$4:$U906,CONCATENATE("ReinvDiv",$C906),$N$4:$N906))</f>
        <v>-16349.72</v>
      </c>
      <c r="AB906">
        <f>(SUMIF($U$4:$U906,CONCATENATE("Buy",$C906),$F$4:$F906)+SUMIF($U$4:$U906,CONCATENATE("ReinvDiv",$C906),$F$4:$F906)+SUMIF($U$4:$U906,CONCATENATE("StkSplit",$C906),$F$4:$F906)-SUMIF($U$4:$U906,CONCATENATE("Sell",$C906),$F$4:$F906))</f>
        <v>294.02599999999995</v>
      </c>
      <c r="AC906" s="3">
        <f>IF(B906="Sell",F906*INDEX(V:V,LOOKUP(2,1/(X$4:X905=CONCATENATE(C906,"_ACB")),ROW(V$4:V905))),0)</f>
        <v>-10603.01098406376</v>
      </c>
      <c r="AD906">
        <f>INDEX(V:V,LOOKUP(2,1/(C$4:C905=C906),ROW(V$4:V905)))</f>
        <v>-19.544900845286609</v>
      </c>
    </row>
    <row r="907" spans="1:30" x14ac:dyDescent="0.25">
      <c r="A907" s="20">
        <v>41655</v>
      </c>
      <c r="B907" t="s">
        <v>40</v>
      </c>
      <c r="C907" t="s">
        <v>97</v>
      </c>
      <c r="D907" s="3">
        <v>28000</v>
      </c>
      <c r="E907">
        <v>11.36</v>
      </c>
      <c r="F907" s="3">
        <v>2464.7890000000002</v>
      </c>
      <c r="M907" s="21">
        <f t="shared" si="114"/>
        <v>28000</v>
      </c>
      <c r="N907" s="8">
        <f t="shared" si="121"/>
        <v>28000</v>
      </c>
      <c r="O907" s="25">
        <f t="shared" si="118"/>
        <v>55195.529999999912</v>
      </c>
      <c r="P907" s="8">
        <f t="shared" si="115"/>
        <v>0</v>
      </c>
      <c r="Q907" s="4">
        <f>IF(AND(S907&gt;=[1]eRRSP_Rpt!$C$6,S907&lt;=[1]eRRSP_Rpt!$C$7),1,0)</f>
        <v>1</v>
      </c>
      <c r="R907" s="4"/>
      <c r="S907" s="4">
        <f t="shared" si="113"/>
        <v>2014</v>
      </c>
      <c r="T907" s="4"/>
      <c r="U907" s="4" t="str">
        <f t="shared" si="116"/>
        <v>SellTD International Index - e</v>
      </c>
      <c r="V907" s="23">
        <f>IFERROR(IF(AND(AB907&gt;0,B907&lt;&gt;"Sell"),(AA907-SUMIF(C$4:C906,C907,AC$4:AC907))/AB907,0),"")</f>
        <v>0</v>
      </c>
      <c r="W907" s="24">
        <f t="shared" si="120"/>
        <v>7352.077773671288</v>
      </c>
      <c r="X907" s="25" t="str">
        <f t="shared" si="119"/>
        <v/>
      </c>
      <c r="Y907" s="10" t="str">
        <f>IF(S908&lt;&gt;eRRSP_Tx_Table[[#This Row],[Year]],SUMIFS($W$4:$W907,$S$4:$S907,eRRSP_Tx_Table[[#This Row],[Year]],$W$4:$W907,"&gt;0"),"")</f>
        <v/>
      </c>
      <c r="Z907" s="10" t="str">
        <f>IF(S908&lt;&gt;eRRSP_Tx_Table[[#This Row],[Year]],SUMIFS($W$4:$W907,$S$4:$S907,eRRSP_Tx_Table[[#This Row],[Year]],$W$4:$W907,"&lt;0"),"")</f>
        <v/>
      </c>
      <c r="AA907" s="3">
        <f>(SUMIF($U$4:$U907,CONCATENATE("Buy",$C907),$N$4:$N907)+SUMIF($U$4:$U907,CONCATENATE("ReinvDiv",$C907),$N$4:$N907))</f>
        <v>-29543.439999999999</v>
      </c>
      <c r="AB907">
        <f>(SUMIF($U$4:$U907,CONCATENATE("Buy",$C907),$F$4:$F907)+SUMIF($U$4:$U907,CONCATENATE("ReinvDiv",$C907),$F$4:$F907)+SUMIF($U$4:$U907,CONCATENATE("StkSplit",$C907),$F$4:$F907)-SUMIF($U$4:$U907,CONCATENATE("Sell",$C907),$F$4:$F907))</f>
        <v>1061.8779999999997</v>
      </c>
      <c r="AC907" s="3">
        <f>IF(B907="Sell",F907*INDEX(V:V,LOOKUP(2,1/(X$4:X906=CONCATENATE(C907,"_ACB")),ROW(V$4:V906))),0)</f>
        <v>-20647.922226328712</v>
      </c>
    </row>
    <row r="908" spans="1:30" x14ac:dyDescent="0.25">
      <c r="A908" s="20">
        <v>41665</v>
      </c>
      <c r="B908" t="s">
        <v>43</v>
      </c>
      <c r="C908" t="s">
        <v>94</v>
      </c>
      <c r="D908" s="3">
        <v>486.5</v>
      </c>
      <c r="M908" s="21">
        <f t="shared" si="114"/>
        <v>486.5</v>
      </c>
      <c r="N908" s="8">
        <f t="shared" si="121"/>
        <v>486.5</v>
      </c>
      <c r="O908" s="25">
        <f t="shared" si="118"/>
        <v>55682.029999999912</v>
      </c>
      <c r="P908" s="8">
        <f t="shared" si="115"/>
        <v>0</v>
      </c>
      <c r="Q908" s="4">
        <f>IF(AND(S908&gt;=[1]eRRSP_Rpt!$C$6,S908&lt;=[1]eRRSP_Rpt!$C$7),1,0)</f>
        <v>1</v>
      </c>
      <c r="R908" s="4"/>
      <c r="S908" s="4">
        <f t="shared" si="113"/>
        <v>2014</v>
      </c>
      <c r="T908" s="4"/>
      <c r="U908" s="4" t="str">
        <f t="shared" si="116"/>
        <v>IntIncAIMIA SER-3  6.95% 26JA17</v>
      </c>
      <c r="V908" s="23">
        <f>IFERROR(IF(AND(AB908&gt;0,B908&lt;&gt;"Sell"),(AA908-SUMIF(C$4:C907,C908,AC$4:AC908))/AB908,0),"")</f>
        <v>-1.0346899999999999</v>
      </c>
      <c r="W908" s="24" t="str">
        <f t="shared" si="120"/>
        <v/>
      </c>
      <c r="X908" s="25" t="str">
        <f t="shared" si="119"/>
        <v>AIMIA SER-3  6.95% 26JA17_ACB</v>
      </c>
      <c r="Y908" s="10" t="str">
        <f>IF(S909&lt;&gt;eRRSP_Tx_Table[[#This Row],[Year]],SUMIFS($W$4:$W908,$S$4:$S908,eRRSP_Tx_Table[[#This Row],[Year]],$W$4:$W908,"&gt;0"),"")</f>
        <v/>
      </c>
      <c r="Z908" s="10" t="str">
        <f>IF(S909&lt;&gt;eRRSP_Tx_Table[[#This Row],[Year]],SUMIFS($W$4:$W908,$S$4:$S908,eRRSP_Tx_Table[[#This Row],[Year]],$W$4:$W908,"&lt;0"),"")</f>
        <v/>
      </c>
      <c r="AA908" s="3">
        <f>(SUMIF($U$4:$U908,CONCATENATE("Buy",$C908),$N$4:$N908)+SUMIF($U$4:$U908,CONCATENATE("ReinvDiv",$C908),$N$4:$N908))</f>
        <v>-14485.66</v>
      </c>
      <c r="AB908">
        <f>(SUMIF($U$4:$U908,CONCATENATE("Buy",$C908),$F$4:$F908)+SUMIF($U$4:$U908,CONCATENATE("ReinvDiv",$C908),$F$4:$F908)+SUMIF($U$4:$U908,CONCATENATE("StkSplit",$C908),$F$4:$F908)-SUMIF($U$4:$U908,CONCATENATE("Sell",$C908),$F$4:$F908))</f>
        <v>14000</v>
      </c>
      <c r="AC908" s="3">
        <f>IF(B908="Sell",F908*INDEX(V:V,LOOKUP(2,1/(X$4:X907=CONCATENATE(C908,"_ACB")),ROW(V$4:V907))),0)</f>
        <v>0</v>
      </c>
    </row>
    <row r="909" spans="1:30" x14ac:dyDescent="0.25">
      <c r="A909" s="20">
        <v>41667</v>
      </c>
      <c r="B909" t="s">
        <v>32</v>
      </c>
      <c r="C909" t="s">
        <v>99</v>
      </c>
      <c r="D909" s="3">
        <v>3900</v>
      </c>
      <c r="E909">
        <v>10</v>
      </c>
      <c r="F909" s="3">
        <v>390</v>
      </c>
      <c r="M909" s="21">
        <f t="shared" si="114"/>
        <v>3900</v>
      </c>
      <c r="N909" s="8">
        <f t="shared" si="121"/>
        <v>-3900</v>
      </c>
      <c r="O909" s="25">
        <f t="shared" si="118"/>
        <v>51782.029999999912</v>
      </c>
      <c r="P909" s="8">
        <f t="shared" si="115"/>
        <v>0</v>
      </c>
      <c r="Q909" s="4">
        <f>IF(AND(S909&gt;=[1]eRRSP_Rpt!$C$6,S909&lt;=[1]eRRSP_Rpt!$C$7),1,0)</f>
        <v>1</v>
      </c>
      <c r="R909" s="4"/>
      <c r="S909" s="4">
        <f t="shared" si="113"/>
        <v>2014</v>
      </c>
      <c r="T909" s="4"/>
      <c r="U909" s="4" t="str">
        <f t="shared" si="116"/>
        <v>BuyTD INV SAV ACCT  /NL'FRAC</v>
      </c>
      <c r="V909" s="23">
        <f>IFERROR(IF(AND(AB909&gt;0,B909&lt;&gt;"Sell"),(AA909-SUMIF(C$4:C908,C909,AC$4:AC909))/AB909,0),"")</f>
        <v>-10</v>
      </c>
      <c r="W909" s="24" t="str">
        <f t="shared" si="120"/>
        <v/>
      </c>
      <c r="X909" s="25" t="str">
        <f t="shared" si="119"/>
        <v>TD INV SAV ACCT  /NL'FRAC_ACB</v>
      </c>
      <c r="Y909" s="10" t="str">
        <f>IF(S910&lt;&gt;eRRSP_Tx_Table[[#This Row],[Year]],SUMIFS($W$4:$W909,$S$4:$S909,eRRSP_Tx_Table[[#This Row],[Year]],$W$4:$W909,"&gt;0"),"")</f>
        <v/>
      </c>
      <c r="Z909" s="10" t="str">
        <f>IF(S910&lt;&gt;eRRSP_Tx_Table[[#This Row],[Year]],SUMIFS($W$4:$W909,$S$4:$S909,eRRSP_Tx_Table[[#This Row],[Year]],$W$4:$W909,"&lt;0"),"")</f>
        <v/>
      </c>
      <c r="AA909" s="3">
        <f>(SUMIF($U$4:$U909,CONCATENATE("Buy",$C909),$N$4:$N909)+SUMIF($U$4:$U909,CONCATENATE("ReinvDiv",$C909),$N$4:$N909))</f>
        <v>-30900</v>
      </c>
      <c r="AB909">
        <f>(SUMIF($U$4:$U909,CONCATENATE("Buy",$C909),$F$4:$F909)+SUMIF($U$4:$U909,CONCATENATE("ReinvDiv",$C909),$F$4:$F909)+SUMIF($U$4:$U909,CONCATENATE("StkSplit",$C909),$F$4:$F909)-SUMIF($U$4:$U909,CONCATENATE("Sell",$C909),$F$4:$F909))</f>
        <v>1790</v>
      </c>
      <c r="AC909" s="3">
        <f>IF(B909="Sell",F909*INDEX(V:V,LOOKUP(2,1/(X$4:X908=CONCATENATE(C909,"_ACB")),ROW(V$4:V908))),0)</f>
        <v>0</v>
      </c>
    </row>
    <row r="910" spans="1:30" x14ac:dyDescent="0.25">
      <c r="A910" s="20">
        <v>41668</v>
      </c>
      <c r="B910" t="s">
        <v>32</v>
      </c>
      <c r="C910" t="s">
        <v>105</v>
      </c>
      <c r="D910" s="3">
        <v>40263</v>
      </c>
      <c r="E910">
        <v>25.16</v>
      </c>
      <c r="F910" s="3">
        <v>1600</v>
      </c>
      <c r="G910">
        <v>7</v>
      </c>
      <c r="M910" s="21">
        <f t="shared" si="114"/>
        <v>40256</v>
      </c>
      <c r="N910" s="8">
        <f t="shared" si="121"/>
        <v>-40263</v>
      </c>
      <c r="O910" s="25">
        <f t="shared" si="118"/>
        <v>11519.029999999912</v>
      </c>
      <c r="P910" s="8">
        <f t="shared" si="115"/>
        <v>0</v>
      </c>
      <c r="Q910" s="4">
        <f>IF(AND(S910&gt;=[1]eRRSP_Rpt!$C$6,S910&lt;=[1]eRRSP_Rpt!$C$7),1,0)</f>
        <v>1</v>
      </c>
      <c r="R910" s="4"/>
      <c r="S910" s="4">
        <f t="shared" si="113"/>
        <v>2014</v>
      </c>
      <c r="T910" s="4"/>
      <c r="U910" s="4" t="str">
        <f t="shared" si="116"/>
        <v>BuyVanguard CDN S/T Corp Bond</v>
      </c>
      <c r="V910" s="23">
        <f>IFERROR(IF(AND(AB910&gt;0,B910&lt;&gt;"Sell"),(AA910-SUMIF(C$4:C909,C910,AC$4:AC910))/AB910,0),"")</f>
        <v>-25.164375</v>
      </c>
      <c r="W910" s="24" t="str">
        <f t="shared" si="120"/>
        <v/>
      </c>
      <c r="X910" s="25" t="str">
        <f t="shared" si="119"/>
        <v>Vanguard CDN S/T Corp Bond_ACB</v>
      </c>
      <c r="Y910" s="10" t="str">
        <f>IF(S911&lt;&gt;eRRSP_Tx_Table[[#This Row],[Year]],SUMIFS($W$4:$W910,$S$4:$S910,eRRSP_Tx_Table[[#This Row],[Year]],$W$4:$W910,"&gt;0"),"")</f>
        <v/>
      </c>
      <c r="Z910" s="10" t="str">
        <f>IF(S911&lt;&gt;eRRSP_Tx_Table[[#This Row],[Year]],SUMIFS($W$4:$W910,$S$4:$S910,eRRSP_Tx_Table[[#This Row],[Year]],$W$4:$W910,"&lt;0"),"")</f>
        <v/>
      </c>
      <c r="AA910" s="3">
        <f>(SUMIF($U$4:$U910,CONCATENATE("Buy",$C910),$N$4:$N910)+SUMIF($U$4:$U910,CONCATENATE("ReinvDiv",$C910),$N$4:$N910))</f>
        <v>-40263</v>
      </c>
      <c r="AB910">
        <f>(SUMIF($U$4:$U910,CONCATENATE("Buy",$C910),$F$4:$F910)+SUMIF($U$4:$U910,CONCATENATE("ReinvDiv",$C910),$F$4:$F910)+SUMIF($U$4:$U910,CONCATENATE("StkSplit",$C910),$F$4:$F910)-SUMIF($U$4:$U910,CONCATENATE("Sell",$C910),$F$4:$F910))</f>
        <v>1600</v>
      </c>
      <c r="AC910" s="3">
        <f>IF(B910="Sell",F910*INDEX(V:V,LOOKUP(2,1/(X$4:X909=CONCATENATE(C910,"_ACB")),ROW(V$4:V909))),0)</f>
        <v>0</v>
      </c>
    </row>
    <row r="911" spans="1:30" x14ac:dyDescent="0.25">
      <c r="A911" s="20">
        <v>41668</v>
      </c>
      <c r="B911" t="s">
        <v>32</v>
      </c>
      <c r="C911" t="s">
        <v>105</v>
      </c>
      <c r="D911" s="3">
        <v>956.08</v>
      </c>
      <c r="E911">
        <v>25.16</v>
      </c>
      <c r="F911" s="3">
        <v>38</v>
      </c>
      <c r="M911" s="21">
        <f t="shared" si="114"/>
        <v>956.08</v>
      </c>
      <c r="N911" s="8">
        <f t="shared" si="121"/>
        <v>-956.08</v>
      </c>
      <c r="O911" s="25">
        <f t="shared" si="118"/>
        <v>10562.949999999912</v>
      </c>
      <c r="P911" s="8">
        <f t="shared" si="115"/>
        <v>0</v>
      </c>
      <c r="Q911" s="4">
        <f>IF(AND(S911&gt;=[1]eRRSP_Rpt!$C$6,S911&lt;=[1]eRRSP_Rpt!$C$7),1,0)</f>
        <v>1</v>
      </c>
      <c r="R911" s="4"/>
      <c r="S911" s="4">
        <f t="shared" si="113"/>
        <v>2014</v>
      </c>
      <c r="T911" s="4"/>
      <c r="U911" s="4" t="str">
        <f t="shared" si="116"/>
        <v>BuyVanguard CDN S/T Corp Bond</v>
      </c>
      <c r="V911" s="23">
        <f>IFERROR(IF(AND(AB911&gt;0,B911&lt;&gt;"Sell"),(AA911-SUMIF(C$4:C910,C911,AC$4:AC911))/AB911,0),"")</f>
        <v>-25.164273504273506</v>
      </c>
      <c r="W911" s="24" t="str">
        <f t="shared" si="120"/>
        <v/>
      </c>
      <c r="X911" s="25" t="str">
        <f t="shared" si="119"/>
        <v>Vanguard CDN S/T Corp Bond_ACB</v>
      </c>
      <c r="Y911" s="10" t="str">
        <f>IF(S912&lt;&gt;eRRSP_Tx_Table[[#This Row],[Year]],SUMIFS($W$4:$W911,$S$4:$S911,eRRSP_Tx_Table[[#This Row],[Year]],$W$4:$W911,"&gt;0"),"")</f>
        <v/>
      </c>
      <c r="Z911" s="10" t="str">
        <f>IF(S912&lt;&gt;eRRSP_Tx_Table[[#This Row],[Year]],SUMIFS($W$4:$W911,$S$4:$S911,eRRSP_Tx_Table[[#This Row],[Year]],$W$4:$W911,"&lt;0"),"")</f>
        <v/>
      </c>
      <c r="AA911" s="3">
        <f>(SUMIF($U$4:$U911,CONCATENATE("Buy",$C911),$N$4:$N911)+SUMIF($U$4:$U911,CONCATENATE("ReinvDiv",$C911),$N$4:$N911))</f>
        <v>-41219.08</v>
      </c>
      <c r="AB911">
        <f>(SUMIF($U$4:$U911,CONCATENATE("Buy",$C911),$F$4:$F911)+SUMIF($U$4:$U911,CONCATENATE("ReinvDiv",$C911),$F$4:$F911)+SUMIF($U$4:$U911,CONCATENATE("StkSplit",$C911),$F$4:$F911)-SUMIF($U$4:$U911,CONCATENATE("Sell",$C911),$F$4:$F911))</f>
        <v>1638</v>
      </c>
      <c r="AC911" s="3">
        <f>IF(B911="Sell",F911*INDEX(V:V,LOOKUP(2,1/(X$4:X910=CONCATENATE(C911,"_ACB")),ROW(V$4:V910))),0)</f>
        <v>0</v>
      </c>
    </row>
    <row r="912" spans="1:30" x14ac:dyDescent="0.25">
      <c r="A912" s="20">
        <v>41669</v>
      </c>
      <c r="B912" t="s">
        <v>32</v>
      </c>
      <c r="C912" t="s">
        <v>96</v>
      </c>
      <c r="D912" s="3">
        <v>10000</v>
      </c>
      <c r="E912">
        <v>21.98</v>
      </c>
      <c r="F912" s="3">
        <v>454.959</v>
      </c>
      <c r="M912" s="21">
        <f t="shared" si="114"/>
        <v>10000</v>
      </c>
      <c r="N912" s="8">
        <f t="shared" si="121"/>
        <v>-10000</v>
      </c>
      <c r="O912" s="25">
        <f t="shared" si="118"/>
        <v>562.9499999999116</v>
      </c>
      <c r="P912" s="8">
        <f t="shared" si="115"/>
        <v>0</v>
      </c>
      <c r="Q912" s="4">
        <f>IF(AND(S912&gt;=[1]eRRSP_Rpt!$C$6,S912&lt;=[1]eRRSP_Rpt!$C$7),1,0)</f>
        <v>1</v>
      </c>
      <c r="R912" s="4"/>
      <c r="S912" s="4">
        <f t="shared" si="113"/>
        <v>2014</v>
      </c>
      <c r="T912" s="4"/>
      <c r="U912" s="4" t="str">
        <f t="shared" si="116"/>
        <v>BuyTD Canadian Index - e</v>
      </c>
      <c r="V912" s="23">
        <f>IFERROR(IF(AND(AB912&gt;0,B912&lt;&gt;"Sell"),(AA912-SUMIF(C$4:C911,C912,AC$4:AC912))/AB912,0),"")</f>
        <v>-21.024064588658305</v>
      </c>
      <c r="W912" s="24" t="str">
        <f t="shared" si="120"/>
        <v/>
      </c>
      <c r="X912" s="25" t="str">
        <f t="shared" si="119"/>
        <v>TD Canadian Index - e_ACB</v>
      </c>
      <c r="Y912" s="10" t="str">
        <f>IF(S913&lt;&gt;eRRSP_Tx_Table[[#This Row],[Year]],SUMIFS($W$4:$W912,$S$4:$S912,eRRSP_Tx_Table[[#This Row],[Year]],$W$4:$W912,"&gt;0"),"")</f>
        <v/>
      </c>
      <c r="Z912" s="10" t="str">
        <f>IF(S913&lt;&gt;eRRSP_Tx_Table[[#This Row],[Year]],SUMIFS($W$4:$W912,$S$4:$S912,eRRSP_Tx_Table[[#This Row],[Year]],$W$4:$W912,"&lt;0"),"")</f>
        <v/>
      </c>
      <c r="AA912" s="3">
        <f>(SUMIF($U$4:$U912,CONCATENATE("Buy",$C912),$N$4:$N912)+SUMIF($U$4:$U912,CONCATENATE("ReinvDiv",$C912),$N$4:$N912))</f>
        <v>-26349.72</v>
      </c>
      <c r="AB912">
        <f>(SUMIF($U$4:$U912,CONCATENATE("Buy",$C912),$F$4:$F912)+SUMIF($U$4:$U912,CONCATENATE("ReinvDiv",$C912),$F$4:$F912)+SUMIF($U$4:$U912,CONCATENATE("StkSplit",$C912),$F$4:$F912)-SUMIF($U$4:$U912,CONCATENATE("Sell",$C912),$F$4:$F912))</f>
        <v>748.98500000000001</v>
      </c>
      <c r="AC912" s="3">
        <f>IF(B912="Sell",F912*INDEX(V:V,LOOKUP(2,1/(X$4:X911=CONCATENATE(C912,"_ACB")),ROW(V$4:V911))),0)</f>
        <v>0</v>
      </c>
    </row>
    <row r="913" spans="1:29" x14ac:dyDescent="0.25">
      <c r="A913" s="20">
        <v>41670</v>
      </c>
      <c r="B913" t="s">
        <v>43</v>
      </c>
      <c r="C913" t="s">
        <v>99</v>
      </c>
      <c r="D913" s="3">
        <v>21.49</v>
      </c>
      <c r="M913" s="21">
        <f t="shared" si="114"/>
        <v>21.49</v>
      </c>
      <c r="N913" s="8">
        <f t="shared" si="121"/>
        <v>21.49</v>
      </c>
      <c r="O913" s="25">
        <f t="shared" si="118"/>
        <v>584.43999999991161</v>
      </c>
      <c r="P913" s="8">
        <f t="shared" si="115"/>
        <v>0</v>
      </c>
      <c r="Q913" s="4">
        <f>IF(AND(S913&gt;=[1]eRRSP_Rpt!$C$6,S913&lt;=[1]eRRSP_Rpt!$C$7),1,0)</f>
        <v>1</v>
      </c>
      <c r="R913" s="4"/>
      <c r="S913" s="4">
        <f t="shared" si="113"/>
        <v>2014</v>
      </c>
      <c r="T913" s="4"/>
      <c r="U913" s="4" t="str">
        <f t="shared" si="116"/>
        <v>IntIncTD INV SAV ACCT  /NL'FRAC</v>
      </c>
      <c r="V913" s="23">
        <f>IFERROR(IF(AND(AB913&gt;0,B913&lt;&gt;"Sell"),(AA913-SUMIF(C$4:C912,C913,AC$4:AC913))/AB913,0),"")</f>
        <v>-10</v>
      </c>
      <c r="W913" s="24" t="str">
        <f t="shared" si="120"/>
        <v/>
      </c>
      <c r="X913" s="25" t="str">
        <f t="shared" si="119"/>
        <v>TD INV SAV ACCT  /NL'FRAC_ACB</v>
      </c>
      <c r="Y913" s="10" t="str">
        <f>IF(S914&lt;&gt;eRRSP_Tx_Table[[#This Row],[Year]],SUMIFS($W$4:$W913,$S$4:$S913,eRRSP_Tx_Table[[#This Row],[Year]],$W$4:$W913,"&gt;0"),"")</f>
        <v/>
      </c>
      <c r="Z913" s="10" t="str">
        <f>IF(S914&lt;&gt;eRRSP_Tx_Table[[#This Row],[Year]],SUMIFS($W$4:$W913,$S$4:$S913,eRRSP_Tx_Table[[#This Row],[Year]],$W$4:$W913,"&lt;0"),"")</f>
        <v/>
      </c>
      <c r="AA913" s="3">
        <f>(SUMIF($U$4:$U913,CONCATENATE("Buy",$C913),$N$4:$N913)+SUMIF($U$4:$U913,CONCATENATE("ReinvDiv",$C913),$N$4:$N913))</f>
        <v>-30900</v>
      </c>
      <c r="AB913">
        <f>(SUMIF($U$4:$U913,CONCATENATE("Buy",$C913),$F$4:$F913)+SUMIF($U$4:$U913,CONCATENATE("ReinvDiv",$C913),$F$4:$F913)+SUMIF($U$4:$U913,CONCATENATE("StkSplit",$C913),$F$4:$F913)-SUMIF($U$4:$U913,CONCATENATE("Sell",$C913),$F$4:$F913))</f>
        <v>1790</v>
      </c>
      <c r="AC913" s="3">
        <f>IF(B913="Sell",F913*INDEX(V:V,LOOKUP(2,1/(X$4:X912=CONCATENATE(C913,"_ACB")),ROW(V$4:V912))),0)</f>
        <v>0</v>
      </c>
    </row>
    <row r="914" spans="1:29" x14ac:dyDescent="0.25">
      <c r="A914" s="20">
        <v>41675</v>
      </c>
      <c r="B914" t="s">
        <v>42</v>
      </c>
      <c r="C914" t="s">
        <v>105</v>
      </c>
      <c r="D914" s="3">
        <v>131.53</v>
      </c>
      <c r="M914" s="21">
        <f t="shared" si="114"/>
        <v>131.53</v>
      </c>
      <c r="N914" s="8">
        <f t="shared" si="121"/>
        <v>131.53</v>
      </c>
      <c r="O914" s="25">
        <f t="shared" si="118"/>
        <v>715.96999999991158</v>
      </c>
      <c r="P914" s="8">
        <f t="shared" si="115"/>
        <v>0</v>
      </c>
      <c r="Q914" s="4">
        <f>IF(AND(S914&gt;=[1]eRRSP_Rpt!$C$6,S914&lt;=[1]eRRSP_Rpt!$C$7),1,0)</f>
        <v>1</v>
      </c>
      <c r="R914" s="4"/>
      <c r="S914" s="4">
        <f t="shared" si="113"/>
        <v>2014</v>
      </c>
      <c r="T914" s="4"/>
      <c r="U914" s="4" t="str">
        <f t="shared" si="116"/>
        <v>DivVanguard CDN S/T Corp Bond</v>
      </c>
      <c r="V914" s="23">
        <f>IFERROR(IF(AND(AB914&gt;0,B914&lt;&gt;"Sell"),(AA914-SUMIF(C$4:C913,C914,AC$4:AC914))/AB914,0),"")</f>
        <v>-25.164273504273506</v>
      </c>
      <c r="W914" s="24" t="str">
        <f t="shared" si="120"/>
        <v/>
      </c>
      <c r="X914" s="25" t="str">
        <f t="shared" si="119"/>
        <v>Vanguard CDN S/T Corp Bond_ACB</v>
      </c>
      <c r="Y914" s="10" t="str">
        <f>IF(S915&lt;&gt;eRRSP_Tx_Table[[#This Row],[Year]],SUMIFS($W$4:$W914,$S$4:$S914,eRRSP_Tx_Table[[#This Row],[Year]],$W$4:$W914,"&gt;0"),"")</f>
        <v/>
      </c>
      <c r="Z914" s="10" t="str">
        <f>IF(S915&lt;&gt;eRRSP_Tx_Table[[#This Row],[Year]],SUMIFS($W$4:$W914,$S$4:$S914,eRRSP_Tx_Table[[#This Row],[Year]],$W$4:$W914,"&lt;0"),"")</f>
        <v/>
      </c>
      <c r="AA914" s="3">
        <f>(SUMIF($U$4:$U914,CONCATENATE("Buy",$C914),$N$4:$N914)+SUMIF($U$4:$U914,CONCATENATE("ReinvDiv",$C914),$N$4:$N914))</f>
        <v>-41219.08</v>
      </c>
      <c r="AB914">
        <f>(SUMIF($U$4:$U914,CONCATENATE("Buy",$C914),$F$4:$F914)+SUMIF($U$4:$U914,CONCATENATE("ReinvDiv",$C914),$F$4:$F914)+SUMIF($U$4:$U914,CONCATENATE("StkSplit",$C914),$F$4:$F914)-SUMIF($U$4:$U914,CONCATENATE("Sell",$C914),$F$4:$F914))</f>
        <v>1638</v>
      </c>
      <c r="AC914" s="3">
        <f>IF(B914="Sell",F914*INDEX(V:V,LOOKUP(2,1/(X$4:X913=CONCATENATE(C914,"_ACB")),ROW(V$4:V913))),0)</f>
        <v>0</v>
      </c>
    </row>
    <row r="915" spans="1:29" x14ac:dyDescent="0.25">
      <c r="A915" s="20">
        <v>41685</v>
      </c>
      <c r="B915" t="s">
        <v>30</v>
      </c>
      <c r="H915" t="s">
        <v>69</v>
      </c>
      <c r="M915" s="21">
        <f t="shared" si="114"/>
        <v>0</v>
      </c>
      <c r="N915" s="8">
        <f t="shared" si="121"/>
        <v>0</v>
      </c>
      <c r="O915" s="25">
        <f t="shared" si="118"/>
        <v>715.96999999991158</v>
      </c>
      <c r="P915" s="8">
        <f t="shared" si="115"/>
        <v>0</v>
      </c>
      <c r="Q915" s="4">
        <f>IF(AND(S915&gt;=[1]eRRSP_Rpt!$C$6,S915&lt;=[1]eRRSP_Rpt!$C$7),1,0)</f>
        <v>1</v>
      </c>
      <c r="R915" s="4"/>
      <c r="S915" s="4">
        <f t="shared" si="113"/>
        <v>2014</v>
      </c>
      <c r="T915" s="4"/>
      <c r="U915" s="4" t="str">
        <f t="shared" si="116"/>
        <v>Cash</v>
      </c>
      <c r="V915" s="23">
        <f>IFERROR(IF(AND(AB915&gt;0,B915&lt;&gt;"Sell"),(AA915-SUMIF(C$4:C914,C915,AC$4:AC915))/AB915,0),"")</f>
        <v>0</v>
      </c>
      <c r="W915" s="24" t="str">
        <f t="shared" si="120"/>
        <v/>
      </c>
      <c r="X915" s="25" t="str">
        <f t="shared" si="119"/>
        <v/>
      </c>
      <c r="Y915" s="10" t="str">
        <f>IF(S916&lt;&gt;eRRSP_Tx_Table[[#This Row],[Year]],SUMIFS($W$4:$W915,$S$4:$S915,eRRSP_Tx_Table[[#This Row],[Year]],$W$4:$W915,"&gt;0"),"")</f>
        <v/>
      </c>
      <c r="Z915" s="10" t="str">
        <f>IF(S916&lt;&gt;eRRSP_Tx_Table[[#This Row],[Year]],SUMIFS($W$4:$W915,$S$4:$S915,eRRSP_Tx_Table[[#This Row],[Year]],$W$4:$W915,"&lt;0"),"")</f>
        <v/>
      </c>
      <c r="AA915" s="3">
        <f>(SUMIF($U$4:$U915,CONCATENATE("Buy",$C915),$N$4:$N915)+SUMIF($U$4:$U915,CONCATENATE("ReinvDiv",$C915),$N$4:$N915))</f>
        <v>0</v>
      </c>
      <c r="AB915">
        <f>(SUMIF($U$4:$U915,CONCATENATE("Buy",$C915),$F$4:$F915)+SUMIF($U$4:$U915,CONCATENATE("ReinvDiv",$C915),$F$4:$F915)+SUMIF($U$4:$U915,CONCATENATE("StkSplit",$C915),$F$4:$F915)-SUMIF($U$4:$U915,CONCATENATE("Sell",$C915),$F$4:$F915))</f>
        <v>0</v>
      </c>
      <c r="AC915" s="3">
        <f>IF(B915="Sell",F915*INDEX(V:V,LOOKUP(2,1/(X$4:X914=CONCATENATE(C915,"_ACB")),ROW(V$4:V914))),0)</f>
        <v>0</v>
      </c>
    </row>
    <row r="916" spans="1:29" x14ac:dyDescent="0.25">
      <c r="A916" s="20">
        <v>41686</v>
      </c>
      <c r="B916" t="s">
        <v>43</v>
      </c>
      <c r="C916" t="s">
        <v>36</v>
      </c>
      <c r="D916" s="3">
        <v>0.5</v>
      </c>
      <c r="M916" s="21">
        <f t="shared" si="114"/>
        <v>0.5</v>
      </c>
      <c r="N916" s="8">
        <f t="shared" si="121"/>
        <v>0.5</v>
      </c>
      <c r="O916" s="25">
        <f t="shared" si="118"/>
        <v>716.46999999991158</v>
      </c>
      <c r="P916" s="8">
        <f t="shared" si="115"/>
        <v>0</v>
      </c>
      <c r="Q916" s="4">
        <f>IF(AND(S916&gt;=[1]eRRSP_Rpt!$C$6,S916&lt;=[1]eRRSP_Rpt!$C$7),1,0)</f>
        <v>1</v>
      </c>
      <c r="R916" s="4"/>
      <c r="S916" s="4">
        <f t="shared" si="113"/>
        <v>2014</v>
      </c>
      <c r="T916" s="4"/>
      <c r="U916" s="4" t="str">
        <f t="shared" si="116"/>
        <v>IntIncTDW</v>
      </c>
      <c r="V916" s="23">
        <f>IFERROR(IF(AND(AB916&gt;0,B916&lt;&gt;"Sell"),(AA916-SUMIF(C$4:C915,C916,AC$4:AC916))/AB916,0),"")</f>
        <v>0</v>
      </c>
      <c r="W916" s="24" t="str">
        <f t="shared" si="120"/>
        <v/>
      </c>
      <c r="X916" s="25" t="str">
        <f t="shared" si="119"/>
        <v/>
      </c>
      <c r="Y916" s="10" t="str">
        <f>IF(S917&lt;&gt;eRRSP_Tx_Table[[#This Row],[Year]],SUMIFS($W$4:$W916,$S$4:$S916,eRRSP_Tx_Table[[#This Row],[Year]],$W$4:$W916,"&gt;0"),"")</f>
        <v/>
      </c>
      <c r="Z916" s="10" t="str">
        <f>IF(S917&lt;&gt;eRRSP_Tx_Table[[#This Row],[Year]],SUMIFS($W$4:$W916,$S$4:$S916,eRRSP_Tx_Table[[#This Row],[Year]],$W$4:$W916,"&lt;0"),"")</f>
        <v/>
      </c>
      <c r="AA916" s="3">
        <f>(SUMIF($U$4:$U916,CONCATENATE("Buy",$C916),$N$4:$N916)+SUMIF($U$4:$U916,CONCATENATE("ReinvDiv",$C916),$N$4:$N916))</f>
        <v>0</v>
      </c>
      <c r="AB916">
        <f>(SUMIF($U$4:$U916,CONCATENATE("Buy",$C916),$F$4:$F916)+SUMIF($U$4:$U916,CONCATENATE("ReinvDiv",$C916),$F$4:$F916)+SUMIF($U$4:$U916,CONCATENATE("StkSplit",$C916),$F$4:$F916)-SUMIF($U$4:$U916,CONCATENATE("Sell",$C916),$F$4:$F916))</f>
        <v>0</v>
      </c>
      <c r="AC916" s="3">
        <f>IF(B916="Sell",F916*INDEX(V:V,LOOKUP(2,1/(X$4:X915=CONCATENATE(C916,"_ACB")),ROW(V$4:V915))),0)</f>
        <v>0</v>
      </c>
    </row>
    <row r="917" spans="1:29" x14ac:dyDescent="0.25">
      <c r="A917" s="20">
        <v>41698</v>
      </c>
      <c r="B917" t="s">
        <v>43</v>
      </c>
      <c r="C917" t="s">
        <v>99</v>
      </c>
      <c r="D917" s="3">
        <v>17.16</v>
      </c>
      <c r="M917" s="21">
        <f t="shared" si="114"/>
        <v>17.16</v>
      </c>
      <c r="N917" s="8">
        <f t="shared" si="121"/>
        <v>17.16</v>
      </c>
      <c r="O917" s="25">
        <f t="shared" si="118"/>
        <v>733.62999999991155</v>
      </c>
      <c r="P917" s="8">
        <f t="shared" si="115"/>
        <v>0</v>
      </c>
      <c r="Q917" s="4">
        <f>IF(AND(S917&gt;=[1]eRRSP_Rpt!$C$6,S917&lt;=[1]eRRSP_Rpt!$C$7),1,0)</f>
        <v>1</v>
      </c>
      <c r="R917" s="4"/>
      <c r="S917" s="4">
        <f t="shared" si="113"/>
        <v>2014</v>
      </c>
      <c r="T917" s="4"/>
      <c r="U917" s="4" t="str">
        <f t="shared" si="116"/>
        <v>IntIncTD INV SAV ACCT  /NL'FRAC</v>
      </c>
      <c r="V917" s="23">
        <f>IFERROR(IF(AND(AB917&gt;0,B917&lt;&gt;"Sell"),(AA917-SUMIF(C$4:C916,C917,AC$4:AC917))/AB917,0),"")</f>
        <v>-10</v>
      </c>
      <c r="W917" s="24" t="str">
        <f t="shared" si="120"/>
        <v/>
      </c>
      <c r="X917" s="25" t="str">
        <f t="shared" si="119"/>
        <v>TD INV SAV ACCT  /NL'FRAC_ACB</v>
      </c>
      <c r="Y917" s="10" t="str">
        <f>IF(S918&lt;&gt;eRRSP_Tx_Table[[#This Row],[Year]],SUMIFS($W$4:$W917,$S$4:$S917,eRRSP_Tx_Table[[#This Row],[Year]],$W$4:$W917,"&gt;0"),"")</f>
        <v/>
      </c>
      <c r="Z917" s="10" t="str">
        <f>IF(S918&lt;&gt;eRRSP_Tx_Table[[#This Row],[Year]],SUMIFS($W$4:$W917,$S$4:$S917,eRRSP_Tx_Table[[#This Row],[Year]],$W$4:$W917,"&lt;0"),"")</f>
        <v/>
      </c>
      <c r="AA917" s="3">
        <f>(SUMIF($U$4:$U917,CONCATENATE("Buy",$C917),$N$4:$N917)+SUMIF($U$4:$U917,CONCATENATE("ReinvDiv",$C917),$N$4:$N917))</f>
        <v>-30900</v>
      </c>
      <c r="AB917">
        <f>(SUMIF($U$4:$U917,CONCATENATE("Buy",$C917),$F$4:$F917)+SUMIF($U$4:$U917,CONCATENATE("ReinvDiv",$C917),$F$4:$F917)+SUMIF($U$4:$U917,CONCATENATE("StkSplit",$C917),$F$4:$F917)-SUMIF($U$4:$U917,CONCATENATE("Sell",$C917),$F$4:$F917))</f>
        <v>1790</v>
      </c>
      <c r="AC917" s="3">
        <f>IF(B917="Sell",F917*INDEX(V:V,LOOKUP(2,1/(X$4:X916=CONCATENATE(C917,"_ACB")),ROW(V$4:V916))),0)</f>
        <v>0</v>
      </c>
    </row>
    <row r="918" spans="1:29" x14ac:dyDescent="0.25">
      <c r="A918" s="20">
        <v>41703</v>
      </c>
      <c r="B918" t="s">
        <v>42</v>
      </c>
      <c r="C918" t="s">
        <v>105</v>
      </c>
      <c r="D918" s="3">
        <v>86.74</v>
      </c>
      <c r="M918" s="21">
        <f t="shared" si="114"/>
        <v>86.74</v>
      </c>
      <c r="N918" s="8">
        <f t="shared" si="121"/>
        <v>86.74</v>
      </c>
      <c r="O918" s="25">
        <f t="shared" si="118"/>
        <v>820.36999999991156</v>
      </c>
      <c r="P918" s="8">
        <f t="shared" si="115"/>
        <v>0</v>
      </c>
      <c r="Q918" s="4">
        <f>IF(AND(S918&gt;=[1]eRRSP_Rpt!$C$6,S918&lt;=[1]eRRSP_Rpt!$C$7),1,0)</f>
        <v>1</v>
      </c>
      <c r="R918" s="4"/>
      <c r="S918" s="4">
        <f t="shared" si="113"/>
        <v>2014</v>
      </c>
      <c r="T918" s="4"/>
      <c r="U918" s="4" t="str">
        <f t="shared" si="116"/>
        <v>DivVanguard CDN S/T Corp Bond</v>
      </c>
      <c r="V918" s="23">
        <f>IFERROR(IF(AND(AB918&gt;0,B918&lt;&gt;"Sell"),(AA918-SUMIF(C$4:C917,C918,AC$4:AC918))/AB918,0),"")</f>
        <v>-25.164273504273506</v>
      </c>
      <c r="W918" s="24" t="str">
        <f t="shared" si="120"/>
        <v/>
      </c>
      <c r="X918" s="25" t="str">
        <f t="shared" si="119"/>
        <v>Vanguard CDN S/T Corp Bond_ACB</v>
      </c>
      <c r="Y918" s="10" t="str">
        <f>IF(S919&lt;&gt;eRRSP_Tx_Table[[#This Row],[Year]],SUMIFS($W$4:$W918,$S$4:$S918,eRRSP_Tx_Table[[#This Row],[Year]],$W$4:$W918,"&gt;0"),"")</f>
        <v/>
      </c>
      <c r="Z918" s="10" t="str">
        <f>IF(S919&lt;&gt;eRRSP_Tx_Table[[#This Row],[Year]],SUMIFS($W$4:$W918,$S$4:$S918,eRRSP_Tx_Table[[#This Row],[Year]],$W$4:$W918,"&lt;0"),"")</f>
        <v/>
      </c>
      <c r="AA918" s="3">
        <f>(SUMIF($U$4:$U918,CONCATENATE("Buy",$C918),$N$4:$N918)+SUMIF($U$4:$U918,CONCATENATE("ReinvDiv",$C918),$N$4:$N918))</f>
        <v>-41219.08</v>
      </c>
      <c r="AB918">
        <f>(SUMIF($U$4:$U918,CONCATENATE("Buy",$C918),$F$4:$F918)+SUMIF($U$4:$U918,CONCATENATE("ReinvDiv",$C918),$F$4:$F918)+SUMIF($U$4:$U918,CONCATENATE("StkSplit",$C918),$F$4:$F918)-SUMIF($U$4:$U918,CONCATENATE("Sell",$C918),$F$4:$F918))</f>
        <v>1638</v>
      </c>
      <c r="AC918" s="3">
        <f>IF(B918="Sell",F918*INDEX(V:V,LOOKUP(2,1/(X$4:X917=CONCATENATE(C918,"_ACB")),ROW(V$4:V917))),0)</f>
        <v>0</v>
      </c>
    </row>
    <row r="919" spans="1:29" x14ac:dyDescent="0.25">
      <c r="A919" s="20">
        <v>41714</v>
      </c>
      <c r="B919" t="s">
        <v>43</v>
      </c>
      <c r="C919" t="s">
        <v>36</v>
      </c>
      <c r="D919" s="3">
        <v>0.01</v>
      </c>
      <c r="M919" s="21">
        <f t="shared" si="114"/>
        <v>0.01</v>
      </c>
      <c r="N919" s="8">
        <f t="shared" si="121"/>
        <v>0.01</v>
      </c>
      <c r="O919" s="25">
        <f t="shared" si="118"/>
        <v>820.37999999991155</v>
      </c>
      <c r="P919" s="8">
        <f t="shared" si="115"/>
        <v>0</v>
      </c>
      <c r="Q919" s="4">
        <f>IF(AND(S919&gt;=[1]eRRSP_Rpt!$C$6,S919&lt;=[1]eRRSP_Rpt!$C$7),1,0)</f>
        <v>1</v>
      </c>
      <c r="R919" s="4"/>
      <c r="S919" s="4">
        <f t="shared" si="113"/>
        <v>2014</v>
      </c>
      <c r="T919" s="4"/>
      <c r="U919" s="4" t="str">
        <f t="shared" si="116"/>
        <v>IntIncTDW</v>
      </c>
      <c r="V919" s="23">
        <f>IFERROR(IF(AND(AB919&gt;0,B919&lt;&gt;"Sell"),(AA919-SUMIF(C$4:C918,C919,AC$4:AC919))/AB919,0),"")</f>
        <v>0</v>
      </c>
      <c r="W919" s="24" t="str">
        <f t="shared" si="120"/>
        <v/>
      </c>
      <c r="X919" s="25" t="str">
        <f t="shared" si="119"/>
        <v/>
      </c>
      <c r="Y919" s="10" t="str">
        <f>IF(S920&lt;&gt;eRRSP_Tx_Table[[#This Row],[Year]],SUMIFS($W$4:$W919,$S$4:$S919,eRRSP_Tx_Table[[#This Row],[Year]],$W$4:$W919,"&gt;0"),"")</f>
        <v/>
      </c>
      <c r="Z919" s="10" t="str">
        <f>IF(S920&lt;&gt;eRRSP_Tx_Table[[#This Row],[Year]],SUMIFS($W$4:$W919,$S$4:$S919,eRRSP_Tx_Table[[#This Row],[Year]],$W$4:$W919,"&lt;0"),"")</f>
        <v/>
      </c>
      <c r="AA919" s="3">
        <f>(SUMIF($U$4:$U919,CONCATENATE("Buy",$C919),$N$4:$N919)+SUMIF($U$4:$U919,CONCATENATE("ReinvDiv",$C919),$N$4:$N919))</f>
        <v>0</v>
      </c>
      <c r="AB919">
        <f>(SUMIF($U$4:$U919,CONCATENATE("Buy",$C919),$F$4:$F919)+SUMIF($U$4:$U919,CONCATENATE("ReinvDiv",$C919),$F$4:$F919)+SUMIF($U$4:$U919,CONCATENATE("StkSplit",$C919),$F$4:$F919)-SUMIF($U$4:$U919,CONCATENATE("Sell",$C919),$F$4:$F919))</f>
        <v>0</v>
      </c>
      <c r="AC919" s="3">
        <f>IF(B919="Sell",F919*INDEX(V:V,LOOKUP(2,1/(X$4:X918=CONCATENATE(C919,"_ACB")),ROW(V$4:V918))),0)</f>
        <v>0</v>
      </c>
    </row>
    <row r="920" spans="1:29" x14ac:dyDescent="0.25">
      <c r="A920" s="20">
        <v>41726</v>
      </c>
      <c r="B920" t="s">
        <v>41</v>
      </c>
      <c r="C920" t="s">
        <v>97</v>
      </c>
      <c r="D920" s="3">
        <v>32.380000000000003</v>
      </c>
      <c r="E920">
        <f>eRRSP_Tx_Table[[#This Row],[Amount]]/eRRSP_Tx_Table[[#This Row],[Quantity]]</f>
        <v>11.689530685920579</v>
      </c>
      <c r="F920" s="3">
        <v>2.77</v>
      </c>
      <c r="M920" s="21">
        <f t="shared" si="114"/>
        <v>32.380000000000003</v>
      </c>
      <c r="N920" s="8">
        <f t="shared" si="121"/>
        <v>-32.380000000000003</v>
      </c>
      <c r="O920" s="25">
        <f t="shared" si="118"/>
        <v>820.37999999991155</v>
      </c>
      <c r="P920" s="8">
        <f t="shared" si="115"/>
        <v>0</v>
      </c>
      <c r="Q920" s="4">
        <f>IF(AND(S920&gt;=[1]eRRSP_Rpt!$C$6,S920&lt;=[1]eRRSP_Rpt!$C$7),1,0)</f>
        <v>1</v>
      </c>
      <c r="R920" s="4"/>
      <c r="S920" s="4">
        <f t="shared" si="113"/>
        <v>2014</v>
      </c>
      <c r="T920" s="4"/>
      <c r="U920" s="4" t="str">
        <f t="shared" si="116"/>
        <v>ReinvDivTD International Index - e</v>
      </c>
      <c r="V920" s="23">
        <f>IFERROR(IF(AND(AB920&gt;0,B920&lt;&gt;"Sell"),(AA920-SUMIF(C$4:C919,C920,AC$4:AC920))/AB920,0),"")</f>
        <v>-8.3857742405671072</v>
      </c>
      <c r="W920" s="24" t="str">
        <f t="shared" si="120"/>
        <v/>
      </c>
      <c r="X920" s="25" t="str">
        <f t="shared" si="119"/>
        <v>TD International Index - e_ACB</v>
      </c>
      <c r="Y920" s="10" t="str">
        <f>IF(S921&lt;&gt;eRRSP_Tx_Table[[#This Row],[Year]],SUMIFS($W$4:$W920,$S$4:$S920,eRRSP_Tx_Table[[#This Row],[Year]],$W$4:$W920,"&gt;0"),"")</f>
        <v/>
      </c>
      <c r="Z920" s="10" t="str">
        <f>IF(S921&lt;&gt;eRRSP_Tx_Table[[#This Row],[Year]],SUMIFS($W$4:$W920,$S$4:$S920,eRRSP_Tx_Table[[#This Row],[Year]],$W$4:$W920,"&lt;0"),"")</f>
        <v/>
      </c>
      <c r="AA920" s="3">
        <f>(SUMIF($U$4:$U920,CONCATENATE("Buy",$C920),$N$4:$N920)+SUMIF($U$4:$U920,CONCATENATE("ReinvDiv",$C920),$N$4:$N920))</f>
        <v>-29575.82</v>
      </c>
      <c r="AB920">
        <f>(SUMIF($U$4:$U920,CONCATENATE("Buy",$C920),$F$4:$F920)+SUMIF($U$4:$U920,CONCATENATE("ReinvDiv",$C920),$F$4:$F920)+SUMIF($U$4:$U920,CONCATENATE("StkSplit",$C920),$F$4:$F920)-SUMIF($U$4:$U920,CONCATENATE("Sell",$C920),$F$4:$F920))</f>
        <v>1064.6479999999997</v>
      </c>
      <c r="AC920" s="3">
        <f>IF(B920="Sell",F920*INDEX(V:V,LOOKUP(2,1/(X$4:X919=CONCATENATE(C920,"_ACB")),ROW(V$4:V919))),0)</f>
        <v>0</v>
      </c>
    </row>
    <row r="921" spans="1:29" x14ac:dyDescent="0.25">
      <c r="A921" s="20">
        <v>41729</v>
      </c>
      <c r="B921" t="s">
        <v>42</v>
      </c>
      <c r="C921" t="s">
        <v>103</v>
      </c>
      <c r="D921" s="3">
        <v>106.51</v>
      </c>
      <c r="M921" s="21">
        <f t="shared" si="114"/>
        <v>106.51</v>
      </c>
      <c r="N921" s="8">
        <f t="shared" si="121"/>
        <v>106.51</v>
      </c>
      <c r="O921" s="25">
        <f t="shared" si="118"/>
        <v>926.88999999991154</v>
      </c>
      <c r="P921" s="8">
        <f t="shared" si="115"/>
        <v>0</v>
      </c>
      <c r="Q921" s="4">
        <f>IF(AND(S921&gt;=[1]eRRSP_Rpt!$C$6,S921&lt;=[1]eRRSP_Rpt!$C$7),1,0)</f>
        <v>1</v>
      </c>
      <c r="R921" s="4"/>
      <c r="S921" s="4">
        <f t="shared" si="113"/>
        <v>2014</v>
      </c>
      <c r="T921" s="4"/>
      <c r="U921" s="4" t="str">
        <f t="shared" si="116"/>
        <v>DivIshares Global Real Estate Index</v>
      </c>
      <c r="V921" s="23">
        <f>IFERROR(IF(AND(AB921&gt;0,B921&lt;&gt;"Sell"),(AA921-SUMIF(C$4:C920,C921,AC$4:AC921))/AB921,0),"")</f>
        <v>-21.643448573898013</v>
      </c>
      <c r="W921" s="24" t="str">
        <f t="shared" si="120"/>
        <v/>
      </c>
      <c r="X921" s="25" t="str">
        <f t="shared" si="119"/>
        <v>Ishares Global Real Estate Index_ACB</v>
      </c>
      <c r="Y921" s="10" t="str">
        <f>IF(S922&lt;&gt;eRRSP_Tx_Table[[#This Row],[Year]],SUMIFS($W$4:$W921,$S$4:$S921,eRRSP_Tx_Table[[#This Row],[Year]],$W$4:$W921,"&gt;0"),"")</f>
        <v/>
      </c>
      <c r="Z921" s="10" t="str">
        <f>IF(S922&lt;&gt;eRRSP_Tx_Table[[#This Row],[Year]],SUMIFS($W$4:$W921,$S$4:$S921,eRRSP_Tx_Table[[#This Row],[Year]],$W$4:$W921,"&lt;0"),"")</f>
        <v/>
      </c>
      <c r="AA921" s="3">
        <f>(SUMIF($U$4:$U921,CONCATENATE("Buy",$C921),$N$4:$N921)+SUMIF($U$4:$U921,CONCATENATE("ReinvDiv",$C921),$N$4:$N921))</f>
        <v>-25041.47</v>
      </c>
      <c r="AB921">
        <f>(SUMIF($U$4:$U921,CONCATENATE("Buy",$C921),$F$4:$F921)+SUMIF($U$4:$U921,CONCATENATE("ReinvDiv",$C921),$F$4:$F921)+SUMIF($U$4:$U921,CONCATENATE("StkSplit",$C921),$F$4:$F921)-SUMIF($U$4:$U921,CONCATENATE("Sell",$C921),$F$4:$F921))</f>
        <v>1157</v>
      </c>
      <c r="AC921" s="3">
        <f>IF(B921="Sell",F921*INDEX(V:V,LOOKUP(2,1/(X$4:X920=CONCATENATE(C921,"_ACB")),ROW(V$4:V920))),0)</f>
        <v>0</v>
      </c>
    </row>
    <row r="922" spans="1:29" x14ac:dyDescent="0.25">
      <c r="A922" s="20">
        <v>41729</v>
      </c>
      <c r="B922" t="s">
        <v>42</v>
      </c>
      <c r="C922" t="s">
        <v>90</v>
      </c>
      <c r="D922" s="3">
        <v>28.61</v>
      </c>
      <c r="M922" s="21">
        <f t="shared" si="114"/>
        <v>28.61</v>
      </c>
      <c r="N922" s="8">
        <f t="shared" si="121"/>
        <v>28.61</v>
      </c>
      <c r="O922" s="25">
        <f t="shared" si="118"/>
        <v>955.49999999991155</v>
      </c>
      <c r="P922" s="8">
        <f t="shared" si="115"/>
        <v>0</v>
      </c>
      <c r="Q922" s="4">
        <f>IF(AND(S922&gt;=[1]eRRSP_Rpt!$C$6,S922&lt;=[1]eRRSP_Rpt!$C$7),1,0)</f>
        <v>1</v>
      </c>
      <c r="R922" s="4"/>
      <c r="S922" s="4">
        <f t="shared" si="113"/>
        <v>2014</v>
      </c>
      <c r="T922" s="4"/>
      <c r="U922" s="4" t="str">
        <f t="shared" si="116"/>
        <v>DivVanguard Large Cap ETF</v>
      </c>
      <c r="V922" s="23">
        <f>IFERROR(IF(AND(AB922&gt;0,B922&lt;&gt;"Sell"),(AA922-SUMIF(C$4:C921,C922,AC$4:AC922))/AB922,0),"")</f>
        <v>-74.401142857142858</v>
      </c>
      <c r="W922" s="24" t="str">
        <f t="shared" si="120"/>
        <v/>
      </c>
      <c r="X922" s="25" t="str">
        <f t="shared" si="119"/>
        <v>Vanguard Large Cap ETF_ACB</v>
      </c>
      <c r="Y922" s="10" t="str">
        <f>IF(S923&lt;&gt;eRRSP_Tx_Table[[#This Row],[Year]],SUMIFS($W$4:$W922,$S$4:$S922,eRRSP_Tx_Table[[#This Row],[Year]],$W$4:$W922,"&gt;0"),"")</f>
        <v/>
      </c>
      <c r="Z922" s="10" t="str">
        <f>IF(S923&lt;&gt;eRRSP_Tx_Table[[#This Row],[Year]],SUMIFS($W$4:$W922,$S$4:$S922,eRRSP_Tx_Table[[#This Row],[Year]],$W$4:$W922,"&lt;0"),"")</f>
        <v/>
      </c>
      <c r="AA922" s="3">
        <f>(SUMIF($U$4:$U922,CONCATENATE("Buy",$C922),$N$4:$N922)+SUMIF($U$4:$U922,CONCATENATE("ReinvDiv",$C922),$N$4:$N922))</f>
        <v>-5208.08</v>
      </c>
      <c r="AB922">
        <f>(SUMIF($U$4:$U922,CONCATENATE("Buy",$C922),$F$4:$F922)+SUMIF($U$4:$U922,CONCATENATE("ReinvDiv",$C922),$F$4:$F922)+SUMIF($U$4:$U922,CONCATENATE("StkSplit",$C922),$F$4:$F922)-SUMIF($U$4:$U922,CONCATENATE("Sell",$C922),$F$4:$F922))</f>
        <v>70</v>
      </c>
      <c r="AC922" s="3">
        <f>IF(B922="Sell",F922*INDEX(V:V,LOOKUP(2,1/(X$4:X921=CONCATENATE(C922,"_ACB")),ROW(V$4:V921))),0)</f>
        <v>0</v>
      </c>
    </row>
    <row r="923" spans="1:29" x14ac:dyDescent="0.25">
      <c r="A923" s="20">
        <v>41729</v>
      </c>
      <c r="B923" t="s">
        <v>43</v>
      </c>
      <c r="C923" t="s">
        <v>99</v>
      </c>
      <c r="D923" s="3">
        <v>17.78</v>
      </c>
      <c r="M923" s="21">
        <f t="shared" si="114"/>
        <v>17.78</v>
      </c>
      <c r="N923" s="8">
        <f t="shared" si="121"/>
        <v>17.78</v>
      </c>
      <c r="O923" s="25">
        <f t="shared" si="118"/>
        <v>973.27999999991152</v>
      </c>
      <c r="P923" s="8">
        <f t="shared" si="115"/>
        <v>0</v>
      </c>
      <c r="Q923" s="4">
        <f>IF(AND(S923&gt;=[1]eRRSP_Rpt!$C$6,S923&lt;=[1]eRRSP_Rpt!$C$7),1,0)</f>
        <v>1</v>
      </c>
      <c r="R923" s="4"/>
      <c r="S923" s="4">
        <f t="shared" si="113"/>
        <v>2014</v>
      </c>
      <c r="T923" s="4"/>
      <c r="U923" s="4" t="str">
        <f t="shared" si="116"/>
        <v>IntIncTD INV SAV ACCT  /NL'FRAC</v>
      </c>
      <c r="V923" s="23">
        <f>IFERROR(IF(AND(AB923&gt;0,B923&lt;&gt;"Sell"),(AA923-SUMIF(C$4:C922,C923,AC$4:AC923))/AB923,0),"")</f>
        <v>-10</v>
      </c>
      <c r="W923" s="24" t="str">
        <f t="shared" si="120"/>
        <v/>
      </c>
      <c r="X923" s="25" t="str">
        <f t="shared" si="119"/>
        <v>TD INV SAV ACCT  /NL'FRAC_ACB</v>
      </c>
      <c r="Y923" s="10" t="str">
        <f>IF(S924&lt;&gt;eRRSP_Tx_Table[[#This Row],[Year]],SUMIFS($W$4:$W923,$S$4:$S923,eRRSP_Tx_Table[[#This Row],[Year]],$W$4:$W923,"&gt;0"),"")</f>
        <v/>
      </c>
      <c r="Z923" s="10" t="str">
        <f>IF(S924&lt;&gt;eRRSP_Tx_Table[[#This Row],[Year]],SUMIFS($W$4:$W923,$S$4:$S923,eRRSP_Tx_Table[[#This Row],[Year]],$W$4:$W923,"&lt;0"),"")</f>
        <v/>
      </c>
      <c r="AA923" s="3">
        <f>(SUMIF($U$4:$U923,CONCATENATE("Buy",$C923),$N$4:$N923)+SUMIF($U$4:$U923,CONCATENATE("ReinvDiv",$C923),$N$4:$N923))</f>
        <v>-30900</v>
      </c>
      <c r="AB923">
        <f>(SUMIF($U$4:$U923,CONCATENATE("Buy",$C923),$F$4:$F923)+SUMIF($U$4:$U923,CONCATENATE("ReinvDiv",$C923),$F$4:$F923)+SUMIF($U$4:$U923,CONCATENATE("StkSplit",$C923),$F$4:$F923)-SUMIF($U$4:$U923,CONCATENATE("Sell",$C923),$F$4:$F923))</f>
        <v>1790</v>
      </c>
      <c r="AC923" s="3">
        <f>IF(B923="Sell",F923*INDEX(V:V,LOOKUP(2,1/(X$4:X922=CONCATENATE(C923,"_ACB")),ROW(V$4:V922))),0)</f>
        <v>0</v>
      </c>
    </row>
    <row r="924" spans="1:29" x14ac:dyDescent="0.25">
      <c r="A924" s="20">
        <v>41730</v>
      </c>
      <c r="B924" t="s">
        <v>42</v>
      </c>
      <c r="C924" t="s">
        <v>105</v>
      </c>
      <c r="D924" s="3">
        <v>87.75</v>
      </c>
      <c r="M924" s="21">
        <f t="shared" si="114"/>
        <v>87.75</v>
      </c>
      <c r="N924" s="8">
        <f t="shared" si="121"/>
        <v>87.75</v>
      </c>
      <c r="O924" s="25">
        <f t="shared" si="118"/>
        <v>1061.0299999999115</v>
      </c>
      <c r="P924" s="8">
        <f t="shared" si="115"/>
        <v>0</v>
      </c>
      <c r="Q924" s="4">
        <f>IF(AND(S924&gt;=[1]eRRSP_Rpt!$C$6,S924&lt;=[1]eRRSP_Rpt!$C$7),1,0)</f>
        <v>1</v>
      </c>
      <c r="R924" s="4"/>
      <c r="S924" s="4">
        <f t="shared" si="113"/>
        <v>2014</v>
      </c>
      <c r="T924" s="4"/>
      <c r="U924" s="4" t="str">
        <f t="shared" si="116"/>
        <v>DivVanguard CDN S/T Corp Bond</v>
      </c>
      <c r="V924" s="23">
        <f>IFERROR(IF(AND(AB924&gt;0,B924&lt;&gt;"Sell"),(AA924-SUMIF(C$4:C923,C924,AC$4:AC924))/AB924,0),"")</f>
        <v>-25.164273504273506</v>
      </c>
      <c r="W924" s="24" t="str">
        <f t="shared" si="120"/>
        <v/>
      </c>
      <c r="X924" s="25" t="str">
        <f t="shared" si="119"/>
        <v>Vanguard CDN S/T Corp Bond_ACB</v>
      </c>
      <c r="Y924" s="10" t="str">
        <f>IF(S925&lt;&gt;eRRSP_Tx_Table[[#This Row],[Year]],SUMIFS($W$4:$W924,$S$4:$S924,eRRSP_Tx_Table[[#This Row],[Year]],$W$4:$W924,"&gt;0"),"")</f>
        <v/>
      </c>
      <c r="Z924" s="10" t="str">
        <f>IF(S925&lt;&gt;eRRSP_Tx_Table[[#This Row],[Year]],SUMIFS($W$4:$W924,$S$4:$S924,eRRSP_Tx_Table[[#This Row],[Year]],$W$4:$W924,"&lt;0"),"")</f>
        <v/>
      </c>
      <c r="AA924" s="3">
        <f>(SUMIF($U$4:$U924,CONCATENATE("Buy",$C924),$N$4:$N924)+SUMIF($U$4:$U924,CONCATENATE("ReinvDiv",$C924),$N$4:$N924))</f>
        <v>-41219.08</v>
      </c>
      <c r="AB924">
        <f>(SUMIF($U$4:$U924,CONCATENATE("Buy",$C924),$F$4:$F924)+SUMIF($U$4:$U924,CONCATENATE("ReinvDiv",$C924),$F$4:$F924)+SUMIF($U$4:$U924,CONCATENATE("StkSplit",$C924),$F$4:$F924)-SUMIF($U$4:$U924,CONCATENATE("Sell",$C924),$F$4:$F924))</f>
        <v>1638</v>
      </c>
      <c r="AC924" s="3">
        <f>IF(B924="Sell",F924*INDEX(V:V,LOOKUP(2,1/(X$4:X923=CONCATENATE(C924,"_ACB")),ROW(V$4:V923))),0)</f>
        <v>0</v>
      </c>
    </row>
    <row r="925" spans="1:29" x14ac:dyDescent="0.25">
      <c r="A925" s="20">
        <v>41730</v>
      </c>
      <c r="B925" t="s">
        <v>42</v>
      </c>
      <c r="C925" t="s">
        <v>104</v>
      </c>
      <c r="D925" s="3">
        <v>223.97</v>
      </c>
      <c r="M925" s="21">
        <f t="shared" si="114"/>
        <v>223.97</v>
      </c>
      <c r="N925" s="8">
        <f t="shared" si="121"/>
        <v>223.97</v>
      </c>
      <c r="O925" s="25">
        <f t="shared" si="118"/>
        <v>1284.9999999999116</v>
      </c>
      <c r="P925" s="8">
        <f t="shared" si="115"/>
        <v>0</v>
      </c>
      <c r="Q925" s="4">
        <f>IF(AND(S925&gt;=[1]eRRSP_Rpt!$C$6,S925&lt;=[1]eRRSP_Rpt!$C$7),1,0)</f>
        <v>1</v>
      </c>
      <c r="R925" s="4"/>
      <c r="S925" s="4">
        <f t="shared" ref="S925:S988" si="122">YEAR(A925)</f>
        <v>2014</v>
      </c>
      <c r="T925" s="4"/>
      <c r="U925" s="4" t="str">
        <f t="shared" si="116"/>
        <v>DivVanguard US Total Market ETF</v>
      </c>
      <c r="V925" s="23">
        <f>IFERROR(IF(AND(AB925&gt;0,B925&lt;&gt;"Sell"),(AA925-SUMIF(C$4:C924,C925,AC$4:AC925))/AB925,0),"")</f>
        <v>-28.004994999999997</v>
      </c>
      <c r="W925" s="24" t="str">
        <f t="shared" si="120"/>
        <v/>
      </c>
      <c r="X925" s="25" t="str">
        <f t="shared" si="119"/>
        <v>Vanguard US Total Market ETF_ACB</v>
      </c>
      <c r="Y925" s="10" t="str">
        <f>IF(S926&lt;&gt;eRRSP_Tx_Table[[#This Row],[Year]],SUMIFS($W$4:$W925,$S$4:$S925,eRRSP_Tx_Table[[#This Row],[Year]],$W$4:$W925,"&gt;0"),"")</f>
        <v/>
      </c>
      <c r="Z925" s="10" t="str">
        <f>IF(S926&lt;&gt;eRRSP_Tx_Table[[#This Row],[Year]],SUMIFS($W$4:$W925,$S$4:$S925,eRRSP_Tx_Table[[#This Row],[Year]],$W$4:$W925,"&lt;0"),"")</f>
        <v/>
      </c>
      <c r="AA925" s="3">
        <f>(SUMIF($U$4:$U925,CONCATENATE("Buy",$C925),$N$4:$N925)+SUMIF($U$4:$U925,CONCATENATE("ReinvDiv",$C925),$N$4:$N925))</f>
        <v>-56009.99</v>
      </c>
      <c r="AB925">
        <f>(SUMIF($U$4:$U925,CONCATENATE("Buy",$C925),$F$4:$F925)+SUMIF($U$4:$U925,CONCATENATE("ReinvDiv",$C925),$F$4:$F925)+SUMIF($U$4:$U925,CONCATENATE("StkSplit",$C925),$F$4:$F925)-SUMIF($U$4:$U925,CONCATENATE("Sell",$C925),$F$4:$F925))</f>
        <v>2000</v>
      </c>
      <c r="AC925" s="3">
        <f>IF(B925="Sell",F925*INDEX(V:V,LOOKUP(2,1/(X$4:X924=CONCATENATE(C925,"_ACB")),ROW(V$4:V924))),0)</f>
        <v>0</v>
      </c>
    </row>
    <row r="926" spans="1:29" x14ac:dyDescent="0.25">
      <c r="A926" s="20">
        <v>41745</v>
      </c>
      <c r="B926" t="s">
        <v>43</v>
      </c>
      <c r="C926" t="s">
        <v>36</v>
      </c>
      <c r="D926" s="3">
        <v>0.02</v>
      </c>
      <c r="M926" s="21">
        <f t="shared" si="114"/>
        <v>0.02</v>
      </c>
      <c r="N926" s="8">
        <f t="shared" si="121"/>
        <v>0.02</v>
      </c>
      <c r="O926" s="25">
        <f t="shared" si="118"/>
        <v>1285.0199999999115</v>
      </c>
      <c r="P926" s="8">
        <f t="shared" si="115"/>
        <v>0</v>
      </c>
      <c r="Q926" s="4">
        <f>IF(AND(S926&gt;=[1]eRRSP_Rpt!$C$6,S926&lt;=[1]eRRSP_Rpt!$C$7),1,0)</f>
        <v>1</v>
      </c>
      <c r="R926" s="4"/>
      <c r="S926" s="4">
        <f t="shared" si="122"/>
        <v>2014</v>
      </c>
      <c r="T926" s="4"/>
      <c r="U926" s="4" t="str">
        <f t="shared" si="116"/>
        <v>IntIncTDW</v>
      </c>
      <c r="V926" s="23">
        <f>IFERROR(IF(AND(AB926&gt;0,B926&lt;&gt;"Sell"),(AA926-SUMIF(C$4:C925,C926,AC$4:AC926))/AB926,0),"")</f>
        <v>0</v>
      </c>
      <c r="W926" s="24" t="str">
        <f t="shared" si="120"/>
        <v/>
      </c>
      <c r="X926" s="25" t="str">
        <f t="shared" si="119"/>
        <v/>
      </c>
      <c r="Y926" s="10" t="str">
        <f>IF(S927&lt;&gt;eRRSP_Tx_Table[[#This Row],[Year]],SUMIFS($W$4:$W926,$S$4:$S926,eRRSP_Tx_Table[[#This Row],[Year]],$W$4:$W926,"&gt;0"),"")</f>
        <v/>
      </c>
      <c r="Z926" s="10" t="str">
        <f>IF(S927&lt;&gt;eRRSP_Tx_Table[[#This Row],[Year]],SUMIFS($W$4:$W926,$S$4:$S926,eRRSP_Tx_Table[[#This Row],[Year]],$W$4:$W926,"&lt;0"),"")</f>
        <v/>
      </c>
      <c r="AA926" s="3">
        <f>(SUMIF($U$4:$U926,CONCATENATE("Buy",$C926),$N$4:$N926)+SUMIF($U$4:$U926,CONCATENATE("ReinvDiv",$C926),$N$4:$N926))</f>
        <v>0</v>
      </c>
      <c r="AB926">
        <f>(SUMIF($U$4:$U926,CONCATENATE("Buy",$C926),$F$4:$F926)+SUMIF($U$4:$U926,CONCATENATE("ReinvDiv",$C926),$F$4:$F926)+SUMIF($U$4:$U926,CONCATENATE("StkSplit",$C926),$F$4:$F926)-SUMIF($U$4:$U926,CONCATENATE("Sell",$C926),$F$4:$F926))</f>
        <v>0</v>
      </c>
      <c r="AC926" s="3">
        <f>IF(B926="Sell",F926*INDEX(V:V,LOOKUP(2,1/(X$4:X925=CONCATENATE(C926,"_ACB")),ROW(V$4:V925))),0)</f>
        <v>0</v>
      </c>
    </row>
    <row r="927" spans="1:29" x14ac:dyDescent="0.25">
      <c r="A927" s="20">
        <v>41759</v>
      </c>
      <c r="B927" t="s">
        <v>43</v>
      </c>
      <c r="C927" t="s">
        <v>99</v>
      </c>
      <c r="D927" s="3">
        <v>18.39</v>
      </c>
      <c r="M927" s="21">
        <f t="shared" si="114"/>
        <v>18.39</v>
      </c>
      <c r="N927" s="8">
        <f t="shared" si="121"/>
        <v>18.39</v>
      </c>
      <c r="O927" s="25">
        <f t="shared" si="118"/>
        <v>1303.4099999999116</v>
      </c>
      <c r="P927" s="8">
        <f t="shared" si="115"/>
        <v>0</v>
      </c>
      <c r="Q927" s="4">
        <f>IF(AND(S927&gt;=[1]eRRSP_Rpt!$C$6,S927&lt;=[1]eRRSP_Rpt!$C$7),1,0)</f>
        <v>1</v>
      </c>
      <c r="R927" s="4"/>
      <c r="S927" s="4">
        <f t="shared" si="122"/>
        <v>2014</v>
      </c>
      <c r="T927" s="4"/>
      <c r="U927" s="4" t="str">
        <f t="shared" si="116"/>
        <v>IntIncTD INV SAV ACCT  /NL'FRAC</v>
      </c>
      <c r="V927" s="23">
        <f>IFERROR(IF(AND(AB927&gt;0,B927&lt;&gt;"Sell"),(AA927-SUMIF(C$4:C926,C927,AC$4:AC927))/AB927,0),"")</f>
        <v>-10</v>
      </c>
      <c r="W927" s="24" t="str">
        <f t="shared" si="120"/>
        <v/>
      </c>
      <c r="X927" s="25" t="str">
        <f t="shared" si="119"/>
        <v>TD INV SAV ACCT  /NL'FRAC_ACB</v>
      </c>
      <c r="Y927" s="10" t="str">
        <f>IF(S928&lt;&gt;eRRSP_Tx_Table[[#This Row],[Year]],SUMIFS($W$4:$W927,$S$4:$S927,eRRSP_Tx_Table[[#This Row],[Year]],$W$4:$W927,"&gt;0"),"")</f>
        <v/>
      </c>
      <c r="Z927" s="10" t="str">
        <f>IF(S928&lt;&gt;eRRSP_Tx_Table[[#This Row],[Year]],SUMIFS($W$4:$W927,$S$4:$S927,eRRSP_Tx_Table[[#This Row],[Year]],$W$4:$W927,"&lt;0"),"")</f>
        <v/>
      </c>
      <c r="AA927" s="3">
        <f>(SUMIF($U$4:$U927,CONCATENATE("Buy",$C927),$N$4:$N927)+SUMIF($U$4:$U927,CONCATENATE("ReinvDiv",$C927),$N$4:$N927))</f>
        <v>-30900</v>
      </c>
      <c r="AB927">
        <f>(SUMIF($U$4:$U927,CONCATENATE("Buy",$C927),$F$4:$F927)+SUMIF($U$4:$U927,CONCATENATE("ReinvDiv",$C927),$F$4:$F927)+SUMIF($U$4:$U927,CONCATENATE("StkSplit",$C927),$F$4:$F927)-SUMIF($U$4:$U927,CONCATENATE("Sell",$C927),$F$4:$F927))</f>
        <v>1790</v>
      </c>
      <c r="AC927" s="3">
        <f>IF(B927="Sell",F927*INDEX(V:V,LOOKUP(2,1/(X$4:X926=CONCATENATE(C927,"_ACB")),ROW(V$4:V926))),0)</f>
        <v>0</v>
      </c>
    </row>
    <row r="928" spans="1:29" x14ac:dyDescent="0.25">
      <c r="A928" s="20">
        <v>41764</v>
      </c>
      <c r="B928" t="s">
        <v>42</v>
      </c>
      <c r="C928" t="s">
        <v>105</v>
      </c>
      <c r="D928" s="3">
        <v>102.89</v>
      </c>
      <c r="M928" s="21">
        <f t="shared" si="114"/>
        <v>102.89</v>
      </c>
      <c r="N928" s="8">
        <f t="shared" si="121"/>
        <v>102.89</v>
      </c>
      <c r="O928" s="25">
        <f t="shared" si="118"/>
        <v>1406.2999999999117</v>
      </c>
      <c r="P928" s="8">
        <f t="shared" si="115"/>
        <v>0</v>
      </c>
      <c r="Q928" s="4">
        <f>IF(AND(S928&gt;=[1]eRRSP_Rpt!$C$6,S928&lt;=[1]eRRSP_Rpt!$C$7),1,0)</f>
        <v>1</v>
      </c>
      <c r="R928" s="4"/>
      <c r="S928" s="4">
        <f t="shared" si="122"/>
        <v>2014</v>
      </c>
      <c r="T928" s="4"/>
      <c r="U928" s="4" t="str">
        <f t="shared" si="116"/>
        <v>DivVanguard CDN S/T Corp Bond</v>
      </c>
      <c r="V928" s="23">
        <f>IFERROR(IF(AND(AB928&gt;0,B928&lt;&gt;"Sell"),(AA928-SUMIF(C$4:C927,C928,AC$4:AC928))/AB928,0),"")</f>
        <v>-25.164273504273506</v>
      </c>
      <c r="W928" s="24" t="str">
        <f t="shared" si="120"/>
        <v/>
      </c>
      <c r="X928" s="25" t="str">
        <f t="shared" si="119"/>
        <v>Vanguard CDN S/T Corp Bond_ACB</v>
      </c>
      <c r="Y928" s="10" t="str">
        <f>IF(S929&lt;&gt;eRRSP_Tx_Table[[#This Row],[Year]],SUMIFS($W$4:$W928,$S$4:$S928,eRRSP_Tx_Table[[#This Row],[Year]],$W$4:$W928,"&gt;0"),"")</f>
        <v/>
      </c>
      <c r="Z928" s="10" t="str">
        <f>IF(S929&lt;&gt;eRRSP_Tx_Table[[#This Row],[Year]],SUMIFS($W$4:$W928,$S$4:$S928,eRRSP_Tx_Table[[#This Row],[Year]],$W$4:$W928,"&lt;0"),"")</f>
        <v/>
      </c>
      <c r="AA928" s="3">
        <f>(SUMIF($U$4:$U928,CONCATENATE("Buy",$C928),$N$4:$N928)+SUMIF($U$4:$U928,CONCATENATE("ReinvDiv",$C928),$N$4:$N928))</f>
        <v>-41219.08</v>
      </c>
      <c r="AB928">
        <f>(SUMIF($U$4:$U928,CONCATENATE("Buy",$C928),$F$4:$F928)+SUMIF($U$4:$U928,CONCATENATE("ReinvDiv",$C928),$F$4:$F928)+SUMIF($U$4:$U928,CONCATENATE("StkSplit",$C928),$F$4:$F928)-SUMIF($U$4:$U928,CONCATENATE("Sell",$C928),$F$4:$F928))</f>
        <v>1638</v>
      </c>
      <c r="AC928" s="3">
        <f>IF(B928="Sell",F928*INDEX(V:V,LOOKUP(2,1/(X$4:X927=CONCATENATE(C928,"_ACB")),ROW(V$4:V927))),0)</f>
        <v>0</v>
      </c>
    </row>
    <row r="929" spans="1:29" x14ac:dyDescent="0.25">
      <c r="A929" s="20">
        <v>41775</v>
      </c>
      <c r="B929" t="s">
        <v>43</v>
      </c>
      <c r="C929" t="s">
        <v>36</v>
      </c>
      <c r="D929" s="3">
        <v>0.02</v>
      </c>
      <c r="M929" s="21">
        <f t="shared" ref="M929:M992" si="123">ROUND(IF(OR(B929="Buy",B929="Sell"),E929*F929,D929),2)</f>
        <v>0.02</v>
      </c>
      <c r="N929" s="8">
        <f t="shared" si="121"/>
        <v>0.02</v>
      </c>
      <c r="O929" s="25">
        <f t="shared" si="118"/>
        <v>1406.3199999999117</v>
      </c>
      <c r="P929" s="8">
        <f t="shared" si="115"/>
        <v>0</v>
      </c>
      <c r="Q929" s="4">
        <f>IF(AND(S929&gt;=[1]eRRSP_Rpt!$C$6,S929&lt;=[1]eRRSP_Rpt!$C$7),1,0)</f>
        <v>1</v>
      </c>
      <c r="R929" s="4"/>
      <c r="S929" s="4">
        <f t="shared" si="122"/>
        <v>2014</v>
      </c>
      <c r="T929" s="4"/>
      <c r="U929" s="4" t="str">
        <f t="shared" ref="U929:U992" si="124">CONCATENATE(B929,C929)</f>
        <v>IntIncTDW</v>
      </c>
      <c r="V929" s="23">
        <f>IFERROR(IF(AND(AB929&gt;0,B929&lt;&gt;"Sell"),(AA929-SUMIF(C$4:C928,C929,AC$4:AC929))/AB929,0),"")</f>
        <v>0</v>
      </c>
      <c r="W929" s="24" t="str">
        <f t="shared" si="120"/>
        <v/>
      </c>
      <c r="X929" s="25" t="str">
        <f t="shared" si="119"/>
        <v/>
      </c>
      <c r="Y929" s="10" t="str">
        <f>IF(S930&lt;&gt;eRRSP_Tx_Table[[#This Row],[Year]],SUMIFS($W$4:$W929,$S$4:$S929,eRRSP_Tx_Table[[#This Row],[Year]],$W$4:$W929,"&gt;0"),"")</f>
        <v/>
      </c>
      <c r="Z929" s="10" t="str">
        <f>IF(S930&lt;&gt;eRRSP_Tx_Table[[#This Row],[Year]],SUMIFS($W$4:$W929,$S$4:$S929,eRRSP_Tx_Table[[#This Row],[Year]],$W$4:$W929,"&lt;0"),"")</f>
        <v/>
      </c>
      <c r="AA929" s="3">
        <f>(SUMIF($U$4:$U929,CONCATENATE("Buy",$C929),$N$4:$N929)+SUMIF($U$4:$U929,CONCATENATE("ReinvDiv",$C929),$N$4:$N929))</f>
        <v>0</v>
      </c>
      <c r="AB929">
        <f>(SUMIF($U$4:$U929,CONCATENATE("Buy",$C929),$F$4:$F929)+SUMIF($U$4:$U929,CONCATENATE("ReinvDiv",$C929),$F$4:$F929)+SUMIF($U$4:$U929,CONCATENATE("StkSplit",$C929),$F$4:$F929)-SUMIF($U$4:$U929,CONCATENATE("Sell",$C929),$F$4:$F929))</f>
        <v>0</v>
      </c>
      <c r="AC929" s="3">
        <f>IF(B929="Sell",F929*INDEX(V:V,LOOKUP(2,1/(X$4:X928=CONCATENATE(C929,"_ACB")),ROW(V$4:V928))),0)</f>
        <v>0</v>
      </c>
    </row>
    <row r="930" spans="1:29" x14ac:dyDescent="0.25">
      <c r="A930" s="20">
        <v>41789</v>
      </c>
      <c r="B930" t="s">
        <v>43</v>
      </c>
      <c r="C930" t="s">
        <v>99</v>
      </c>
      <c r="D930" s="3">
        <v>19.62</v>
      </c>
      <c r="M930" s="21">
        <f t="shared" si="123"/>
        <v>19.62</v>
      </c>
      <c r="N930" s="8">
        <f t="shared" si="121"/>
        <v>19.62</v>
      </c>
      <c r="O930" s="25">
        <f t="shared" si="118"/>
        <v>1425.9399999999116</v>
      </c>
      <c r="P930" s="8">
        <f t="shared" si="115"/>
        <v>0</v>
      </c>
      <c r="Q930" s="4">
        <f>IF(AND(S930&gt;=[1]eRRSP_Rpt!$C$6,S930&lt;=[1]eRRSP_Rpt!$C$7),1,0)</f>
        <v>1</v>
      </c>
      <c r="R930" s="4"/>
      <c r="S930" s="4">
        <f t="shared" si="122"/>
        <v>2014</v>
      </c>
      <c r="T930" s="4"/>
      <c r="U930" s="4" t="str">
        <f t="shared" si="124"/>
        <v>IntIncTD INV SAV ACCT  /NL'FRAC</v>
      </c>
      <c r="V930" s="23">
        <f>IFERROR(IF(AND(AB930&gt;0,B930&lt;&gt;"Sell"),(AA930-SUMIF(C$4:C929,C930,AC$4:AC930))/AB930,0),"")</f>
        <v>-10</v>
      </c>
      <c r="W930" s="24" t="str">
        <f t="shared" si="120"/>
        <v/>
      </c>
      <c r="X930" s="25" t="str">
        <f t="shared" si="119"/>
        <v>TD INV SAV ACCT  /NL'FRAC_ACB</v>
      </c>
      <c r="Y930" s="10" t="str">
        <f>IF(S931&lt;&gt;eRRSP_Tx_Table[[#This Row],[Year]],SUMIFS($W$4:$W930,$S$4:$S930,eRRSP_Tx_Table[[#This Row],[Year]],$W$4:$W930,"&gt;0"),"")</f>
        <v/>
      </c>
      <c r="Z930" s="10" t="str">
        <f>IF(S931&lt;&gt;eRRSP_Tx_Table[[#This Row],[Year]],SUMIFS($W$4:$W930,$S$4:$S930,eRRSP_Tx_Table[[#This Row],[Year]],$W$4:$W930,"&lt;0"),"")</f>
        <v/>
      </c>
      <c r="AA930" s="3">
        <f>(SUMIF($U$4:$U930,CONCATENATE("Buy",$C930),$N$4:$N930)+SUMIF($U$4:$U930,CONCATENATE("ReinvDiv",$C930),$N$4:$N930))</f>
        <v>-30900</v>
      </c>
      <c r="AB930">
        <f>(SUMIF($U$4:$U930,CONCATENATE("Buy",$C930),$F$4:$F930)+SUMIF($U$4:$U930,CONCATENATE("ReinvDiv",$C930),$F$4:$F930)+SUMIF($U$4:$U930,CONCATENATE("StkSplit",$C930),$F$4:$F930)-SUMIF($U$4:$U930,CONCATENATE("Sell",$C930),$F$4:$F930))</f>
        <v>1790</v>
      </c>
      <c r="AC930" s="3">
        <f>IF(B930="Sell",F930*INDEX(V:V,LOOKUP(2,1/(X$4:X929=CONCATENATE(C930,"_ACB")),ROW(V$4:V929))),0)</f>
        <v>0</v>
      </c>
    </row>
    <row r="931" spans="1:29" x14ac:dyDescent="0.25">
      <c r="A931" s="20">
        <v>41794</v>
      </c>
      <c r="B931" t="s">
        <v>42</v>
      </c>
      <c r="C931" t="s">
        <v>105</v>
      </c>
      <c r="D931" s="3">
        <v>111.76</v>
      </c>
      <c r="M931" s="21">
        <f t="shared" si="123"/>
        <v>111.76</v>
      </c>
      <c r="N931" s="8">
        <f t="shared" si="121"/>
        <v>111.76</v>
      </c>
      <c r="O931" s="25">
        <f t="shared" si="118"/>
        <v>1537.6999999999116</v>
      </c>
      <c r="P931" s="8">
        <f t="shared" ref="P931:P994" si="125">IF(OR($B931="Cash"),$N931,0)</f>
        <v>0</v>
      </c>
      <c r="Q931" s="4">
        <f>IF(AND(S931&gt;=[1]eRRSP_Rpt!$C$6,S931&lt;=[1]eRRSP_Rpt!$C$7),1,0)</f>
        <v>1</v>
      </c>
      <c r="R931" s="4"/>
      <c r="S931" s="4">
        <f t="shared" si="122"/>
        <v>2014</v>
      </c>
      <c r="T931" s="4"/>
      <c r="U931" s="4" t="str">
        <f t="shared" si="124"/>
        <v>DivVanguard CDN S/T Corp Bond</v>
      </c>
      <c r="V931" s="23">
        <f>IFERROR(IF(AND(AB931&gt;0,B931&lt;&gt;"Sell"),(AA931-SUMIF(C$4:C930,C931,AC$4:AC931))/AB931,0),"")</f>
        <v>-25.164273504273506</v>
      </c>
      <c r="W931" s="24" t="str">
        <f t="shared" si="120"/>
        <v/>
      </c>
      <c r="X931" s="25" t="str">
        <f t="shared" si="119"/>
        <v>Vanguard CDN S/T Corp Bond_ACB</v>
      </c>
      <c r="Y931" s="10" t="str">
        <f>IF(S932&lt;&gt;eRRSP_Tx_Table[[#This Row],[Year]],SUMIFS($W$4:$W931,$S$4:$S931,eRRSP_Tx_Table[[#This Row],[Year]],$W$4:$W931,"&gt;0"),"")</f>
        <v/>
      </c>
      <c r="Z931" s="10" t="str">
        <f>IF(S932&lt;&gt;eRRSP_Tx_Table[[#This Row],[Year]],SUMIFS($W$4:$W931,$S$4:$S931,eRRSP_Tx_Table[[#This Row],[Year]],$W$4:$W931,"&lt;0"),"")</f>
        <v/>
      </c>
      <c r="AA931" s="3">
        <f>(SUMIF($U$4:$U931,CONCATENATE("Buy",$C931),$N$4:$N931)+SUMIF($U$4:$U931,CONCATENATE("ReinvDiv",$C931),$N$4:$N931))</f>
        <v>-41219.08</v>
      </c>
      <c r="AB931">
        <f>(SUMIF($U$4:$U931,CONCATENATE("Buy",$C931),$F$4:$F931)+SUMIF($U$4:$U931,CONCATENATE("ReinvDiv",$C931),$F$4:$F931)+SUMIF($U$4:$U931,CONCATENATE("StkSplit",$C931),$F$4:$F931)-SUMIF($U$4:$U931,CONCATENATE("Sell",$C931),$F$4:$F931))</f>
        <v>1638</v>
      </c>
      <c r="AC931" s="3">
        <f>IF(B931="Sell",F931*INDEX(V:V,LOOKUP(2,1/(X$4:X930=CONCATENATE(C931,"_ACB")),ROW(V$4:V930))),0)</f>
        <v>0</v>
      </c>
    </row>
    <row r="932" spans="1:29" x14ac:dyDescent="0.25">
      <c r="A932" s="20">
        <v>41806</v>
      </c>
      <c r="B932" t="s">
        <v>43</v>
      </c>
      <c r="C932" t="s">
        <v>36</v>
      </c>
      <c r="D932" s="3">
        <v>0.03</v>
      </c>
      <c r="M932" s="21">
        <f t="shared" si="123"/>
        <v>0.03</v>
      </c>
      <c r="N932" s="8">
        <f t="shared" si="121"/>
        <v>0.03</v>
      </c>
      <c r="O932" s="25">
        <f t="shared" si="118"/>
        <v>1537.7299999999116</v>
      </c>
      <c r="P932" s="8">
        <f t="shared" si="125"/>
        <v>0</v>
      </c>
      <c r="Q932" s="4">
        <f>IF(AND(S932&gt;=[1]eRRSP_Rpt!$C$6,S932&lt;=[1]eRRSP_Rpt!$C$7),1,0)</f>
        <v>1</v>
      </c>
      <c r="R932" s="4"/>
      <c r="S932" s="4">
        <f t="shared" si="122"/>
        <v>2014</v>
      </c>
      <c r="T932" s="4"/>
      <c r="U932" s="4" t="str">
        <f t="shared" si="124"/>
        <v>IntIncTDW</v>
      </c>
      <c r="V932" s="23">
        <f>IFERROR(IF(AND(AB932&gt;0,B932&lt;&gt;"Sell"),(AA932-SUMIF(C$4:C931,C932,AC$4:AC932))/AB932,0),"")</f>
        <v>0</v>
      </c>
      <c r="W932" s="24" t="str">
        <f t="shared" si="120"/>
        <v/>
      </c>
      <c r="X932" s="25" t="str">
        <f t="shared" si="119"/>
        <v/>
      </c>
      <c r="Y932" s="10" t="str">
        <f>IF(S933&lt;&gt;eRRSP_Tx_Table[[#This Row],[Year]],SUMIFS($W$4:$W932,$S$4:$S932,eRRSP_Tx_Table[[#This Row],[Year]],$W$4:$W932,"&gt;0"),"")</f>
        <v/>
      </c>
      <c r="Z932" s="10" t="str">
        <f>IF(S933&lt;&gt;eRRSP_Tx_Table[[#This Row],[Year]],SUMIFS($W$4:$W932,$S$4:$S932,eRRSP_Tx_Table[[#This Row],[Year]],$W$4:$W932,"&lt;0"),"")</f>
        <v/>
      </c>
      <c r="AA932" s="3">
        <f>(SUMIF($U$4:$U932,CONCATENATE("Buy",$C932),$N$4:$N932)+SUMIF($U$4:$U932,CONCATENATE("ReinvDiv",$C932),$N$4:$N932))</f>
        <v>0</v>
      </c>
      <c r="AB932">
        <f>(SUMIF($U$4:$U932,CONCATENATE("Buy",$C932),$F$4:$F932)+SUMIF($U$4:$U932,CONCATENATE("ReinvDiv",$C932),$F$4:$F932)+SUMIF($U$4:$U932,CONCATENATE("StkSplit",$C932),$F$4:$F932)-SUMIF($U$4:$U932,CONCATENATE("Sell",$C932),$F$4:$F932))</f>
        <v>0</v>
      </c>
      <c r="AC932" s="3">
        <f>IF(B932="Sell",F932*INDEX(V:V,LOOKUP(2,1/(X$4:X931=CONCATENATE(C932,"_ACB")),ROW(V$4:V931))),0)</f>
        <v>0</v>
      </c>
    </row>
    <row r="933" spans="1:29" x14ac:dyDescent="0.25">
      <c r="A933" s="20">
        <v>41817</v>
      </c>
      <c r="B933" t="s">
        <v>41</v>
      </c>
      <c r="C933" t="s">
        <v>97</v>
      </c>
      <c r="D933" s="3">
        <v>142.81</v>
      </c>
      <c r="E933">
        <f>eRRSP_Tx_Table[[#This Row],[Amount]]/eRRSP_Tx_Table[[#This Row],[Quantity]]</f>
        <v>11.620016273393004</v>
      </c>
      <c r="F933" s="3">
        <v>12.29</v>
      </c>
      <c r="M933" s="21">
        <f t="shared" si="123"/>
        <v>142.81</v>
      </c>
      <c r="N933" s="8">
        <f t="shared" si="121"/>
        <v>-142.81</v>
      </c>
      <c r="O933" s="25">
        <f t="shared" si="118"/>
        <v>1537.7299999999116</v>
      </c>
      <c r="P933" s="8">
        <f t="shared" si="125"/>
        <v>0</v>
      </c>
      <c r="Q933" s="4">
        <f>IF(AND(S933&gt;=[1]eRRSP_Rpt!$C$6,S933&lt;=[1]eRRSP_Rpt!$C$7),1,0)</f>
        <v>1</v>
      </c>
      <c r="R933" s="4"/>
      <c r="S933" s="4">
        <f t="shared" si="122"/>
        <v>2014</v>
      </c>
      <c r="T933" s="4"/>
      <c r="U933" s="4" t="str">
        <f t="shared" si="124"/>
        <v>ReinvDivTD International Index - e</v>
      </c>
      <c r="V933" s="23">
        <f>IFERROR(IF(AND(AB933&gt;0,B933&lt;&gt;"Sell"),(AA933-SUMIF(C$4:C932,C933,AC$4:AC933))/AB933,0),"")</f>
        <v>-8.4226833612253369</v>
      </c>
      <c r="W933" s="24" t="str">
        <f t="shared" si="120"/>
        <v/>
      </c>
      <c r="X933" s="25" t="str">
        <f t="shared" si="119"/>
        <v>TD International Index - e_ACB</v>
      </c>
      <c r="Y933" s="10" t="str">
        <f>IF(S934&lt;&gt;eRRSP_Tx_Table[[#This Row],[Year]],SUMIFS($W$4:$W933,$S$4:$S933,eRRSP_Tx_Table[[#This Row],[Year]],$W$4:$W933,"&gt;0"),"")</f>
        <v/>
      </c>
      <c r="Z933" s="10" t="str">
        <f>IF(S934&lt;&gt;eRRSP_Tx_Table[[#This Row],[Year]],SUMIFS($W$4:$W933,$S$4:$S933,eRRSP_Tx_Table[[#This Row],[Year]],$W$4:$W933,"&lt;0"),"")</f>
        <v/>
      </c>
      <c r="AA933" s="3">
        <f>(SUMIF($U$4:$U933,CONCATENATE("Buy",$C933),$N$4:$N933)+SUMIF($U$4:$U933,CONCATENATE("ReinvDiv",$C933),$N$4:$N933))</f>
        <v>-29718.63</v>
      </c>
      <c r="AB933">
        <f>(SUMIF($U$4:$U933,CONCATENATE("Buy",$C933),$F$4:$F933)+SUMIF($U$4:$U933,CONCATENATE("ReinvDiv",$C933),$F$4:$F933)+SUMIF($U$4:$U933,CONCATENATE("StkSplit",$C933),$F$4:$F933)-SUMIF($U$4:$U933,CONCATENATE("Sell",$C933),$F$4:$F933))</f>
        <v>1076.9379999999996</v>
      </c>
      <c r="AC933" s="3">
        <f>IF(B933="Sell",F933*INDEX(V:V,LOOKUP(2,1/(X$4:X932=CONCATENATE(C933,"_ACB")),ROW(V$4:V932))),0)</f>
        <v>0</v>
      </c>
    </row>
    <row r="934" spans="1:29" x14ac:dyDescent="0.25">
      <c r="A934" s="20">
        <v>41820</v>
      </c>
      <c r="B934" t="s">
        <v>42</v>
      </c>
      <c r="C934" t="s">
        <v>103</v>
      </c>
      <c r="D934" s="3">
        <v>106.51</v>
      </c>
      <c r="M934" s="21">
        <f t="shared" si="123"/>
        <v>106.51</v>
      </c>
      <c r="N934" s="8">
        <f t="shared" si="121"/>
        <v>106.51</v>
      </c>
      <c r="O934" s="25">
        <f t="shared" si="118"/>
        <v>1644.2399999999116</v>
      </c>
      <c r="P934" s="8">
        <f t="shared" si="125"/>
        <v>0</v>
      </c>
      <c r="Q934" s="4">
        <f>IF(AND(S934&gt;=[1]eRRSP_Rpt!$C$6,S934&lt;=[1]eRRSP_Rpt!$C$7),1,0)</f>
        <v>1</v>
      </c>
      <c r="R934" s="4"/>
      <c r="S934" s="4">
        <f t="shared" si="122"/>
        <v>2014</v>
      </c>
      <c r="T934" s="4"/>
      <c r="U934" s="4" t="str">
        <f t="shared" si="124"/>
        <v>DivIshares Global Real Estate Index</v>
      </c>
      <c r="V934" s="23">
        <f>IFERROR(IF(AND(AB934&gt;0,B934&lt;&gt;"Sell"),(AA934-SUMIF(C$4:C933,C934,AC$4:AC934))/AB934,0),"")</f>
        <v>-21.643448573898013</v>
      </c>
      <c r="W934" s="24" t="str">
        <f t="shared" si="120"/>
        <v/>
      </c>
      <c r="X934" s="25" t="str">
        <f t="shared" si="119"/>
        <v>Ishares Global Real Estate Index_ACB</v>
      </c>
      <c r="Y934" s="10" t="str">
        <f>IF(S935&lt;&gt;eRRSP_Tx_Table[[#This Row],[Year]],SUMIFS($W$4:$W934,$S$4:$S934,eRRSP_Tx_Table[[#This Row],[Year]],$W$4:$W934,"&gt;0"),"")</f>
        <v/>
      </c>
      <c r="Z934" s="10" t="str">
        <f>IF(S935&lt;&gt;eRRSP_Tx_Table[[#This Row],[Year]],SUMIFS($W$4:$W934,$S$4:$S934,eRRSP_Tx_Table[[#This Row],[Year]],$W$4:$W934,"&lt;0"),"")</f>
        <v/>
      </c>
      <c r="AA934" s="3">
        <f>(SUMIF($U$4:$U934,CONCATENATE("Buy",$C934),$N$4:$N934)+SUMIF($U$4:$U934,CONCATENATE("ReinvDiv",$C934),$N$4:$N934))</f>
        <v>-25041.47</v>
      </c>
      <c r="AB934">
        <f>(SUMIF($U$4:$U934,CONCATENATE("Buy",$C934),$F$4:$F934)+SUMIF($U$4:$U934,CONCATENATE("ReinvDiv",$C934),$F$4:$F934)+SUMIF($U$4:$U934,CONCATENATE("StkSplit",$C934),$F$4:$F934)-SUMIF($U$4:$U934,CONCATENATE("Sell",$C934),$F$4:$F934))</f>
        <v>1157</v>
      </c>
      <c r="AC934" s="3">
        <f>IF(B934="Sell",F934*INDEX(V:V,LOOKUP(2,1/(X$4:X933=CONCATENATE(C934,"_ACB")),ROW(V$4:V933))),0)</f>
        <v>0</v>
      </c>
    </row>
    <row r="935" spans="1:29" x14ac:dyDescent="0.25">
      <c r="A935" s="20">
        <v>41820</v>
      </c>
      <c r="B935" t="s">
        <v>42</v>
      </c>
      <c r="C935" t="s">
        <v>90</v>
      </c>
      <c r="D935" s="3">
        <v>28.97</v>
      </c>
      <c r="M935" s="21">
        <f t="shared" si="123"/>
        <v>28.97</v>
      </c>
      <c r="N935" s="8">
        <f t="shared" si="121"/>
        <v>28.97</v>
      </c>
      <c r="O935" s="25">
        <f t="shared" si="118"/>
        <v>1673.2099999999116</v>
      </c>
      <c r="P935" s="8">
        <f t="shared" si="125"/>
        <v>0</v>
      </c>
      <c r="Q935" s="4">
        <f>IF(AND(S935&gt;=[1]eRRSP_Rpt!$C$6,S935&lt;=[1]eRRSP_Rpt!$C$7),1,0)</f>
        <v>1</v>
      </c>
      <c r="R935" s="4"/>
      <c r="S935" s="4">
        <f t="shared" si="122"/>
        <v>2014</v>
      </c>
      <c r="T935" s="4"/>
      <c r="U935" s="4" t="str">
        <f t="shared" si="124"/>
        <v>DivVanguard Large Cap ETF</v>
      </c>
      <c r="V935" s="23">
        <f>IFERROR(IF(AND(AB935&gt;0,B935&lt;&gt;"Sell"),(AA935-SUMIF(C$4:C934,C935,AC$4:AC935))/AB935,0),"")</f>
        <v>-74.401142857142858</v>
      </c>
      <c r="W935" s="24" t="str">
        <f t="shared" si="120"/>
        <v/>
      </c>
      <c r="X935" s="25" t="str">
        <f t="shared" si="119"/>
        <v>Vanguard Large Cap ETF_ACB</v>
      </c>
      <c r="Y935" s="10" t="str">
        <f>IF(S936&lt;&gt;eRRSP_Tx_Table[[#This Row],[Year]],SUMIFS($W$4:$W935,$S$4:$S935,eRRSP_Tx_Table[[#This Row],[Year]],$W$4:$W935,"&gt;0"),"")</f>
        <v/>
      </c>
      <c r="Z935" s="10" t="str">
        <f>IF(S936&lt;&gt;eRRSP_Tx_Table[[#This Row],[Year]],SUMIFS($W$4:$W935,$S$4:$S935,eRRSP_Tx_Table[[#This Row],[Year]],$W$4:$W935,"&lt;0"),"")</f>
        <v/>
      </c>
      <c r="AA935" s="3">
        <f>(SUMIF($U$4:$U935,CONCATENATE("Buy",$C935),$N$4:$N935)+SUMIF($U$4:$U935,CONCATENATE("ReinvDiv",$C935),$N$4:$N935))</f>
        <v>-5208.08</v>
      </c>
      <c r="AB935">
        <f>(SUMIF($U$4:$U935,CONCATENATE("Buy",$C935),$F$4:$F935)+SUMIF($U$4:$U935,CONCATENATE("ReinvDiv",$C935),$F$4:$F935)+SUMIF($U$4:$U935,CONCATENATE("StkSplit",$C935),$F$4:$F935)-SUMIF($U$4:$U935,CONCATENATE("Sell",$C935),$F$4:$F935))</f>
        <v>70</v>
      </c>
      <c r="AC935" s="3">
        <f>IF(B935="Sell",F935*INDEX(V:V,LOOKUP(2,1/(X$4:X934=CONCATENATE(C935,"_ACB")),ROW(V$4:V934))),0)</f>
        <v>0</v>
      </c>
    </row>
    <row r="936" spans="1:29" x14ac:dyDescent="0.25">
      <c r="A936" s="20">
        <v>41820</v>
      </c>
      <c r="B936" t="s">
        <v>43</v>
      </c>
      <c r="C936" t="s">
        <v>99</v>
      </c>
      <c r="D936" s="3">
        <v>18.39</v>
      </c>
      <c r="M936" s="21">
        <f t="shared" si="123"/>
        <v>18.39</v>
      </c>
      <c r="N936" s="8">
        <f t="shared" si="121"/>
        <v>18.39</v>
      </c>
      <c r="O936" s="25">
        <f t="shared" si="118"/>
        <v>1691.5999999999117</v>
      </c>
      <c r="P936" s="8">
        <f t="shared" si="125"/>
        <v>0</v>
      </c>
      <c r="Q936" s="4">
        <f>IF(AND(S936&gt;=[1]eRRSP_Rpt!$C$6,S936&lt;=[1]eRRSP_Rpt!$C$7),1,0)</f>
        <v>1</v>
      </c>
      <c r="R936" s="4"/>
      <c r="S936" s="4">
        <f t="shared" si="122"/>
        <v>2014</v>
      </c>
      <c r="T936" s="4"/>
      <c r="U936" s="4" t="str">
        <f t="shared" si="124"/>
        <v>IntIncTD INV SAV ACCT  /NL'FRAC</v>
      </c>
      <c r="V936" s="23">
        <f>IFERROR(IF(AND(AB936&gt;0,B936&lt;&gt;"Sell"),(AA936-SUMIF(C$4:C935,C936,AC$4:AC936))/AB936,0),"")</f>
        <v>-10</v>
      </c>
      <c r="W936" s="24" t="str">
        <f t="shared" si="120"/>
        <v/>
      </c>
      <c r="X936" s="25" t="str">
        <f t="shared" si="119"/>
        <v>TD INV SAV ACCT  /NL'FRAC_ACB</v>
      </c>
      <c r="Y936" s="10" t="str">
        <f>IF(S937&lt;&gt;eRRSP_Tx_Table[[#This Row],[Year]],SUMIFS($W$4:$W936,$S$4:$S936,eRRSP_Tx_Table[[#This Row],[Year]],$W$4:$W936,"&gt;0"),"")</f>
        <v/>
      </c>
      <c r="Z936" s="10" t="str">
        <f>IF(S937&lt;&gt;eRRSP_Tx_Table[[#This Row],[Year]],SUMIFS($W$4:$W936,$S$4:$S936,eRRSP_Tx_Table[[#This Row],[Year]],$W$4:$W936,"&lt;0"),"")</f>
        <v/>
      </c>
      <c r="AA936" s="3">
        <f>(SUMIF($U$4:$U936,CONCATENATE("Buy",$C936),$N$4:$N936)+SUMIF($U$4:$U936,CONCATENATE("ReinvDiv",$C936),$N$4:$N936))</f>
        <v>-30900</v>
      </c>
      <c r="AB936">
        <f>(SUMIF($U$4:$U936,CONCATENATE("Buy",$C936),$F$4:$F936)+SUMIF($U$4:$U936,CONCATENATE("ReinvDiv",$C936),$F$4:$F936)+SUMIF($U$4:$U936,CONCATENATE("StkSplit",$C936),$F$4:$F936)-SUMIF($U$4:$U936,CONCATENATE("Sell",$C936),$F$4:$F936))</f>
        <v>1790</v>
      </c>
      <c r="AC936" s="3">
        <f>IF(B936="Sell",F936*INDEX(V:V,LOOKUP(2,1/(X$4:X935=CONCATENATE(C936,"_ACB")),ROW(V$4:V935))),0)</f>
        <v>0</v>
      </c>
    </row>
    <row r="937" spans="1:29" x14ac:dyDescent="0.25">
      <c r="A937" s="20">
        <v>41822</v>
      </c>
      <c r="B937" t="s">
        <v>42</v>
      </c>
      <c r="C937" t="s">
        <v>105</v>
      </c>
      <c r="D937" s="3">
        <v>93.38</v>
      </c>
      <c r="M937" s="21">
        <f t="shared" si="123"/>
        <v>93.38</v>
      </c>
      <c r="N937" s="8">
        <f t="shared" si="121"/>
        <v>93.38</v>
      </c>
      <c r="O937" s="25">
        <f t="shared" si="118"/>
        <v>1784.9799999999118</v>
      </c>
      <c r="P937" s="8">
        <f t="shared" si="125"/>
        <v>0</v>
      </c>
      <c r="Q937" s="4">
        <f>IF(AND(S937&gt;=[1]eRRSP_Rpt!$C$6,S937&lt;=[1]eRRSP_Rpt!$C$7),1,0)</f>
        <v>1</v>
      </c>
      <c r="R937" s="4"/>
      <c r="S937" s="4">
        <f t="shared" si="122"/>
        <v>2014</v>
      </c>
      <c r="T937" s="4"/>
      <c r="U937" s="4" t="str">
        <f t="shared" si="124"/>
        <v>DivVanguard CDN S/T Corp Bond</v>
      </c>
      <c r="V937" s="23">
        <f>IFERROR(IF(AND(AB937&gt;0,B937&lt;&gt;"Sell"),(AA937-SUMIF(C$4:C936,C937,AC$4:AC937))/AB937,0),"")</f>
        <v>-25.164273504273506</v>
      </c>
      <c r="W937" s="24" t="str">
        <f t="shared" si="120"/>
        <v/>
      </c>
      <c r="X937" s="25" t="str">
        <f t="shared" si="119"/>
        <v>Vanguard CDN S/T Corp Bond_ACB</v>
      </c>
      <c r="Y937" s="10" t="str">
        <f>IF(S938&lt;&gt;eRRSP_Tx_Table[[#This Row],[Year]],SUMIFS($W$4:$W937,$S$4:$S937,eRRSP_Tx_Table[[#This Row],[Year]],$W$4:$W937,"&gt;0"),"")</f>
        <v/>
      </c>
      <c r="Z937" s="10" t="str">
        <f>IF(S938&lt;&gt;eRRSP_Tx_Table[[#This Row],[Year]],SUMIFS($W$4:$W937,$S$4:$S937,eRRSP_Tx_Table[[#This Row],[Year]],$W$4:$W937,"&lt;0"),"")</f>
        <v/>
      </c>
      <c r="AA937" s="3">
        <f>(SUMIF($U$4:$U937,CONCATENATE("Buy",$C937),$N$4:$N937)+SUMIF($U$4:$U937,CONCATENATE("ReinvDiv",$C937),$N$4:$N937))</f>
        <v>-41219.08</v>
      </c>
      <c r="AB937">
        <f>(SUMIF($U$4:$U937,CONCATENATE("Buy",$C937),$F$4:$F937)+SUMIF($U$4:$U937,CONCATENATE("ReinvDiv",$C937),$F$4:$F937)+SUMIF($U$4:$U937,CONCATENATE("StkSplit",$C937),$F$4:$F937)-SUMIF($U$4:$U937,CONCATENATE("Sell",$C937),$F$4:$F937))</f>
        <v>1638</v>
      </c>
      <c r="AC937" s="3">
        <f>IF(B937="Sell",F937*INDEX(V:V,LOOKUP(2,1/(X$4:X936=CONCATENATE(C937,"_ACB")),ROW(V$4:V936))),0)</f>
        <v>0</v>
      </c>
    </row>
    <row r="938" spans="1:29" x14ac:dyDescent="0.25">
      <c r="A938" s="20">
        <v>41822</v>
      </c>
      <c r="B938" t="s">
        <v>42</v>
      </c>
      <c r="C938" t="s">
        <v>104</v>
      </c>
      <c r="D938" s="3">
        <v>196.7</v>
      </c>
      <c r="M938" s="21">
        <f t="shared" si="123"/>
        <v>196.7</v>
      </c>
      <c r="N938" s="8">
        <f t="shared" si="121"/>
        <v>196.7</v>
      </c>
      <c r="O938" s="25">
        <f t="shared" si="118"/>
        <v>1981.6799999999118</v>
      </c>
      <c r="P938" s="8">
        <f t="shared" si="125"/>
        <v>0</v>
      </c>
      <c r="Q938" s="4">
        <f>IF(AND(S938&gt;=[1]eRRSP_Rpt!$C$6,S938&lt;=[1]eRRSP_Rpt!$C$7),1,0)</f>
        <v>1</v>
      </c>
      <c r="R938" s="4"/>
      <c r="S938" s="4">
        <f t="shared" si="122"/>
        <v>2014</v>
      </c>
      <c r="T938" s="4"/>
      <c r="U938" s="4" t="str">
        <f t="shared" si="124"/>
        <v>DivVanguard US Total Market ETF</v>
      </c>
      <c r="V938" s="23">
        <f>IFERROR(IF(AND(AB938&gt;0,B938&lt;&gt;"Sell"),(AA938-SUMIF(C$4:C937,C938,AC$4:AC938))/AB938,0),"")</f>
        <v>-28.004994999999997</v>
      </c>
      <c r="W938" s="24" t="str">
        <f t="shared" si="120"/>
        <v/>
      </c>
      <c r="X938" s="25" t="str">
        <f t="shared" si="119"/>
        <v>Vanguard US Total Market ETF_ACB</v>
      </c>
      <c r="Y938" s="10" t="str">
        <f>IF(S939&lt;&gt;eRRSP_Tx_Table[[#This Row],[Year]],SUMIFS($W$4:$W938,$S$4:$S938,eRRSP_Tx_Table[[#This Row],[Year]],$W$4:$W938,"&gt;0"),"")</f>
        <v/>
      </c>
      <c r="Z938" s="10" t="str">
        <f>IF(S939&lt;&gt;eRRSP_Tx_Table[[#This Row],[Year]],SUMIFS($W$4:$W938,$S$4:$S938,eRRSP_Tx_Table[[#This Row],[Year]],$W$4:$W938,"&lt;0"),"")</f>
        <v/>
      </c>
      <c r="AA938" s="3">
        <f>(SUMIF($U$4:$U938,CONCATENATE("Buy",$C938),$N$4:$N938)+SUMIF($U$4:$U938,CONCATENATE("ReinvDiv",$C938),$N$4:$N938))</f>
        <v>-56009.99</v>
      </c>
      <c r="AB938">
        <f>(SUMIF($U$4:$U938,CONCATENATE("Buy",$C938),$F$4:$F938)+SUMIF($U$4:$U938,CONCATENATE("ReinvDiv",$C938),$F$4:$F938)+SUMIF($U$4:$U938,CONCATENATE("StkSplit",$C938),$F$4:$F938)-SUMIF($U$4:$U938,CONCATENATE("Sell",$C938),$F$4:$F938))</f>
        <v>2000</v>
      </c>
      <c r="AC938" s="3">
        <f>IF(B938="Sell",F938*INDEX(V:V,LOOKUP(2,1/(X$4:X937=CONCATENATE(C938,"_ACB")),ROW(V$4:V937))),0)</f>
        <v>0</v>
      </c>
    </row>
    <row r="939" spans="1:29" x14ac:dyDescent="0.25">
      <c r="A939" s="20">
        <v>41829</v>
      </c>
      <c r="B939" t="s">
        <v>40</v>
      </c>
      <c r="C939" t="s">
        <v>90</v>
      </c>
      <c r="D939" s="3">
        <v>6664.9</v>
      </c>
      <c r="E939">
        <v>95.364400000000003</v>
      </c>
      <c r="F939" s="3">
        <v>70</v>
      </c>
      <c r="G939">
        <v>10.61</v>
      </c>
      <c r="M939" s="21">
        <f t="shared" si="123"/>
        <v>6675.51</v>
      </c>
      <c r="N939" s="8">
        <f t="shared" si="121"/>
        <v>6664.9000000000005</v>
      </c>
      <c r="O939" s="25">
        <f t="shared" si="118"/>
        <v>8646.5799999999126</v>
      </c>
      <c r="P939" s="8">
        <f t="shared" si="125"/>
        <v>0</v>
      </c>
      <c r="Q939" s="4">
        <f>IF(AND(S939&gt;=[1]eRRSP_Rpt!$C$6,S939&lt;=[1]eRRSP_Rpt!$C$7),1,0)</f>
        <v>1</v>
      </c>
      <c r="R939" s="4"/>
      <c r="S939" s="4">
        <f t="shared" si="122"/>
        <v>2014</v>
      </c>
      <c r="T939" s="4"/>
      <c r="U939" s="4" t="str">
        <f t="shared" si="124"/>
        <v>SellVanguard Large Cap ETF</v>
      </c>
      <c r="V939" s="23">
        <f>IFERROR(IF(AND(AB939&gt;0,B939&lt;&gt;"Sell"),(AA939-SUMIF(C$4:C938,C939,AC$4:AC939))/AB939,0),"")</f>
        <v>0</v>
      </c>
      <c r="W939" s="24">
        <f t="shared" si="120"/>
        <v>1456.8200000000006</v>
      </c>
      <c r="X939" s="25" t="str">
        <f t="shared" si="119"/>
        <v/>
      </c>
      <c r="Y939" s="10" t="str">
        <f>IF(S940&lt;&gt;eRRSP_Tx_Table[[#This Row],[Year]],SUMIFS($W$4:$W939,$S$4:$S939,eRRSP_Tx_Table[[#This Row],[Year]],$W$4:$W939,"&gt;0"),"")</f>
        <v/>
      </c>
      <c r="Z939" s="10" t="str">
        <f>IF(S940&lt;&gt;eRRSP_Tx_Table[[#This Row],[Year]],SUMIFS($W$4:$W939,$S$4:$S939,eRRSP_Tx_Table[[#This Row],[Year]],$W$4:$W939,"&lt;0"),"")</f>
        <v/>
      </c>
      <c r="AA939" s="3">
        <f>(SUMIF($U$4:$U939,CONCATENATE("Buy",$C939),$N$4:$N939)+SUMIF($U$4:$U939,CONCATENATE("ReinvDiv",$C939),$N$4:$N939))</f>
        <v>-5208.08</v>
      </c>
      <c r="AB939">
        <f>(SUMIF($U$4:$U939,CONCATENATE("Buy",$C939),$F$4:$F939)+SUMIF($U$4:$U939,CONCATENATE("ReinvDiv",$C939),$F$4:$F939)+SUMIF($U$4:$U939,CONCATENATE("StkSplit",$C939),$F$4:$F939)-SUMIF($U$4:$U939,CONCATENATE("Sell",$C939),$F$4:$F939))</f>
        <v>0</v>
      </c>
      <c r="AC939" s="3">
        <f>IF(B939="Sell",F939*INDEX(V:V,LOOKUP(2,1/(X$4:X938=CONCATENATE(C939,"_ACB")),ROW(V$4:V938))),0)</f>
        <v>-5208.08</v>
      </c>
    </row>
    <row r="940" spans="1:29" x14ac:dyDescent="0.25">
      <c r="A940" s="20">
        <v>41836</v>
      </c>
      <c r="B940" t="s">
        <v>43</v>
      </c>
      <c r="C940" t="s">
        <v>36</v>
      </c>
      <c r="D940" s="3">
        <v>0.06</v>
      </c>
      <c r="M940" s="21">
        <f t="shared" si="123"/>
        <v>0.06</v>
      </c>
      <c r="N940" s="8">
        <f t="shared" si="121"/>
        <v>0.06</v>
      </c>
      <c r="O940" s="25">
        <f t="shared" si="118"/>
        <v>8646.6399999999121</v>
      </c>
      <c r="P940" s="8">
        <f t="shared" si="125"/>
        <v>0</v>
      </c>
      <c r="Q940" s="4">
        <f>IF(AND(S940&gt;=[1]eRRSP_Rpt!$C$6,S940&lt;=[1]eRRSP_Rpt!$C$7),1,0)</f>
        <v>1</v>
      </c>
      <c r="R940" s="4"/>
      <c r="S940" s="4">
        <f t="shared" si="122"/>
        <v>2014</v>
      </c>
      <c r="T940" s="4"/>
      <c r="U940" s="4" t="str">
        <f t="shared" si="124"/>
        <v>IntIncTDW</v>
      </c>
      <c r="V940" s="23">
        <f>IFERROR(IF(AND(AB940&gt;0,B940&lt;&gt;"Sell"),(AA940-SUMIF(C$4:C939,C940,AC$4:AC940))/AB940,0),"")</f>
        <v>0</v>
      </c>
      <c r="W940" s="24" t="str">
        <f t="shared" si="120"/>
        <v/>
      </c>
      <c r="X940" s="25" t="str">
        <f t="shared" si="119"/>
        <v/>
      </c>
      <c r="Y940" s="10" t="str">
        <f>IF(S941&lt;&gt;eRRSP_Tx_Table[[#This Row],[Year]],SUMIFS($W$4:$W940,$S$4:$S940,eRRSP_Tx_Table[[#This Row],[Year]],$W$4:$W940,"&gt;0"),"")</f>
        <v/>
      </c>
      <c r="Z940" s="10" t="str">
        <f>IF(S941&lt;&gt;eRRSP_Tx_Table[[#This Row],[Year]],SUMIFS($W$4:$W940,$S$4:$S940,eRRSP_Tx_Table[[#This Row],[Year]],$W$4:$W940,"&lt;0"),"")</f>
        <v/>
      </c>
      <c r="AA940" s="3">
        <f>(SUMIF($U$4:$U940,CONCATENATE("Buy",$C940),$N$4:$N940)+SUMIF($U$4:$U940,CONCATENATE("ReinvDiv",$C940),$N$4:$N940))</f>
        <v>0</v>
      </c>
      <c r="AB940">
        <f>(SUMIF($U$4:$U940,CONCATENATE("Buy",$C940),$F$4:$F940)+SUMIF($U$4:$U940,CONCATENATE("ReinvDiv",$C940),$F$4:$F940)+SUMIF($U$4:$U940,CONCATENATE("StkSplit",$C940),$F$4:$F940)-SUMIF($U$4:$U940,CONCATENATE("Sell",$C940),$F$4:$F940))</f>
        <v>0</v>
      </c>
      <c r="AC940" s="3">
        <f>IF(B940="Sell",F940*INDEX(V:V,LOOKUP(2,1/(X$4:X939=CONCATENATE(C940,"_ACB")),ROW(V$4:V939))),0)</f>
        <v>0</v>
      </c>
    </row>
    <row r="941" spans="1:29" x14ac:dyDescent="0.25">
      <c r="A941" s="20">
        <v>41846</v>
      </c>
      <c r="B941" t="s">
        <v>43</v>
      </c>
      <c r="C941" t="s">
        <v>94</v>
      </c>
      <c r="D941" s="3">
        <v>486.5</v>
      </c>
      <c r="M941" s="21">
        <f t="shared" si="123"/>
        <v>486.5</v>
      </c>
      <c r="N941" s="8">
        <f t="shared" si="121"/>
        <v>486.5</v>
      </c>
      <c r="O941" s="25">
        <f t="shared" si="118"/>
        <v>9133.1399999999121</v>
      </c>
      <c r="P941" s="8">
        <f t="shared" si="125"/>
        <v>0</v>
      </c>
      <c r="Q941" s="4">
        <f>IF(AND(S941&gt;=[1]eRRSP_Rpt!$C$6,S941&lt;=[1]eRRSP_Rpt!$C$7),1,0)</f>
        <v>1</v>
      </c>
      <c r="R941" s="4"/>
      <c r="S941" s="4">
        <f t="shared" si="122"/>
        <v>2014</v>
      </c>
      <c r="T941" s="4"/>
      <c r="U941" s="4" t="str">
        <f t="shared" si="124"/>
        <v>IntIncAIMIA SER-3  6.95% 26JA17</v>
      </c>
      <c r="V941" s="23">
        <f>IFERROR(IF(AND(AB941&gt;0,B941&lt;&gt;"Sell"),(AA941-SUMIF(C$4:C940,C941,AC$4:AC941))/AB941,0),"")</f>
        <v>-1.0346899999999999</v>
      </c>
      <c r="W941" s="24" t="str">
        <f t="shared" si="120"/>
        <v/>
      </c>
      <c r="X941" s="25" t="str">
        <f t="shared" si="119"/>
        <v>AIMIA SER-3  6.95% 26JA17_ACB</v>
      </c>
      <c r="Y941" s="10" t="str">
        <f>IF(S942&lt;&gt;eRRSP_Tx_Table[[#This Row],[Year]],SUMIFS($W$4:$W941,$S$4:$S941,eRRSP_Tx_Table[[#This Row],[Year]],$W$4:$W941,"&gt;0"),"")</f>
        <v/>
      </c>
      <c r="Z941" s="10" t="str">
        <f>IF(S942&lt;&gt;eRRSP_Tx_Table[[#This Row],[Year]],SUMIFS($W$4:$W941,$S$4:$S941,eRRSP_Tx_Table[[#This Row],[Year]],$W$4:$W941,"&lt;0"),"")</f>
        <v/>
      </c>
      <c r="AA941" s="3">
        <f>(SUMIF($U$4:$U941,CONCATENATE("Buy",$C941),$N$4:$N941)+SUMIF($U$4:$U941,CONCATENATE("ReinvDiv",$C941),$N$4:$N941))</f>
        <v>-14485.66</v>
      </c>
      <c r="AB941">
        <f>(SUMIF($U$4:$U941,CONCATENATE("Buy",$C941),$F$4:$F941)+SUMIF($U$4:$U941,CONCATENATE("ReinvDiv",$C941),$F$4:$F941)+SUMIF($U$4:$U941,CONCATENATE("StkSplit",$C941),$F$4:$F941)-SUMIF($U$4:$U941,CONCATENATE("Sell",$C941),$F$4:$F941))</f>
        <v>14000</v>
      </c>
      <c r="AC941" s="3">
        <f>IF(B941="Sell",F941*INDEX(V:V,LOOKUP(2,1/(X$4:X940=CONCATENATE(C941,"_ACB")),ROW(V$4:V940))),0)</f>
        <v>0</v>
      </c>
    </row>
    <row r="942" spans="1:29" x14ac:dyDescent="0.25">
      <c r="A942" s="20">
        <v>41851</v>
      </c>
      <c r="B942" t="s">
        <v>43</v>
      </c>
      <c r="C942" t="s">
        <v>99</v>
      </c>
      <c r="D942" s="3">
        <v>18.39</v>
      </c>
      <c r="M942" s="21">
        <f t="shared" si="123"/>
        <v>18.39</v>
      </c>
      <c r="N942" s="8">
        <f t="shared" si="121"/>
        <v>18.39</v>
      </c>
      <c r="O942" s="25">
        <f t="shared" si="118"/>
        <v>9151.5299999999115</v>
      </c>
      <c r="P942" s="8">
        <f t="shared" si="125"/>
        <v>0</v>
      </c>
      <c r="Q942" s="4">
        <f>IF(AND(S942&gt;=[1]eRRSP_Rpt!$C$6,S942&lt;=[1]eRRSP_Rpt!$C$7),1,0)</f>
        <v>1</v>
      </c>
      <c r="R942" s="4"/>
      <c r="S942" s="4">
        <f t="shared" si="122"/>
        <v>2014</v>
      </c>
      <c r="T942" s="4"/>
      <c r="U942" s="4" t="str">
        <f t="shared" si="124"/>
        <v>IntIncTD INV SAV ACCT  /NL'FRAC</v>
      </c>
      <c r="V942" s="23">
        <f>IFERROR(IF(AND(AB942&gt;0,B942&lt;&gt;"Sell"),(AA942-SUMIF(C$4:C941,C942,AC$4:AC942))/AB942,0),"")</f>
        <v>-10</v>
      </c>
      <c r="W942" s="24" t="str">
        <f t="shared" si="120"/>
        <v/>
      </c>
      <c r="X942" s="25" t="str">
        <f t="shared" si="119"/>
        <v>TD INV SAV ACCT  /NL'FRAC_ACB</v>
      </c>
      <c r="Y942" s="10" t="str">
        <f>IF(S943&lt;&gt;eRRSP_Tx_Table[[#This Row],[Year]],SUMIFS($W$4:$W942,$S$4:$S942,eRRSP_Tx_Table[[#This Row],[Year]],$W$4:$W942,"&gt;0"),"")</f>
        <v/>
      </c>
      <c r="Z942" s="10" t="str">
        <f>IF(S943&lt;&gt;eRRSP_Tx_Table[[#This Row],[Year]],SUMIFS($W$4:$W942,$S$4:$S942,eRRSP_Tx_Table[[#This Row],[Year]],$W$4:$W942,"&lt;0"),"")</f>
        <v/>
      </c>
      <c r="AA942" s="3">
        <f>(SUMIF($U$4:$U942,CONCATENATE("Buy",$C942),$N$4:$N942)+SUMIF($U$4:$U942,CONCATENATE("ReinvDiv",$C942),$N$4:$N942))</f>
        <v>-30900</v>
      </c>
      <c r="AB942">
        <f>(SUMIF($U$4:$U942,CONCATENATE("Buy",$C942),$F$4:$F942)+SUMIF($U$4:$U942,CONCATENATE("ReinvDiv",$C942),$F$4:$F942)+SUMIF($U$4:$U942,CONCATENATE("StkSplit",$C942),$F$4:$F942)-SUMIF($U$4:$U942,CONCATENATE("Sell",$C942),$F$4:$F942))</f>
        <v>1790</v>
      </c>
      <c r="AC942" s="3">
        <f>IF(B942="Sell",F942*INDEX(V:V,LOOKUP(2,1/(X$4:X941=CONCATENATE(C942,"_ACB")),ROW(V$4:V941))),0)</f>
        <v>0</v>
      </c>
    </row>
    <row r="943" spans="1:29" x14ac:dyDescent="0.25">
      <c r="A943" s="20">
        <v>41856</v>
      </c>
      <c r="B943" t="s">
        <v>42</v>
      </c>
      <c r="C943" t="s">
        <v>105</v>
      </c>
      <c r="D943" s="3">
        <v>121.43</v>
      </c>
      <c r="M943" s="21">
        <f t="shared" si="123"/>
        <v>121.43</v>
      </c>
      <c r="N943" s="8">
        <f t="shared" si="121"/>
        <v>121.43</v>
      </c>
      <c r="O943" s="25">
        <f t="shared" si="118"/>
        <v>9272.9599999999118</v>
      </c>
      <c r="P943" s="8">
        <f t="shared" si="125"/>
        <v>0</v>
      </c>
      <c r="Q943" s="4">
        <f>IF(AND(S943&gt;=[1]eRRSP_Rpt!$C$6,S943&lt;=[1]eRRSP_Rpt!$C$7),1,0)</f>
        <v>1</v>
      </c>
      <c r="R943" s="4"/>
      <c r="S943" s="4">
        <f t="shared" si="122"/>
        <v>2014</v>
      </c>
      <c r="T943" s="4"/>
      <c r="U943" s="4" t="str">
        <f t="shared" si="124"/>
        <v>DivVanguard CDN S/T Corp Bond</v>
      </c>
      <c r="V943" s="23">
        <f>IFERROR(IF(AND(AB943&gt;0,B943&lt;&gt;"Sell"),(AA943-SUMIF(C$4:C942,C943,AC$4:AC943))/AB943,0),"")</f>
        <v>-25.164273504273506</v>
      </c>
      <c r="W943" s="24" t="str">
        <f t="shared" si="120"/>
        <v/>
      </c>
      <c r="X943" s="25" t="str">
        <f t="shared" si="119"/>
        <v>Vanguard CDN S/T Corp Bond_ACB</v>
      </c>
      <c r="Y943" s="10" t="str">
        <f>IF(S944&lt;&gt;eRRSP_Tx_Table[[#This Row],[Year]],SUMIFS($W$4:$W943,$S$4:$S943,eRRSP_Tx_Table[[#This Row],[Year]],$W$4:$W943,"&gt;0"),"")</f>
        <v/>
      </c>
      <c r="Z943" s="10" t="str">
        <f>IF(S944&lt;&gt;eRRSP_Tx_Table[[#This Row],[Year]],SUMIFS($W$4:$W943,$S$4:$S943,eRRSP_Tx_Table[[#This Row],[Year]],$W$4:$W943,"&lt;0"),"")</f>
        <v/>
      </c>
      <c r="AA943" s="3">
        <f>(SUMIF($U$4:$U943,CONCATENATE("Buy",$C943),$N$4:$N943)+SUMIF($U$4:$U943,CONCATENATE("ReinvDiv",$C943),$N$4:$N943))</f>
        <v>-41219.08</v>
      </c>
      <c r="AB943">
        <f>(SUMIF($U$4:$U943,CONCATENATE("Buy",$C943),$F$4:$F943)+SUMIF($U$4:$U943,CONCATENATE("ReinvDiv",$C943),$F$4:$F943)+SUMIF($U$4:$U943,CONCATENATE("StkSplit",$C943),$F$4:$F943)-SUMIF($U$4:$U943,CONCATENATE("Sell",$C943),$F$4:$F943))</f>
        <v>1638</v>
      </c>
      <c r="AC943" s="3">
        <f>IF(B943="Sell",F943*INDEX(V:V,LOOKUP(2,1/(X$4:X942=CONCATENATE(C943,"_ACB")),ROW(V$4:V942))),0)</f>
        <v>0</v>
      </c>
    </row>
    <row r="944" spans="1:29" x14ac:dyDescent="0.25">
      <c r="A944" s="20">
        <v>41867</v>
      </c>
      <c r="B944" t="s">
        <v>43</v>
      </c>
      <c r="C944" t="s">
        <v>36</v>
      </c>
      <c r="D944" s="3">
        <v>0.19</v>
      </c>
      <c r="M944" s="21">
        <f t="shared" si="123"/>
        <v>0.19</v>
      </c>
      <c r="N944" s="8">
        <f t="shared" si="121"/>
        <v>0.19</v>
      </c>
      <c r="O944" s="25">
        <f t="shared" si="118"/>
        <v>9273.1499999999123</v>
      </c>
      <c r="P944" s="8">
        <f t="shared" si="125"/>
        <v>0</v>
      </c>
      <c r="Q944" s="4">
        <f>IF(AND(S944&gt;=[1]eRRSP_Rpt!$C$6,S944&lt;=[1]eRRSP_Rpt!$C$7),1,0)</f>
        <v>1</v>
      </c>
      <c r="R944" s="4"/>
      <c r="S944" s="4">
        <f t="shared" si="122"/>
        <v>2014</v>
      </c>
      <c r="T944" s="4"/>
      <c r="U944" s="4" t="str">
        <f t="shared" si="124"/>
        <v>IntIncTDW</v>
      </c>
      <c r="V944" s="23">
        <f>IFERROR(IF(AND(AB944&gt;0,B944&lt;&gt;"Sell"),(AA944-SUMIF(C$4:C943,C944,AC$4:AC944))/AB944,0),"")</f>
        <v>0</v>
      </c>
      <c r="W944" s="24" t="str">
        <f t="shared" si="120"/>
        <v/>
      </c>
      <c r="X944" s="25" t="str">
        <f t="shared" si="119"/>
        <v/>
      </c>
      <c r="Y944" s="10" t="str">
        <f>IF(S945&lt;&gt;eRRSP_Tx_Table[[#This Row],[Year]],SUMIFS($W$4:$W944,$S$4:$S944,eRRSP_Tx_Table[[#This Row],[Year]],$W$4:$W944,"&gt;0"),"")</f>
        <v/>
      </c>
      <c r="Z944" s="10" t="str">
        <f>IF(S945&lt;&gt;eRRSP_Tx_Table[[#This Row],[Year]],SUMIFS($W$4:$W944,$S$4:$S944,eRRSP_Tx_Table[[#This Row],[Year]],$W$4:$W944,"&lt;0"),"")</f>
        <v/>
      </c>
      <c r="AA944" s="3">
        <f>(SUMIF($U$4:$U944,CONCATENATE("Buy",$C944),$N$4:$N944)+SUMIF($U$4:$U944,CONCATENATE("ReinvDiv",$C944),$N$4:$N944))</f>
        <v>0</v>
      </c>
      <c r="AB944">
        <f>(SUMIF($U$4:$U944,CONCATENATE("Buy",$C944),$F$4:$F944)+SUMIF($U$4:$U944,CONCATENATE("ReinvDiv",$C944),$F$4:$F944)+SUMIF($U$4:$U944,CONCATENATE("StkSplit",$C944),$F$4:$F944)-SUMIF($U$4:$U944,CONCATENATE("Sell",$C944),$F$4:$F944))</f>
        <v>0</v>
      </c>
      <c r="AC944" s="3">
        <f>IF(B944="Sell",F944*INDEX(V:V,LOOKUP(2,1/(X$4:X943=CONCATENATE(C944,"_ACB")),ROW(V$4:V943))),0)</f>
        <v>0</v>
      </c>
    </row>
    <row r="945" spans="1:29" x14ac:dyDescent="0.25">
      <c r="A945" s="20">
        <v>41880</v>
      </c>
      <c r="B945" t="s">
        <v>43</v>
      </c>
      <c r="C945" t="s">
        <v>99</v>
      </c>
      <c r="D945" s="3">
        <v>19.62</v>
      </c>
      <c r="M945" s="21">
        <f t="shared" si="123"/>
        <v>19.62</v>
      </c>
      <c r="N945" s="8">
        <f t="shared" si="121"/>
        <v>19.62</v>
      </c>
      <c r="O945" s="25">
        <f t="shared" si="118"/>
        <v>9292.7699999999131</v>
      </c>
      <c r="P945" s="8">
        <f t="shared" si="125"/>
        <v>0</v>
      </c>
      <c r="Q945" s="4">
        <f>IF(AND(S945&gt;=[1]eRRSP_Rpt!$C$6,S945&lt;=[1]eRRSP_Rpt!$C$7),1,0)</f>
        <v>1</v>
      </c>
      <c r="R945" s="4"/>
      <c r="S945" s="4">
        <f t="shared" si="122"/>
        <v>2014</v>
      </c>
      <c r="T945" s="4"/>
      <c r="U945" s="4" t="str">
        <f t="shared" si="124"/>
        <v>IntIncTD INV SAV ACCT  /NL'FRAC</v>
      </c>
      <c r="V945" s="23">
        <f>IFERROR(IF(AND(AB945&gt;0,B945&lt;&gt;"Sell"),(AA945-SUMIF(C$4:C944,C945,AC$4:AC945))/AB945,0),"")</f>
        <v>-10</v>
      </c>
      <c r="W945" s="24" t="str">
        <f t="shared" si="120"/>
        <v/>
      </c>
      <c r="X945" s="25" t="str">
        <f t="shared" si="119"/>
        <v>TD INV SAV ACCT  /NL'FRAC_ACB</v>
      </c>
      <c r="Y945" s="10" t="str">
        <f>IF(S946&lt;&gt;eRRSP_Tx_Table[[#This Row],[Year]],SUMIFS($W$4:$W945,$S$4:$S945,eRRSP_Tx_Table[[#This Row],[Year]],$W$4:$W945,"&gt;0"),"")</f>
        <v/>
      </c>
      <c r="Z945" s="10" t="str">
        <f>IF(S946&lt;&gt;eRRSP_Tx_Table[[#This Row],[Year]],SUMIFS($W$4:$W945,$S$4:$S945,eRRSP_Tx_Table[[#This Row],[Year]],$W$4:$W945,"&lt;0"),"")</f>
        <v/>
      </c>
      <c r="AA945" s="3">
        <f>(SUMIF($U$4:$U945,CONCATENATE("Buy",$C945),$N$4:$N945)+SUMIF($U$4:$U945,CONCATENATE("ReinvDiv",$C945),$N$4:$N945))</f>
        <v>-30900</v>
      </c>
      <c r="AB945">
        <f>(SUMIF($U$4:$U945,CONCATENATE("Buy",$C945),$F$4:$F945)+SUMIF($U$4:$U945,CONCATENATE("ReinvDiv",$C945),$F$4:$F945)+SUMIF($U$4:$U945,CONCATENATE("StkSplit",$C945),$F$4:$F945)-SUMIF($U$4:$U945,CONCATENATE("Sell",$C945),$F$4:$F945))</f>
        <v>1790</v>
      </c>
      <c r="AC945" s="3">
        <f>IF(B945="Sell",F945*INDEX(V:V,LOOKUP(2,1/(X$4:X944=CONCATENATE(C945,"_ACB")),ROW(V$4:V944))),0)</f>
        <v>0</v>
      </c>
    </row>
    <row r="946" spans="1:29" x14ac:dyDescent="0.25">
      <c r="A946" s="20">
        <v>41885</v>
      </c>
      <c r="B946" t="s">
        <v>43</v>
      </c>
      <c r="C946" t="s">
        <v>105</v>
      </c>
      <c r="D946" s="3">
        <v>100.73</v>
      </c>
      <c r="M946" s="21">
        <f t="shared" si="123"/>
        <v>100.73</v>
      </c>
      <c r="N946" s="8">
        <f t="shared" si="121"/>
        <v>100.73</v>
      </c>
      <c r="O946" s="25">
        <f t="shared" si="118"/>
        <v>9393.4999999999127</v>
      </c>
      <c r="P946" s="8">
        <f t="shared" si="125"/>
        <v>0</v>
      </c>
      <c r="Q946" s="4">
        <f>IF(AND(S946&gt;=[1]eRRSP_Rpt!$C$6,S946&lt;=[1]eRRSP_Rpt!$C$7),1,0)</f>
        <v>1</v>
      </c>
      <c r="R946" s="4"/>
      <c r="S946" s="4">
        <f t="shared" si="122"/>
        <v>2014</v>
      </c>
      <c r="T946" s="4"/>
      <c r="U946" s="4" t="str">
        <f t="shared" si="124"/>
        <v>IntIncVanguard CDN S/T Corp Bond</v>
      </c>
      <c r="V946" s="23">
        <f>IFERROR(IF(AND(AB946&gt;0,B946&lt;&gt;"Sell"),(AA946-SUMIF(C$4:C945,C946,AC$4:AC946))/AB946,0),"")</f>
        <v>-25.164273504273506</v>
      </c>
      <c r="W946" s="24" t="str">
        <f t="shared" si="120"/>
        <v/>
      </c>
      <c r="X946" s="25" t="str">
        <f t="shared" si="119"/>
        <v>Vanguard CDN S/T Corp Bond_ACB</v>
      </c>
      <c r="Y946" s="10" t="str">
        <f>IF(S947&lt;&gt;eRRSP_Tx_Table[[#This Row],[Year]],SUMIFS($W$4:$W946,$S$4:$S946,eRRSP_Tx_Table[[#This Row],[Year]],$W$4:$W946,"&gt;0"),"")</f>
        <v/>
      </c>
      <c r="Z946" s="10" t="str">
        <f>IF(S947&lt;&gt;eRRSP_Tx_Table[[#This Row],[Year]],SUMIFS($W$4:$W946,$S$4:$S946,eRRSP_Tx_Table[[#This Row],[Year]],$W$4:$W946,"&lt;0"),"")</f>
        <v/>
      </c>
      <c r="AA946" s="3">
        <f>(SUMIF($U$4:$U946,CONCATENATE("Buy",$C946),$N$4:$N946)+SUMIF($U$4:$U946,CONCATENATE("ReinvDiv",$C946),$N$4:$N946))</f>
        <v>-41219.08</v>
      </c>
      <c r="AB946">
        <f>(SUMIF($U$4:$U946,CONCATENATE("Buy",$C946),$F$4:$F946)+SUMIF($U$4:$U946,CONCATENATE("ReinvDiv",$C946),$F$4:$F946)+SUMIF($U$4:$U946,CONCATENATE("StkSplit",$C946),$F$4:$F946)-SUMIF($U$4:$U946,CONCATENATE("Sell",$C946),$F$4:$F946))</f>
        <v>1638</v>
      </c>
      <c r="AC946" s="3">
        <f>IF(B946="Sell",F946*INDEX(V:V,LOOKUP(2,1/(X$4:X945=CONCATENATE(C946,"_ACB")),ROW(V$4:V945))),0)</f>
        <v>0</v>
      </c>
    </row>
    <row r="947" spans="1:29" x14ac:dyDescent="0.25">
      <c r="A947" s="20">
        <v>41898</v>
      </c>
      <c r="B947" t="s">
        <v>43</v>
      </c>
      <c r="C947" t="s">
        <v>36</v>
      </c>
      <c r="D947" s="3">
        <v>0.19</v>
      </c>
      <c r="M947" s="21">
        <f t="shared" si="123"/>
        <v>0.19</v>
      </c>
      <c r="N947" s="8">
        <f t="shared" si="121"/>
        <v>0.19</v>
      </c>
      <c r="O947" s="25">
        <f t="shared" si="118"/>
        <v>9393.6899999999132</v>
      </c>
      <c r="P947" s="8">
        <f t="shared" si="125"/>
        <v>0</v>
      </c>
      <c r="Q947" s="4">
        <f>IF(AND(S947&gt;=[1]eRRSP_Rpt!$C$6,S947&lt;=[1]eRRSP_Rpt!$C$7),1,0)</f>
        <v>1</v>
      </c>
      <c r="R947" s="4"/>
      <c r="S947" s="4">
        <f t="shared" si="122"/>
        <v>2014</v>
      </c>
      <c r="T947" s="4"/>
      <c r="U947" s="4" t="str">
        <f t="shared" si="124"/>
        <v>IntIncTDW</v>
      </c>
      <c r="V947" s="23">
        <f>IFERROR(IF(AND(AB947&gt;0,B947&lt;&gt;"Sell"),(AA947-SUMIF(C$4:C946,C947,AC$4:AC947))/AB947,0),"")</f>
        <v>0</v>
      </c>
      <c r="W947" s="24" t="str">
        <f t="shared" si="120"/>
        <v/>
      </c>
      <c r="X947" s="25" t="str">
        <f t="shared" si="119"/>
        <v/>
      </c>
      <c r="Y947" s="10" t="str">
        <f>IF(S948&lt;&gt;eRRSP_Tx_Table[[#This Row],[Year]],SUMIFS($W$4:$W947,$S$4:$S947,eRRSP_Tx_Table[[#This Row],[Year]],$W$4:$W947,"&gt;0"),"")</f>
        <v/>
      </c>
      <c r="Z947" s="10" t="str">
        <f>IF(S948&lt;&gt;eRRSP_Tx_Table[[#This Row],[Year]],SUMIFS($W$4:$W947,$S$4:$S947,eRRSP_Tx_Table[[#This Row],[Year]],$W$4:$W947,"&lt;0"),"")</f>
        <v/>
      </c>
      <c r="AA947" s="3">
        <f>(SUMIF($U$4:$U947,CONCATENATE("Buy",$C947),$N$4:$N947)+SUMIF($U$4:$U947,CONCATENATE("ReinvDiv",$C947),$N$4:$N947))</f>
        <v>0</v>
      </c>
      <c r="AB947">
        <f>(SUMIF($U$4:$U947,CONCATENATE("Buy",$C947),$F$4:$F947)+SUMIF($U$4:$U947,CONCATENATE("ReinvDiv",$C947),$F$4:$F947)+SUMIF($U$4:$U947,CONCATENATE("StkSplit",$C947),$F$4:$F947)-SUMIF($U$4:$U947,CONCATENATE("Sell",$C947),$F$4:$F947))</f>
        <v>0</v>
      </c>
      <c r="AC947" s="3">
        <f>IF(B947="Sell",F947*INDEX(V:V,LOOKUP(2,1/(X$4:X946=CONCATENATE(C947,"_ACB")),ROW(V$4:V946))),0)</f>
        <v>0</v>
      </c>
    </row>
    <row r="948" spans="1:29" x14ac:dyDescent="0.25">
      <c r="A948" s="20">
        <v>41911</v>
      </c>
      <c r="B948" t="s">
        <v>41</v>
      </c>
      <c r="C948" t="s">
        <v>97</v>
      </c>
      <c r="D948" s="3">
        <v>62.5</v>
      </c>
      <c r="E948">
        <f>eRRSP_Tx_Table[[#This Row],[Amount]]/eRRSP_Tx_Table[[#This Row],[Quantity]]</f>
        <v>11.409273457466229</v>
      </c>
      <c r="F948" s="3">
        <v>5.4779999999999998</v>
      </c>
      <c r="M948" s="21">
        <f t="shared" si="123"/>
        <v>62.5</v>
      </c>
      <c r="N948" s="8">
        <f t="shared" si="121"/>
        <v>-62.5</v>
      </c>
      <c r="O948" s="25">
        <f t="shared" si="118"/>
        <v>9393.6899999999132</v>
      </c>
      <c r="P948" s="8">
        <f t="shared" si="125"/>
        <v>0</v>
      </c>
      <c r="Q948" s="4">
        <f>IF(AND(S948&gt;=[1]eRRSP_Rpt!$C$6,S948&lt;=[1]eRRSP_Rpt!$C$7),1,0)</f>
        <v>1</v>
      </c>
      <c r="R948" s="4"/>
      <c r="S948" s="4">
        <f t="shared" si="122"/>
        <v>2014</v>
      </c>
      <c r="T948" s="4"/>
      <c r="U948" s="4" t="str">
        <f t="shared" si="124"/>
        <v>ReinvDivTD International Index - e</v>
      </c>
      <c r="V948" s="23">
        <f>IFERROR(IF(AND(AB948&gt;0,B948&lt;&gt;"Sell"),(AA948-SUMIF(C$4:C947,C948,AC$4:AC948))/AB948,0),"")</f>
        <v>-8.4377981974317553</v>
      </c>
      <c r="W948" s="24" t="str">
        <f t="shared" si="120"/>
        <v/>
      </c>
      <c r="X948" s="25" t="str">
        <f t="shared" si="119"/>
        <v>TD International Index - e_ACB</v>
      </c>
      <c r="Y948" s="10" t="str">
        <f>IF(S949&lt;&gt;eRRSP_Tx_Table[[#This Row],[Year]],SUMIFS($W$4:$W948,$S$4:$S948,eRRSP_Tx_Table[[#This Row],[Year]],$W$4:$W948,"&gt;0"),"")</f>
        <v/>
      </c>
      <c r="Z948" s="10" t="str">
        <f>IF(S949&lt;&gt;eRRSP_Tx_Table[[#This Row],[Year]],SUMIFS($W$4:$W948,$S$4:$S948,eRRSP_Tx_Table[[#This Row],[Year]],$W$4:$W948,"&lt;0"),"")</f>
        <v/>
      </c>
      <c r="AA948" s="3">
        <f>(SUMIF($U$4:$U948,CONCATENATE("Buy",$C948),$N$4:$N948)+SUMIF($U$4:$U948,CONCATENATE("ReinvDiv",$C948),$N$4:$N948))</f>
        <v>-29781.13</v>
      </c>
      <c r="AB948">
        <f>(SUMIF($U$4:$U948,CONCATENATE("Buy",$C948),$F$4:$F948)+SUMIF($U$4:$U948,CONCATENATE("ReinvDiv",$C948),$F$4:$F948)+SUMIF($U$4:$U948,CONCATENATE("StkSplit",$C948),$F$4:$F948)-SUMIF($U$4:$U948,CONCATENATE("Sell",$C948),$F$4:$F948))</f>
        <v>1082.4159999999997</v>
      </c>
      <c r="AC948" s="3">
        <f>IF(B948="Sell",F948*INDEX(V:V,LOOKUP(2,1/(X$4:X947=CONCATENATE(C948,"_ACB")),ROW(V$4:V947))),0)</f>
        <v>0</v>
      </c>
    </row>
    <row r="949" spans="1:29" x14ac:dyDescent="0.25">
      <c r="A949" s="20">
        <v>41912</v>
      </c>
      <c r="B949" t="s">
        <v>42</v>
      </c>
      <c r="C949" t="s">
        <v>103</v>
      </c>
      <c r="D949" s="3">
        <v>152.06</v>
      </c>
      <c r="M949" s="21">
        <f t="shared" si="123"/>
        <v>152.06</v>
      </c>
      <c r="N949" s="8">
        <f t="shared" si="121"/>
        <v>152.06</v>
      </c>
      <c r="O949" s="25">
        <f t="shared" si="118"/>
        <v>9545.7499999999127</v>
      </c>
      <c r="P949" s="8">
        <f t="shared" si="125"/>
        <v>0</v>
      </c>
      <c r="Q949" s="4">
        <f>IF(AND(S949&gt;=[1]eRRSP_Rpt!$C$6,S949&lt;=[1]eRRSP_Rpt!$C$7),1,0)</f>
        <v>1</v>
      </c>
      <c r="R949" s="4"/>
      <c r="S949" s="4">
        <f t="shared" si="122"/>
        <v>2014</v>
      </c>
      <c r="T949" s="4"/>
      <c r="U949" s="4" t="str">
        <f t="shared" si="124"/>
        <v>DivIshares Global Real Estate Index</v>
      </c>
      <c r="V949" s="23">
        <f>IFERROR(IF(AND(AB949&gt;0,B949&lt;&gt;"Sell"),(AA949-SUMIF(C$4:C948,C949,AC$4:AC949))/AB949,0),"")</f>
        <v>-21.643448573898013</v>
      </c>
      <c r="W949" s="24" t="str">
        <f t="shared" si="120"/>
        <v/>
      </c>
      <c r="X949" s="25" t="str">
        <f t="shared" si="119"/>
        <v>Ishares Global Real Estate Index_ACB</v>
      </c>
      <c r="Y949" s="10" t="str">
        <f>IF(S950&lt;&gt;eRRSP_Tx_Table[[#This Row],[Year]],SUMIFS($W$4:$W949,$S$4:$S949,eRRSP_Tx_Table[[#This Row],[Year]],$W$4:$W949,"&gt;0"),"")</f>
        <v/>
      </c>
      <c r="Z949" s="10" t="str">
        <f>IF(S950&lt;&gt;eRRSP_Tx_Table[[#This Row],[Year]],SUMIFS($W$4:$W949,$S$4:$S949,eRRSP_Tx_Table[[#This Row],[Year]],$W$4:$W949,"&lt;0"),"")</f>
        <v/>
      </c>
      <c r="AA949" s="3">
        <f>(SUMIF($U$4:$U949,CONCATENATE("Buy",$C949),$N$4:$N949)+SUMIF($U$4:$U949,CONCATENATE("ReinvDiv",$C949),$N$4:$N949))</f>
        <v>-25041.47</v>
      </c>
      <c r="AB949">
        <f>(SUMIF($U$4:$U949,CONCATENATE("Buy",$C949),$F$4:$F949)+SUMIF($U$4:$U949,CONCATENATE("ReinvDiv",$C949),$F$4:$F949)+SUMIF($U$4:$U949,CONCATENATE("StkSplit",$C949),$F$4:$F949)-SUMIF($U$4:$U949,CONCATENATE("Sell",$C949),$F$4:$F949))</f>
        <v>1157</v>
      </c>
      <c r="AC949" s="3">
        <f>IF(B949="Sell",F949*INDEX(V:V,LOOKUP(2,1/(X$4:X948=CONCATENATE(C949,"_ACB")),ROW(V$4:V948))),0)</f>
        <v>0</v>
      </c>
    </row>
    <row r="950" spans="1:29" x14ac:dyDescent="0.25">
      <c r="A950" s="20">
        <v>41912</v>
      </c>
      <c r="B950" t="s">
        <v>43</v>
      </c>
      <c r="C950" t="s">
        <v>99</v>
      </c>
      <c r="D950" s="3">
        <v>17.78</v>
      </c>
      <c r="M950" s="21">
        <f t="shared" si="123"/>
        <v>17.78</v>
      </c>
      <c r="N950" s="8">
        <f t="shared" si="121"/>
        <v>17.78</v>
      </c>
      <c r="O950" s="25">
        <f t="shared" si="118"/>
        <v>9563.5299999999133</v>
      </c>
      <c r="P950" s="8">
        <f t="shared" si="125"/>
        <v>0</v>
      </c>
      <c r="Q950" s="4">
        <f>IF(AND(S950&gt;=[1]eRRSP_Rpt!$C$6,S950&lt;=[1]eRRSP_Rpt!$C$7),1,0)</f>
        <v>1</v>
      </c>
      <c r="R950" s="4"/>
      <c r="S950" s="4">
        <f t="shared" si="122"/>
        <v>2014</v>
      </c>
      <c r="T950" s="4"/>
      <c r="U950" s="4" t="str">
        <f t="shared" si="124"/>
        <v>IntIncTD INV SAV ACCT  /NL'FRAC</v>
      </c>
      <c r="V950" s="23">
        <f>IFERROR(IF(AND(AB950&gt;0,B950&lt;&gt;"Sell"),(AA950-SUMIF(C$4:C949,C950,AC$4:AC950))/AB950,0),"")</f>
        <v>-10</v>
      </c>
      <c r="W950" s="24" t="str">
        <f t="shared" si="120"/>
        <v/>
      </c>
      <c r="X950" s="25" t="str">
        <f t="shared" si="119"/>
        <v>TD INV SAV ACCT  /NL'FRAC_ACB</v>
      </c>
      <c r="Y950" s="10" t="str">
        <f>IF(S951&lt;&gt;eRRSP_Tx_Table[[#This Row],[Year]],SUMIFS($W$4:$W950,$S$4:$S950,eRRSP_Tx_Table[[#This Row],[Year]],$W$4:$W950,"&gt;0"),"")</f>
        <v/>
      </c>
      <c r="Z950" s="10" t="str">
        <f>IF(S951&lt;&gt;eRRSP_Tx_Table[[#This Row],[Year]],SUMIFS($W$4:$W950,$S$4:$S950,eRRSP_Tx_Table[[#This Row],[Year]],$W$4:$W950,"&lt;0"),"")</f>
        <v/>
      </c>
      <c r="AA950" s="3">
        <f>(SUMIF($U$4:$U950,CONCATENATE("Buy",$C950),$N$4:$N950)+SUMIF($U$4:$U950,CONCATENATE("ReinvDiv",$C950),$N$4:$N950))</f>
        <v>-30900</v>
      </c>
      <c r="AB950">
        <f>(SUMIF($U$4:$U950,CONCATENATE("Buy",$C950),$F$4:$F950)+SUMIF($U$4:$U950,CONCATENATE("ReinvDiv",$C950),$F$4:$F950)+SUMIF($U$4:$U950,CONCATENATE("StkSplit",$C950),$F$4:$F950)-SUMIF($U$4:$U950,CONCATENATE("Sell",$C950),$F$4:$F950))</f>
        <v>1790</v>
      </c>
      <c r="AC950" s="3">
        <f>IF(B950="Sell",F950*INDEX(V:V,LOOKUP(2,1/(X$4:X949=CONCATENATE(C950,"_ACB")),ROW(V$4:V949))),0)</f>
        <v>0</v>
      </c>
    </row>
    <row r="951" spans="1:29" x14ac:dyDescent="0.25">
      <c r="A951" s="20">
        <v>41913</v>
      </c>
      <c r="B951" t="s">
        <v>42</v>
      </c>
      <c r="C951" t="s">
        <v>105</v>
      </c>
      <c r="D951" s="3">
        <v>96.7</v>
      </c>
      <c r="M951" s="21">
        <f t="shared" si="123"/>
        <v>96.7</v>
      </c>
      <c r="N951" s="8">
        <f t="shared" si="121"/>
        <v>96.7</v>
      </c>
      <c r="O951" s="25">
        <f t="shared" si="118"/>
        <v>9660.2299999999141</v>
      </c>
      <c r="P951" s="8">
        <f t="shared" si="125"/>
        <v>0</v>
      </c>
      <c r="Q951" s="4">
        <f>IF(AND(S951&gt;=[1]eRRSP_Rpt!$C$6,S951&lt;=[1]eRRSP_Rpt!$C$7),1,0)</f>
        <v>1</v>
      </c>
      <c r="R951" s="4"/>
      <c r="S951" s="4">
        <f t="shared" si="122"/>
        <v>2014</v>
      </c>
      <c r="T951" s="4"/>
      <c r="U951" s="4" t="str">
        <f t="shared" si="124"/>
        <v>DivVanguard CDN S/T Corp Bond</v>
      </c>
      <c r="V951" s="23">
        <f>IFERROR(IF(AND(AB951&gt;0,B951&lt;&gt;"Sell"),(AA951-SUMIF(C$4:C950,C951,AC$4:AC951))/AB951,0),"")</f>
        <v>-25.164273504273506</v>
      </c>
      <c r="W951" s="24" t="str">
        <f t="shared" si="120"/>
        <v/>
      </c>
      <c r="X951" s="25" t="str">
        <f t="shared" si="119"/>
        <v>Vanguard CDN S/T Corp Bond_ACB</v>
      </c>
      <c r="Y951" s="10" t="str">
        <f>IF(S952&lt;&gt;eRRSP_Tx_Table[[#This Row],[Year]],SUMIFS($W$4:$W951,$S$4:$S951,eRRSP_Tx_Table[[#This Row],[Year]],$W$4:$W951,"&gt;0"),"")</f>
        <v/>
      </c>
      <c r="Z951" s="10" t="str">
        <f>IF(S952&lt;&gt;eRRSP_Tx_Table[[#This Row],[Year]],SUMIFS($W$4:$W951,$S$4:$S951,eRRSP_Tx_Table[[#This Row],[Year]],$W$4:$W951,"&lt;0"),"")</f>
        <v/>
      </c>
      <c r="AA951" s="3">
        <f>(SUMIF($U$4:$U951,CONCATENATE("Buy",$C951),$N$4:$N951)+SUMIF($U$4:$U951,CONCATENATE("ReinvDiv",$C951),$N$4:$N951))</f>
        <v>-41219.08</v>
      </c>
      <c r="AB951">
        <f>(SUMIF($U$4:$U951,CONCATENATE("Buy",$C951),$F$4:$F951)+SUMIF($U$4:$U951,CONCATENATE("ReinvDiv",$C951),$F$4:$F951)+SUMIF($U$4:$U951,CONCATENATE("StkSplit",$C951),$F$4:$F951)-SUMIF($U$4:$U951,CONCATENATE("Sell",$C951),$F$4:$F951))</f>
        <v>1638</v>
      </c>
      <c r="AC951" s="3">
        <f>IF(B951="Sell",F951*INDEX(V:V,LOOKUP(2,1/(X$4:X950=CONCATENATE(C951,"_ACB")),ROW(V$4:V950))),0)</f>
        <v>0</v>
      </c>
    </row>
    <row r="952" spans="1:29" x14ac:dyDescent="0.25">
      <c r="A952" s="20">
        <v>41913</v>
      </c>
      <c r="B952" t="s">
        <v>42</v>
      </c>
      <c r="C952" t="s">
        <v>104</v>
      </c>
      <c r="D952" s="3">
        <v>218.81</v>
      </c>
      <c r="M952" s="21">
        <f t="shared" si="123"/>
        <v>218.81</v>
      </c>
      <c r="N952" s="8">
        <f t="shared" si="121"/>
        <v>218.81</v>
      </c>
      <c r="O952" s="25">
        <f t="shared" si="118"/>
        <v>9879.0399999999136</v>
      </c>
      <c r="P952" s="8">
        <f t="shared" si="125"/>
        <v>0</v>
      </c>
      <c r="Q952" s="4">
        <f>IF(AND(S952&gt;=[1]eRRSP_Rpt!$C$6,S952&lt;=[1]eRRSP_Rpt!$C$7),1,0)</f>
        <v>1</v>
      </c>
      <c r="R952" s="4"/>
      <c r="S952" s="4">
        <f t="shared" si="122"/>
        <v>2014</v>
      </c>
      <c r="T952" s="4"/>
      <c r="U952" s="4" t="str">
        <f t="shared" si="124"/>
        <v>DivVanguard US Total Market ETF</v>
      </c>
      <c r="V952" s="23">
        <f>IFERROR(IF(AND(AB952&gt;0,B952&lt;&gt;"Sell"),(AA952-SUMIF(C$4:C951,C952,AC$4:AC952))/AB952,0),"")</f>
        <v>-28.004994999999997</v>
      </c>
      <c r="W952" s="24" t="str">
        <f t="shared" si="120"/>
        <v/>
      </c>
      <c r="X952" s="25" t="str">
        <f t="shared" si="119"/>
        <v>Vanguard US Total Market ETF_ACB</v>
      </c>
      <c r="Y952" s="10" t="str">
        <f>IF(S953&lt;&gt;eRRSP_Tx_Table[[#This Row],[Year]],SUMIFS($W$4:$W952,$S$4:$S952,eRRSP_Tx_Table[[#This Row],[Year]],$W$4:$W952,"&gt;0"),"")</f>
        <v/>
      </c>
      <c r="Z952" s="10" t="str">
        <f>IF(S953&lt;&gt;eRRSP_Tx_Table[[#This Row],[Year]],SUMIFS($W$4:$W952,$S$4:$S952,eRRSP_Tx_Table[[#This Row],[Year]],$W$4:$W952,"&lt;0"),"")</f>
        <v/>
      </c>
      <c r="AA952" s="3">
        <f>(SUMIF($U$4:$U952,CONCATENATE("Buy",$C952),$N$4:$N952)+SUMIF($U$4:$U952,CONCATENATE("ReinvDiv",$C952),$N$4:$N952))</f>
        <v>-56009.99</v>
      </c>
      <c r="AB952">
        <f>(SUMIF($U$4:$U952,CONCATENATE("Buy",$C952),$F$4:$F952)+SUMIF($U$4:$U952,CONCATENATE("ReinvDiv",$C952),$F$4:$F952)+SUMIF($U$4:$U952,CONCATENATE("StkSplit",$C952),$F$4:$F952)-SUMIF($U$4:$U952,CONCATENATE("Sell",$C952),$F$4:$F952))</f>
        <v>2000</v>
      </c>
      <c r="AC952" s="3">
        <f>IF(B952="Sell",F952*INDEX(V:V,LOOKUP(2,1/(X$4:X951=CONCATENATE(C952,"_ACB")),ROW(V$4:V951))),0)</f>
        <v>0</v>
      </c>
    </row>
    <row r="953" spans="1:29" x14ac:dyDescent="0.25">
      <c r="A953" s="20">
        <v>41928</v>
      </c>
      <c r="B953" t="s">
        <v>43</v>
      </c>
      <c r="C953" t="s">
        <v>36</v>
      </c>
      <c r="D953" s="3">
        <v>0.19</v>
      </c>
      <c r="M953" s="21">
        <f t="shared" si="123"/>
        <v>0.19</v>
      </c>
      <c r="N953" s="8">
        <f t="shared" si="121"/>
        <v>0.19</v>
      </c>
      <c r="O953" s="25">
        <f t="shared" si="118"/>
        <v>9879.2299999999141</v>
      </c>
      <c r="P953" s="8">
        <f t="shared" si="125"/>
        <v>0</v>
      </c>
      <c r="Q953" s="4">
        <f>IF(AND(S953&gt;=[1]eRRSP_Rpt!$C$6,S953&lt;=[1]eRRSP_Rpt!$C$7),1,0)</f>
        <v>1</v>
      </c>
      <c r="R953" s="4"/>
      <c r="S953" s="4">
        <f t="shared" si="122"/>
        <v>2014</v>
      </c>
      <c r="T953" s="4"/>
      <c r="U953" s="4" t="str">
        <f t="shared" si="124"/>
        <v>IntIncTDW</v>
      </c>
      <c r="V953" s="23">
        <f>IFERROR(IF(AND(AB953&gt;0,B953&lt;&gt;"Sell"),(AA953-SUMIF(C$4:C952,C953,AC$4:AC953))/AB953,0),"")</f>
        <v>0</v>
      </c>
      <c r="W953" s="24" t="str">
        <f t="shared" si="120"/>
        <v/>
      </c>
      <c r="X953" s="25" t="str">
        <f t="shared" si="119"/>
        <v/>
      </c>
      <c r="Y953" s="10" t="str">
        <f>IF(S954&lt;&gt;eRRSP_Tx_Table[[#This Row],[Year]],SUMIFS($W$4:$W953,$S$4:$S953,eRRSP_Tx_Table[[#This Row],[Year]],$W$4:$W953,"&gt;0"),"")</f>
        <v/>
      </c>
      <c r="Z953" s="10" t="str">
        <f>IF(S954&lt;&gt;eRRSP_Tx_Table[[#This Row],[Year]],SUMIFS($W$4:$W953,$S$4:$S953,eRRSP_Tx_Table[[#This Row],[Year]],$W$4:$W953,"&lt;0"),"")</f>
        <v/>
      </c>
      <c r="AA953" s="3">
        <f>(SUMIF($U$4:$U953,CONCATENATE("Buy",$C953),$N$4:$N953)+SUMIF($U$4:$U953,CONCATENATE("ReinvDiv",$C953),$N$4:$N953))</f>
        <v>0</v>
      </c>
      <c r="AB953">
        <f>(SUMIF($U$4:$U953,CONCATENATE("Buy",$C953),$F$4:$F953)+SUMIF($U$4:$U953,CONCATENATE("ReinvDiv",$C953),$F$4:$F953)+SUMIF($U$4:$U953,CONCATENATE("StkSplit",$C953),$F$4:$F953)-SUMIF($U$4:$U953,CONCATENATE("Sell",$C953),$F$4:$F953))</f>
        <v>0</v>
      </c>
      <c r="AC953" s="3">
        <f>IF(B953="Sell",F953*INDEX(V:V,LOOKUP(2,1/(X$4:X952=CONCATENATE(C953,"_ACB")),ROW(V$4:V952))),0)</f>
        <v>0</v>
      </c>
    </row>
    <row r="954" spans="1:29" x14ac:dyDescent="0.25">
      <c r="A954" s="20">
        <v>41943</v>
      </c>
      <c r="B954" t="s">
        <v>43</v>
      </c>
      <c r="C954" t="s">
        <v>99</v>
      </c>
      <c r="D954" s="3">
        <v>20.23</v>
      </c>
      <c r="M954" s="21">
        <f t="shared" si="123"/>
        <v>20.23</v>
      </c>
      <c r="N954" s="8">
        <f t="shared" si="121"/>
        <v>20.23</v>
      </c>
      <c r="O954" s="25">
        <f t="shared" si="118"/>
        <v>9899.4599999999136</v>
      </c>
      <c r="P954" s="8">
        <f t="shared" si="125"/>
        <v>0</v>
      </c>
      <c r="Q954" s="4">
        <f>IF(AND(S954&gt;=[1]eRRSP_Rpt!$C$6,S954&lt;=[1]eRRSP_Rpt!$C$7),1,0)</f>
        <v>1</v>
      </c>
      <c r="R954" s="4"/>
      <c r="S954" s="4">
        <f t="shared" si="122"/>
        <v>2014</v>
      </c>
      <c r="T954" s="4"/>
      <c r="U954" s="4" t="str">
        <f t="shared" si="124"/>
        <v>IntIncTD INV SAV ACCT  /NL'FRAC</v>
      </c>
      <c r="V954" s="23">
        <f>IFERROR(IF(AND(AB954&gt;0,B954&lt;&gt;"Sell"),(AA954-SUMIF(C$4:C953,C954,AC$4:AC954))/AB954,0),"")</f>
        <v>-10</v>
      </c>
      <c r="W954" s="24" t="str">
        <f t="shared" si="120"/>
        <v/>
      </c>
      <c r="X954" s="25" t="str">
        <f t="shared" si="119"/>
        <v>TD INV SAV ACCT  /NL'FRAC_ACB</v>
      </c>
      <c r="Y954" s="10" t="str">
        <f>IF(S955&lt;&gt;eRRSP_Tx_Table[[#This Row],[Year]],SUMIFS($W$4:$W954,$S$4:$S954,eRRSP_Tx_Table[[#This Row],[Year]],$W$4:$W954,"&gt;0"),"")</f>
        <v/>
      </c>
      <c r="Z954" s="10" t="str">
        <f>IF(S955&lt;&gt;eRRSP_Tx_Table[[#This Row],[Year]],SUMIFS($W$4:$W954,$S$4:$S954,eRRSP_Tx_Table[[#This Row],[Year]],$W$4:$W954,"&lt;0"),"")</f>
        <v/>
      </c>
      <c r="AA954" s="3">
        <f>(SUMIF($U$4:$U954,CONCATENATE("Buy",$C954),$N$4:$N954)+SUMIF($U$4:$U954,CONCATENATE("ReinvDiv",$C954),$N$4:$N954))</f>
        <v>-30900</v>
      </c>
      <c r="AB954">
        <f>(SUMIF($U$4:$U954,CONCATENATE("Buy",$C954),$F$4:$F954)+SUMIF($U$4:$U954,CONCATENATE("ReinvDiv",$C954),$F$4:$F954)+SUMIF($U$4:$U954,CONCATENATE("StkSplit",$C954),$F$4:$F954)-SUMIF($U$4:$U954,CONCATENATE("Sell",$C954),$F$4:$F954))</f>
        <v>1790</v>
      </c>
      <c r="AC954" s="3">
        <f>IF(B954="Sell",F954*INDEX(V:V,LOOKUP(2,1/(X$4:X953=CONCATENATE(C954,"_ACB")),ROW(V$4:V953))),0)</f>
        <v>0</v>
      </c>
    </row>
    <row r="955" spans="1:29" x14ac:dyDescent="0.25">
      <c r="A955" s="20">
        <v>41948</v>
      </c>
      <c r="B955" t="s">
        <v>42</v>
      </c>
      <c r="C955" t="s">
        <v>105</v>
      </c>
      <c r="D955" s="3">
        <v>124.13</v>
      </c>
      <c r="M955" s="21">
        <f t="shared" si="123"/>
        <v>124.13</v>
      </c>
      <c r="N955" s="8">
        <f t="shared" si="121"/>
        <v>124.13</v>
      </c>
      <c r="O955" s="25">
        <f t="shared" si="118"/>
        <v>10023.589999999913</v>
      </c>
      <c r="P955" s="8">
        <f t="shared" si="125"/>
        <v>0</v>
      </c>
      <c r="Q955" s="4">
        <f>IF(AND(S955&gt;=[1]eRRSP_Rpt!$C$6,S955&lt;=[1]eRRSP_Rpt!$C$7),1,0)</f>
        <v>1</v>
      </c>
      <c r="R955" s="4"/>
      <c r="S955" s="4">
        <f t="shared" si="122"/>
        <v>2014</v>
      </c>
      <c r="T955" s="4"/>
      <c r="U955" s="4" t="str">
        <f t="shared" si="124"/>
        <v>DivVanguard CDN S/T Corp Bond</v>
      </c>
      <c r="V955" s="23">
        <f>IFERROR(IF(AND(AB955&gt;0,B955&lt;&gt;"Sell"),(AA955-SUMIF(C$4:C954,C955,AC$4:AC955))/AB955,0),"")</f>
        <v>-25.164273504273506</v>
      </c>
      <c r="W955" s="24" t="str">
        <f t="shared" si="120"/>
        <v/>
      </c>
      <c r="X955" s="25" t="str">
        <f t="shared" si="119"/>
        <v>Vanguard CDN S/T Corp Bond_ACB</v>
      </c>
      <c r="Y955" s="10" t="str">
        <f>IF(S956&lt;&gt;eRRSP_Tx_Table[[#This Row],[Year]],SUMIFS($W$4:$W955,$S$4:$S955,eRRSP_Tx_Table[[#This Row],[Year]],$W$4:$W955,"&gt;0"),"")</f>
        <v/>
      </c>
      <c r="Z955" s="10" t="str">
        <f>IF(S956&lt;&gt;eRRSP_Tx_Table[[#This Row],[Year]],SUMIFS($W$4:$W955,$S$4:$S955,eRRSP_Tx_Table[[#This Row],[Year]],$W$4:$W955,"&lt;0"),"")</f>
        <v/>
      </c>
      <c r="AA955" s="3">
        <f>(SUMIF($U$4:$U955,CONCATENATE("Buy",$C955),$N$4:$N955)+SUMIF($U$4:$U955,CONCATENATE("ReinvDiv",$C955),$N$4:$N955))</f>
        <v>-41219.08</v>
      </c>
      <c r="AB955">
        <f>(SUMIF($U$4:$U955,CONCATENATE("Buy",$C955),$F$4:$F955)+SUMIF($U$4:$U955,CONCATENATE("ReinvDiv",$C955),$F$4:$F955)+SUMIF($U$4:$U955,CONCATENATE("StkSplit",$C955),$F$4:$F955)-SUMIF($U$4:$U955,CONCATENATE("Sell",$C955),$F$4:$F955))</f>
        <v>1638</v>
      </c>
      <c r="AC955" s="3">
        <f>IF(B955="Sell",F955*INDEX(V:V,LOOKUP(2,1/(X$4:X954=CONCATENATE(C955,"_ACB")),ROW(V$4:V954))),0)</f>
        <v>0</v>
      </c>
    </row>
    <row r="956" spans="1:29" x14ac:dyDescent="0.25">
      <c r="A956" s="20">
        <v>41957</v>
      </c>
      <c r="B956" t="s">
        <v>42</v>
      </c>
      <c r="C956" t="s">
        <v>79</v>
      </c>
      <c r="D956" s="3">
        <v>2.52</v>
      </c>
      <c r="M956" s="21">
        <f t="shared" si="123"/>
        <v>2.52</v>
      </c>
      <c r="N956" s="8">
        <f t="shared" si="121"/>
        <v>2.52</v>
      </c>
      <c r="O956" s="25">
        <f t="shared" si="118"/>
        <v>10026.109999999913</v>
      </c>
      <c r="P956" s="8">
        <f t="shared" si="125"/>
        <v>0</v>
      </c>
      <c r="Q956" s="4">
        <f>IF(AND(S956&gt;=[1]eRRSP_Rpt!$C$6,S956&lt;=[1]eRRSP_Rpt!$C$7),1,0)</f>
        <v>1</v>
      </c>
      <c r="R956" s="4"/>
      <c r="S956" s="4">
        <f t="shared" si="122"/>
        <v>2014</v>
      </c>
      <c r="T956" s="4"/>
      <c r="U956" s="4" t="str">
        <f t="shared" si="124"/>
        <v>DivCentral Fund of Canada</v>
      </c>
      <c r="V956" s="23">
        <f>IFERROR(IF(AND(AB956&gt;0,B956&lt;&gt;"Sell"),(AA956-SUMIF(C$4:C955,C956,AC$4:AC956))/AB956,0),"")</f>
        <v>-10.243200000000002</v>
      </c>
      <c r="W956" s="24" t="str">
        <f t="shared" si="120"/>
        <v/>
      </c>
      <c r="X956" s="25" t="str">
        <f t="shared" si="119"/>
        <v>Central Fund of Canada_ACB</v>
      </c>
      <c r="Y956" s="10" t="str">
        <f>IF(S957&lt;&gt;eRRSP_Tx_Table[[#This Row],[Year]],SUMIFS($W$4:$W956,$S$4:$S956,eRRSP_Tx_Table[[#This Row],[Year]],$W$4:$W956,"&gt;0"),"")</f>
        <v/>
      </c>
      <c r="Z956" s="10" t="str">
        <f>IF(S957&lt;&gt;eRRSP_Tx_Table[[#This Row],[Year]],SUMIFS($W$4:$W956,$S$4:$S956,eRRSP_Tx_Table[[#This Row],[Year]],$W$4:$W956,"&lt;0"),"")</f>
        <v/>
      </c>
      <c r="AA956" s="3">
        <f>(SUMIF($U$4:$U956,CONCATENATE("Buy",$C956),$N$4:$N956)+SUMIF($U$4:$U956,CONCATENATE("ReinvDiv",$C956),$N$4:$N956))</f>
        <v>-2304.7200000000003</v>
      </c>
      <c r="AB956">
        <f>(SUMIF($U$4:$U956,CONCATENATE("Buy",$C956),$F$4:$F956)+SUMIF($U$4:$U956,CONCATENATE("ReinvDiv",$C956),$F$4:$F956)+SUMIF($U$4:$U956,CONCATENATE("StkSplit",$C956),$F$4:$F956)-SUMIF($U$4:$U956,CONCATENATE("Sell",$C956),$F$4:$F956))</f>
        <v>225</v>
      </c>
      <c r="AC956" s="3">
        <f>IF(B956="Sell",F956*INDEX(V:V,LOOKUP(2,1/(X$4:X955=CONCATENATE(C956,"_ACB")),ROW(V$4:V955))),0)</f>
        <v>0</v>
      </c>
    </row>
    <row r="957" spans="1:29" x14ac:dyDescent="0.25">
      <c r="A957" s="20">
        <v>41959</v>
      </c>
      <c r="B957" t="s">
        <v>43</v>
      </c>
      <c r="C957" t="s">
        <v>36</v>
      </c>
      <c r="D957" s="3">
        <v>0.21</v>
      </c>
      <c r="M957" s="21">
        <f t="shared" si="123"/>
        <v>0.21</v>
      </c>
      <c r="N957" s="8">
        <f t="shared" si="121"/>
        <v>0.21</v>
      </c>
      <c r="O957" s="25">
        <f t="shared" si="118"/>
        <v>10026.319999999912</v>
      </c>
      <c r="P957" s="8">
        <f t="shared" si="125"/>
        <v>0</v>
      </c>
      <c r="Q957" s="4">
        <f>IF(AND(S957&gt;=[1]eRRSP_Rpt!$C$6,S957&lt;=[1]eRRSP_Rpt!$C$7),1,0)</f>
        <v>1</v>
      </c>
      <c r="R957" s="4"/>
      <c r="S957" s="4">
        <f t="shared" si="122"/>
        <v>2014</v>
      </c>
      <c r="T957" s="4"/>
      <c r="U957" s="4" t="str">
        <f t="shared" si="124"/>
        <v>IntIncTDW</v>
      </c>
      <c r="V957" s="23">
        <f>IFERROR(IF(AND(AB957&gt;0,B957&lt;&gt;"Sell"),(AA957-SUMIF(C$4:C956,C957,AC$4:AC957))/AB957,0),"")</f>
        <v>0</v>
      </c>
      <c r="W957" s="24" t="str">
        <f t="shared" si="120"/>
        <v/>
      </c>
      <c r="X957" s="25" t="str">
        <f t="shared" si="119"/>
        <v/>
      </c>
      <c r="Y957" s="10" t="str">
        <f>IF(S958&lt;&gt;eRRSP_Tx_Table[[#This Row],[Year]],SUMIFS($W$4:$W957,$S$4:$S957,eRRSP_Tx_Table[[#This Row],[Year]],$W$4:$W957,"&gt;0"),"")</f>
        <v/>
      </c>
      <c r="Z957" s="10" t="str">
        <f>IF(S958&lt;&gt;eRRSP_Tx_Table[[#This Row],[Year]],SUMIFS($W$4:$W957,$S$4:$S957,eRRSP_Tx_Table[[#This Row],[Year]],$W$4:$W957,"&lt;0"),"")</f>
        <v/>
      </c>
      <c r="AA957" s="3">
        <f>(SUMIF($U$4:$U957,CONCATENATE("Buy",$C957),$N$4:$N957)+SUMIF($U$4:$U957,CONCATENATE("ReinvDiv",$C957),$N$4:$N957))</f>
        <v>0</v>
      </c>
      <c r="AB957">
        <f>(SUMIF($U$4:$U957,CONCATENATE("Buy",$C957),$F$4:$F957)+SUMIF($U$4:$U957,CONCATENATE("ReinvDiv",$C957),$F$4:$F957)+SUMIF($U$4:$U957,CONCATENATE("StkSplit",$C957),$F$4:$F957)-SUMIF($U$4:$U957,CONCATENATE("Sell",$C957),$F$4:$F957))</f>
        <v>0</v>
      </c>
      <c r="AC957" s="3">
        <f>IF(B957="Sell",F957*INDEX(V:V,LOOKUP(2,1/(X$4:X956=CONCATENATE(C957,"_ACB")),ROW(V$4:V956))),0)</f>
        <v>0</v>
      </c>
    </row>
    <row r="958" spans="1:29" x14ac:dyDescent="0.25">
      <c r="A958" s="20">
        <v>41971</v>
      </c>
      <c r="B958" t="s">
        <v>43</v>
      </c>
      <c r="C958" t="s">
        <v>99</v>
      </c>
      <c r="D958" s="3">
        <v>17.16</v>
      </c>
      <c r="M958" s="21">
        <f t="shared" si="123"/>
        <v>17.16</v>
      </c>
      <c r="N958" s="8">
        <f t="shared" si="121"/>
        <v>17.16</v>
      </c>
      <c r="O958" s="25">
        <f t="shared" si="118"/>
        <v>10043.479999999912</v>
      </c>
      <c r="P958" s="8">
        <f t="shared" si="125"/>
        <v>0</v>
      </c>
      <c r="Q958" s="4">
        <f>IF(AND(S958&gt;=[1]eRRSP_Rpt!$C$6,S958&lt;=[1]eRRSP_Rpt!$C$7),1,0)</f>
        <v>1</v>
      </c>
      <c r="R958" s="4"/>
      <c r="S958" s="4">
        <f t="shared" si="122"/>
        <v>2014</v>
      </c>
      <c r="T958" s="4"/>
      <c r="U958" s="4" t="str">
        <f t="shared" si="124"/>
        <v>IntIncTD INV SAV ACCT  /NL'FRAC</v>
      </c>
      <c r="V958" s="23">
        <f>IFERROR(IF(AND(AB958&gt;0,B958&lt;&gt;"Sell"),(AA958-SUMIF(C$4:C957,C958,AC$4:AC958))/AB958,0),"")</f>
        <v>-10</v>
      </c>
      <c r="W958" s="24" t="str">
        <f t="shared" si="120"/>
        <v/>
      </c>
      <c r="X958" s="25" t="str">
        <f t="shared" si="119"/>
        <v>TD INV SAV ACCT  /NL'FRAC_ACB</v>
      </c>
      <c r="Y958" s="10" t="str">
        <f>IF(S959&lt;&gt;eRRSP_Tx_Table[[#This Row],[Year]],SUMIFS($W$4:$W958,$S$4:$S958,eRRSP_Tx_Table[[#This Row],[Year]],$W$4:$W958,"&gt;0"),"")</f>
        <v/>
      </c>
      <c r="Z958" s="10" t="str">
        <f>IF(S959&lt;&gt;eRRSP_Tx_Table[[#This Row],[Year]],SUMIFS($W$4:$W958,$S$4:$S958,eRRSP_Tx_Table[[#This Row],[Year]],$W$4:$W958,"&lt;0"),"")</f>
        <v/>
      </c>
      <c r="AA958" s="3">
        <f>(SUMIF($U$4:$U958,CONCATENATE("Buy",$C958),$N$4:$N958)+SUMIF($U$4:$U958,CONCATENATE("ReinvDiv",$C958),$N$4:$N958))</f>
        <v>-30900</v>
      </c>
      <c r="AB958">
        <f>(SUMIF($U$4:$U958,CONCATENATE("Buy",$C958),$F$4:$F958)+SUMIF($U$4:$U958,CONCATENATE("ReinvDiv",$C958),$F$4:$F958)+SUMIF($U$4:$U958,CONCATENATE("StkSplit",$C958),$F$4:$F958)-SUMIF($U$4:$U958,CONCATENATE("Sell",$C958),$F$4:$F958))</f>
        <v>1790</v>
      </c>
      <c r="AC958" s="3">
        <f>IF(B958="Sell",F958*INDEX(V:V,LOOKUP(2,1/(X$4:X957=CONCATENATE(C958,"_ACB")),ROW(V$4:V957))),0)</f>
        <v>0</v>
      </c>
    </row>
    <row r="959" spans="1:29" x14ac:dyDescent="0.25">
      <c r="A959" s="20">
        <v>41976</v>
      </c>
      <c r="B959" t="s">
        <v>42</v>
      </c>
      <c r="C959" t="s">
        <v>105</v>
      </c>
      <c r="D959" s="3">
        <v>98.61</v>
      </c>
      <c r="M959" s="21">
        <f t="shared" si="123"/>
        <v>98.61</v>
      </c>
      <c r="N959" s="8">
        <f t="shared" si="121"/>
        <v>98.61</v>
      </c>
      <c r="O959" s="25">
        <f t="shared" si="118"/>
        <v>10142.089999999913</v>
      </c>
      <c r="P959" s="8">
        <f t="shared" si="125"/>
        <v>0</v>
      </c>
      <c r="Q959" s="4">
        <f>IF(AND(S959&gt;=[1]eRRSP_Rpt!$C$6,S959&lt;=[1]eRRSP_Rpt!$C$7),1,0)</f>
        <v>1</v>
      </c>
      <c r="R959" s="4"/>
      <c r="S959" s="4">
        <f t="shared" si="122"/>
        <v>2014</v>
      </c>
      <c r="T959" s="4"/>
      <c r="U959" s="4" t="str">
        <f t="shared" si="124"/>
        <v>DivVanguard CDN S/T Corp Bond</v>
      </c>
      <c r="V959" s="23">
        <f>IFERROR(IF(AND(AB959&gt;0,B959&lt;&gt;"Sell"),(AA959-SUMIF(C$4:C958,C959,AC$4:AC959))/AB959,0),"")</f>
        <v>-25.164273504273506</v>
      </c>
      <c r="W959" s="24" t="str">
        <f t="shared" si="120"/>
        <v/>
      </c>
      <c r="X959" s="25" t="str">
        <f t="shared" si="119"/>
        <v>Vanguard CDN S/T Corp Bond_ACB</v>
      </c>
      <c r="Y959" s="10" t="str">
        <f>IF(S960&lt;&gt;eRRSP_Tx_Table[[#This Row],[Year]],SUMIFS($W$4:$W959,$S$4:$S959,eRRSP_Tx_Table[[#This Row],[Year]],$W$4:$W959,"&gt;0"),"")</f>
        <v/>
      </c>
      <c r="Z959" s="10" t="str">
        <f>IF(S960&lt;&gt;eRRSP_Tx_Table[[#This Row],[Year]],SUMIFS($W$4:$W959,$S$4:$S959,eRRSP_Tx_Table[[#This Row],[Year]],$W$4:$W959,"&lt;0"),"")</f>
        <v/>
      </c>
      <c r="AA959" s="3">
        <f>(SUMIF($U$4:$U959,CONCATENATE("Buy",$C959),$N$4:$N959)+SUMIF($U$4:$U959,CONCATENATE("ReinvDiv",$C959),$N$4:$N959))</f>
        <v>-41219.08</v>
      </c>
      <c r="AB959">
        <f>(SUMIF($U$4:$U959,CONCATENATE("Buy",$C959),$F$4:$F959)+SUMIF($U$4:$U959,CONCATENATE("ReinvDiv",$C959),$F$4:$F959)+SUMIF($U$4:$U959,CONCATENATE("StkSplit",$C959),$F$4:$F959)-SUMIF($U$4:$U959,CONCATENATE("Sell",$C959),$F$4:$F959))</f>
        <v>1638</v>
      </c>
      <c r="AC959" s="3">
        <f>IF(B959="Sell",F959*INDEX(V:V,LOOKUP(2,1/(X$4:X958=CONCATENATE(C959,"_ACB")),ROW(V$4:V958))),0)</f>
        <v>0</v>
      </c>
    </row>
    <row r="960" spans="1:29" x14ac:dyDescent="0.25">
      <c r="A960" s="20">
        <v>41988</v>
      </c>
      <c r="B960" t="s">
        <v>41</v>
      </c>
      <c r="C960" t="s">
        <v>96</v>
      </c>
      <c r="D960" s="3">
        <v>384.06</v>
      </c>
      <c r="E960">
        <v>22.439965000000001</v>
      </c>
      <c r="F960" s="3">
        <v>17.114999999999998</v>
      </c>
      <c r="M960" s="21">
        <f t="shared" si="123"/>
        <v>384.06</v>
      </c>
      <c r="N960" s="8">
        <f t="shared" si="121"/>
        <v>-384.06</v>
      </c>
      <c r="O960" s="25">
        <f t="shared" si="118"/>
        <v>10142.089999999913</v>
      </c>
      <c r="P960" s="8">
        <f t="shared" si="125"/>
        <v>0</v>
      </c>
      <c r="Q960" s="4">
        <f>IF(AND(S960&gt;=[1]eRRSP_Rpt!$C$6,S960&lt;=[1]eRRSP_Rpt!$C$7),1,0)</f>
        <v>1</v>
      </c>
      <c r="R960" s="4"/>
      <c r="S960" s="4">
        <f t="shared" si="122"/>
        <v>2014</v>
      </c>
      <c r="T960" s="4"/>
      <c r="U960" s="4" t="str">
        <f t="shared" si="124"/>
        <v>ReinvDivTD Canadian Index - e</v>
      </c>
      <c r="V960" s="23">
        <f>IFERROR(IF(AND(AB960&gt;0,B960&lt;&gt;"Sell"),(AA960-SUMIF(C$4:C959,C960,AC$4:AC960))/AB960,0),"")</f>
        <v>-21.055696405085808</v>
      </c>
      <c r="W960" s="24" t="str">
        <f t="shared" si="120"/>
        <v/>
      </c>
      <c r="X960" s="25" t="str">
        <f t="shared" si="119"/>
        <v>TD Canadian Index - e_ACB</v>
      </c>
      <c r="Y960" s="10" t="str">
        <f>IF(S961&lt;&gt;eRRSP_Tx_Table[[#This Row],[Year]],SUMIFS($W$4:$W960,$S$4:$S960,eRRSP_Tx_Table[[#This Row],[Year]],$W$4:$W960,"&gt;0"),"")</f>
        <v/>
      </c>
      <c r="Z960" s="10" t="str">
        <f>IF(S961&lt;&gt;eRRSP_Tx_Table[[#This Row],[Year]],SUMIFS($W$4:$W960,$S$4:$S960,eRRSP_Tx_Table[[#This Row],[Year]],$W$4:$W960,"&lt;0"),"")</f>
        <v/>
      </c>
      <c r="AA960" s="3">
        <f>(SUMIF($U$4:$U960,CONCATENATE("Buy",$C960),$N$4:$N960)+SUMIF($U$4:$U960,CONCATENATE("ReinvDiv",$C960),$N$4:$N960))</f>
        <v>-26733.78</v>
      </c>
      <c r="AB960">
        <f>(SUMIF($U$4:$U960,CONCATENATE("Buy",$C960),$F$4:$F960)+SUMIF($U$4:$U960,CONCATENATE("ReinvDiv",$C960),$F$4:$F960)+SUMIF($U$4:$U960,CONCATENATE("StkSplit",$C960),$F$4:$F960)-SUMIF($U$4:$U960,CONCATENATE("Sell",$C960),$F$4:$F960))</f>
        <v>766.1</v>
      </c>
      <c r="AC960" s="3">
        <f>IF(B960="Sell",F960*INDEX(V:V,LOOKUP(2,1/(X$4:X959=CONCATENATE(C960,"_ACB")),ROW(V$4:V959))),0)</f>
        <v>0</v>
      </c>
    </row>
    <row r="961" spans="1:29" x14ac:dyDescent="0.25">
      <c r="A961" s="20">
        <v>41988</v>
      </c>
      <c r="B961" t="s">
        <v>41</v>
      </c>
      <c r="C961" t="s">
        <v>97</v>
      </c>
      <c r="D961" s="3">
        <v>118.21</v>
      </c>
      <c r="E961">
        <f>eRRSP_Tx_Table[[#This Row],[Amount]]/eRRSP_Tx_Table[[#This Row],[Quantity]]</f>
        <v>11.049728921293699</v>
      </c>
      <c r="F961" s="3">
        <v>10.698</v>
      </c>
      <c r="M961" s="21">
        <f t="shared" si="123"/>
        <v>118.21</v>
      </c>
      <c r="N961" s="8">
        <f t="shared" si="121"/>
        <v>-118.21</v>
      </c>
      <c r="O961" s="25">
        <f t="shared" si="118"/>
        <v>10142.089999999913</v>
      </c>
      <c r="P961" s="8">
        <f t="shared" si="125"/>
        <v>0</v>
      </c>
      <c r="Q961" s="4">
        <f>IF(AND(S961&gt;=[1]eRRSP_Rpt!$C$6,S961&lt;=[1]eRRSP_Rpt!$C$7),1,0)</f>
        <v>1</v>
      </c>
      <c r="R961" s="4"/>
      <c r="S961" s="4">
        <f t="shared" si="122"/>
        <v>2014</v>
      </c>
      <c r="T961" s="4"/>
      <c r="U961" s="4" t="str">
        <f t="shared" si="124"/>
        <v>ReinvDivTD International Index - e</v>
      </c>
      <c r="V961" s="23">
        <f>IFERROR(IF(AND(AB961&gt;0,B961&lt;&gt;"Sell"),(AA961-SUMIF(C$4:C960,C961,AC$4:AC961))/AB961,0),"")</f>
        <v>-8.4633604305418206</v>
      </c>
      <c r="W961" s="24" t="str">
        <f t="shared" si="120"/>
        <v/>
      </c>
      <c r="X961" s="25" t="str">
        <f t="shared" si="119"/>
        <v>TD International Index - e_ACB</v>
      </c>
      <c r="Y961" s="10" t="str">
        <f>IF(S962&lt;&gt;eRRSP_Tx_Table[[#This Row],[Year]],SUMIFS($W$4:$W961,$S$4:$S961,eRRSP_Tx_Table[[#This Row],[Year]],$W$4:$W961,"&gt;0"),"")</f>
        <v/>
      </c>
      <c r="Z961" s="10" t="str">
        <f>IF(S962&lt;&gt;eRRSP_Tx_Table[[#This Row],[Year]],SUMIFS($W$4:$W961,$S$4:$S961,eRRSP_Tx_Table[[#This Row],[Year]],$W$4:$W961,"&lt;0"),"")</f>
        <v/>
      </c>
      <c r="AA961" s="3">
        <f>(SUMIF($U$4:$U961,CONCATENATE("Buy",$C961),$N$4:$N961)+SUMIF($U$4:$U961,CONCATENATE("ReinvDiv",$C961),$N$4:$N961))</f>
        <v>-29899.34</v>
      </c>
      <c r="AB961">
        <f>(SUMIF($U$4:$U961,CONCATENATE("Buy",$C961),$F$4:$F961)+SUMIF($U$4:$U961,CONCATENATE("ReinvDiv",$C961),$F$4:$F961)+SUMIF($U$4:$U961,CONCATENATE("StkSplit",$C961),$F$4:$F961)-SUMIF($U$4:$U961,CONCATENATE("Sell",$C961),$F$4:$F961))</f>
        <v>1093.1139999999996</v>
      </c>
      <c r="AC961" s="3">
        <f>IF(B961="Sell",F961*INDEX(V:V,LOOKUP(2,1/(X$4:X960=CONCATENATE(C961,"_ACB")),ROW(V$4:V960))),0)</f>
        <v>0</v>
      </c>
    </row>
    <row r="962" spans="1:29" x14ac:dyDescent="0.25">
      <c r="A962" s="20">
        <v>41989</v>
      </c>
      <c r="B962" t="s">
        <v>43</v>
      </c>
      <c r="C962" t="s">
        <v>36</v>
      </c>
      <c r="D962" s="3">
        <v>0.2</v>
      </c>
      <c r="M962" s="21">
        <f t="shared" si="123"/>
        <v>0.2</v>
      </c>
      <c r="N962" s="8">
        <f t="shared" si="121"/>
        <v>0.2</v>
      </c>
      <c r="O962" s="25">
        <f t="shared" si="118"/>
        <v>10142.289999999914</v>
      </c>
      <c r="P962" s="8">
        <f t="shared" si="125"/>
        <v>0</v>
      </c>
      <c r="Q962" s="4">
        <f>IF(AND(S962&gt;=[1]eRRSP_Rpt!$C$6,S962&lt;=[1]eRRSP_Rpt!$C$7),1,0)</f>
        <v>1</v>
      </c>
      <c r="R962" s="4"/>
      <c r="S962" s="4">
        <f t="shared" si="122"/>
        <v>2014</v>
      </c>
      <c r="T962" s="4"/>
      <c r="U962" s="4" t="str">
        <f t="shared" si="124"/>
        <v>IntIncTDW</v>
      </c>
      <c r="V962" s="23">
        <f>IFERROR(IF(AND(AB962&gt;0,B962&lt;&gt;"Sell"),(AA962-SUMIF(C$4:C961,C962,AC$4:AC962))/AB962,0),"")</f>
        <v>0</v>
      </c>
      <c r="W962" s="24" t="str">
        <f t="shared" si="120"/>
        <v/>
      </c>
      <c r="X962" s="25" t="str">
        <f t="shared" si="119"/>
        <v/>
      </c>
      <c r="Y962" s="10" t="str">
        <f>IF(S963&lt;&gt;eRRSP_Tx_Table[[#This Row],[Year]],SUMIFS($W$4:$W962,$S$4:$S962,eRRSP_Tx_Table[[#This Row],[Year]],$W$4:$W962,"&gt;0"),"")</f>
        <v/>
      </c>
      <c r="Z962" s="10" t="str">
        <f>IF(S963&lt;&gt;eRRSP_Tx_Table[[#This Row],[Year]],SUMIFS($W$4:$W962,$S$4:$S962,eRRSP_Tx_Table[[#This Row],[Year]],$W$4:$W962,"&lt;0"),"")</f>
        <v/>
      </c>
      <c r="AA962" s="3">
        <f>(SUMIF($U$4:$U962,CONCATENATE("Buy",$C962),$N$4:$N962)+SUMIF($U$4:$U962,CONCATENATE("ReinvDiv",$C962),$N$4:$N962))</f>
        <v>0</v>
      </c>
      <c r="AB962">
        <f>(SUMIF($U$4:$U962,CONCATENATE("Buy",$C962),$F$4:$F962)+SUMIF($U$4:$U962,CONCATENATE("ReinvDiv",$C962),$F$4:$F962)+SUMIF($U$4:$U962,CONCATENATE("StkSplit",$C962),$F$4:$F962)-SUMIF($U$4:$U962,CONCATENATE("Sell",$C962),$F$4:$F962))</f>
        <v>0</v>
      </c>
      <c r="AC962" s="3">
        <f>IF(B962="Sell",F962*INDEX(V:V,LOOKUP(2,1/(X$4:X961=CONCATENATE(C962,"_ACB")),ROW(V$4:V961))),0)</f>
        <v>0</v>
      </c>
    </row>
    <row r="963" spans="1:29" x14ac:dyDescent="0.25">
      <c r="A963" s="20">
        <v>42004</v>
      </c>
      <c r="B963" t="s">
        <v>43</v>
      </c>
      <c r="C963" t="s">
        <v>99</v>
      </c>
      <c r="D963" s="3">
        <v>19.62</v>
      </c>
      <c r="M963" s="21">
        <f t="shared" si="123"/>
        <v>19.62</v>
      </c>
      <c r="N963" s="8">
        <f t="shared" si="121"/>
        <v>19.62</v>
      </c>
      <c r="O963" s="25">
        <f t="shared" si="118"/>
        <v>10161.909999999914</v>
      </c>
      <c r="P963" s="8">
        <f t="shared" si="125"/>
        <v>0</v>
      </c>
      <c r="Q963" s="4">
        <f>IF(AND(S963&gt;=[1]eRRSP_Rpt!$C$6,S963&lt;=[1]eRRSP_Rpt!$C$7),1,0)</f>
        <v>1</v>
      </c>
      <c r="R963" s="4"/>
      <c r="S963" s="4">
        <f t="shared" si="122"/>
        <v>2014</v>
      </c>
      <c r="T963" s="4"/>
      <c r="U963" s="4" t="str">
        <f t="shared" si="124"/>
        <v>IntIncTD INV SAV ACCT  /NL'FRAC</v>
      </c>
      <c r="V963" s="23">
        <f>IFERROR(IF(AND(AB963&gt;0,B963&lt;&gt;"Sell"),(AA963-SUMIF(C$4:C962,C963,AC$4:AC963))/AB963,0),"")</f>
        <v>-10</v>
      </c>
      <c r="W963" s="24" t="str">
        <f t="shared" si="120"/>
        <v/>
      </c>
      <c r="X963" s="25" t="str">
        <f t="shared" si="119"/>
        <v>TD INV SAV ACCT  /NL'FRAC_ACB</v>
      </c>
      <c r="Y963" s="10" t="str">
        <f>IF(S964&lt;&gt;eRRSP_Tx_Table[[#This Row],[Year]],SUMIFS($W$4:$W963,$S$4:$S963,eRRSP_Tx_Table[[#This Row],[Year]],$W$4:$W963,"&gt;0"),"")</f>
        <v/>
      </c>
      <c r="Z963" s="10" t="str">
        <f>IF(S964&lt;&gt;eRRSP_Tx_Table[[#This Row],[Year]],SUMIFS($W$4:$W963,$S$4:$S963,eRRSP_Tx_Table[[#This Row],[Year]],$W$4:$W963,"&lt;0"),"")</f>
        <v/>
      </c>
      <c r="AA963" s="3">
        <f>(SUMIF($U$4:$U963,CONCATENATE("Buy",$C963),$N$4:$N963)+SUMIF($U$4:$U963,CONCATENATE("ReinvDiv",$C963),$N$4:$N963))</f>
        <v>-30900</v>
      </c>
      <c r="AB963">
        <f>(SUMIF($U$4:$U963,CONCATENATE("Buy",$C963),$F$4:$F963)+SUMIF($U$4:$U963,CONCATENATE("ReinvDiv",$C963),$F$4:$F963)+SUMIF($U$4:$U963,CONCATENATE("StkSplit",$C963),$F$4:$F963)-SUMIF($U$4:$U963,CONCATENATE("Sell",$C963),$F$4:$F963))</f>
        <v>1790</v>
      </c>
      <c r="AC963" s="3">
        <f>IF(B963="Sell",F963*INDEX(V:V,LOOKUP(2,1/(X$4:X962=CONCATENATE(C963,"_ACB")),ROW(V$4:V962))),0)</f>
        <v>0</v>
      </c>
    </row>
    <row r="964" spans="1:29" ht="13.5" customHeight="1" x14ac:dyDescent="0.25">
      <c r="A964" s="32">
        <f>A898+364</f>
        <v>42004</v>
      </c>
      <c r="B964" s="33"/>
      <c r="C964" s="33"/>
      <c r="D964" s="34"/>
      <c r="E964" s="33"/>
      <c r="F964" s="34"/>
      <c r="G964" s="33"/>
      <c r="H964" s="33"/>
      <c r="I964" s="33"/>
      <c r="J964" s="33"/>
      <c r="K964" s="33"/>
      <c r="L964" s="33"/>
      <c r="M964" s="21">
        <f t="shared" si="123"/>
        <v>0</v>
      </c>
      <c r="N964" s="8">
        <f t="shared" si="121"/>
        <v>0</v>
      </c>
      <c r="O964" s="25">
        <f t="shared" ref="O964:O1027" si="126">O963+IF(OR(B964="Cash",B964="Buy",B964="Sell",B964="Div",B964="Rebate",B964="Fees",B964="IntInc",B964="Tax",B964="Distr"),N964,0)</f>
        <v>10161.909999999914</v>
      </c>
      <c r="P964" s="8">
        <f t="shared" si="125"/>
        <v>0</v>
      </c>
      <c r="Q964" s="4">
        <f>IF(AND(S964&gt;=[1]eRRSP_Rpt!$C$6,S964&lt;=[1]eRRSP_Rpt!$C$7),1,0)</f>
        <v>1</v>
      </c>
      <c r="R964" s="4"/>
      <c r="S964" s="4">
        <f t="shared" si="122"/>
        <v>2014</v>
      </c>
      <c r="T964" s="4"/>
      <c r="U964" s="4" t="str">
        <f t="shared" si="124"/>
        <v/>
      </c>
      <c r="V964" s="23">
        <f>IFERROR(IF(AND(AB964&gt;0,B964&lt;&gt;"Sell"),(AA964-SUMIF(C$4:C963,C964,AC$4:AC964))/AB964,0),"")</f>
        <v>0</v>
      </c>
      <c r="W964" s="24" t="str">
        <f t="shared" si="120"/>
        <v/>
      </c>
      <c r="X964" s="25" t="str">
        <f t="shared" ref="X964:X1027" si="127">IF(V964,CONCATENATE(C964,"_ACB"),"")</f>
        <v/>
      </c>
      <c r="Y964" s="10">
        <f>IF(S965&lt;&gt;eRRSP_Tx_Table[[#This Row],[Year]],SUMIFS($W$4:$W964,$S$4:$S964,eRRSP_Tx_Table[[#This Row],[Year]],$W$4:$W964,"&gt;0"),"")</f>
        <v>10205.87678960753</v>
      </c>
      <c r="Z964" s="10">
        <f>IF(S965&lt;&gt;eRRSP_Tx_Table[[#This Row],[Year]],SUMIFS($W$4:$W964,$S$4:$S964,eRRSP_Tx_Table[[#This Row],[Year]],$W$4:$W964,"&lt;0"),"")</f>
        <v>0</v>
      </c>
      <c r="AA964" s="3">
        <f>(SUMIF($U$4:$U964,CONCATENATE("Buy",$C964),$N$4:$N964)+SUMIF($U$4:$U964,CONCATENATE("ReinvDiv",$C964),$N$4:$N964))</f>
        <v>0</v>
      </c>
      <c r="AB964">
        <f>(SUMIF($U$4:$U964,CONCATENATE("Buy",$C964),$F$4:$F964)+SUMIF($U$4:$U964,CONCATENATE("ReinvDiv",$C964),$F$4:$F964)+SUMIF($U$4:$U964,CONCATENATE("StkSplit",$C964),$F$4:$F964)-SUMIF($U$4:$U964,CONCATENATE("Sell",$C964),$F$4:$F964))</f>
        <v>0</v>
      </c>
      <c r="AC964" s="3">
        <f>IF(B964="Sell",F964*INDEX(V:V,LOOKUP(2,1/(X$4:X963=CONCATENATE(C964,"_ACB")),ROW(V$4:V963))),0)</f>
        <v>0</v>
      </c>
    </row>
    <row r="965" spans="1:29" ht="13.5" customHeight="1" x14ac:dyDescent="0.25">
      <c r="A965" s="32">
        <f>A964+1</f>
        <v>42005</v>
      </c>
      <c r="B965" s="33"/>
      <c r="C965" s="33"/>
      <c r="D965" s="34"/>
      <c r="E965" s="33"/>
      <c r="F965" s="34"/>
      <c r="G965" s="33"/>
      <c r="H965" s="33"/>
      <c r="I965" s="33"/>
      <c r="J965" s="33"/>
      <c r="K965" s="33"/>
      <c r="L965" s="33"/>
      <c r="M965" s="21">
        <f t="shared" si="123"/>
        <v>0</v>
      </c>
      <c r="N965" s="8">
        <f t="shared" si="121"/>
        <v>0</v>
      </c>
      <c r="O965" s="25">
        <f t="shared" si="126"/>
        <v>10161.909999999914</v>
      </c>
      <c r="P965" s="8">
        <f t="shared" si="125"/>
        <v>0</v>
      </c>
      <c r="Q965" s="4">
        <f>IF(AND(S965&gt;=[1]eRRSP_Rpt!$C$6,S965&lt;=[1]eRRSP_Rpt!$C$7),1,0)</f>
        <v>1</v>
      </c>
      <c r="R965" s="4"/>
      <c r="S965" s="4">
        <f t="shared" si="122"/>
        <v>2015</v>
      </c>
      <c r="T965" s="4"/>
      <c r="U965" s="4" t="str">
        <f t="shared" si="124"/>
        <v/>
      </c>
      <c r="V965" s="23">
        <f>IFERROR(IF(AND(AB965&gt;0,B965&lt;&gt;"Sell"),(AA965-SUMIF(C$4:C964,C965,AC$4:AC965))/AB965,0),"")</f>
        <v>0</v>
      </c>
      <c r="W965" s="24" t="str">
        <f t="shared" ref="W965:W1028" si="128">IF(B965="Sell",N965+AC965,"")</f>
        <v/>
      </c>
      <c r="X965" s="25" t="str">
        <f t="shared" si="127"/>
        <v/>
      </c>
      <c r="Y965" s="10" t="str">
        <f>IF(S966&lt;&gt;eRRSP_Tx_Table[[#This Row],[Year]],SUMIFS($W$4:$W965,$S$4:$S965,eRRSP_Tx_Table[[#This Row],[Year]],$W$4:$W965,"&gt;0"),"")</f>
        <v/>
      </c>
      <c r="Z965" s="10" t="str">
        <f>IF(S966&lt;&gt;eRRSP_Tx_Table[[#This Row],[Year]],SUMIFS($W$4:$W965,$S$4:$S965,eRRSP_Tx_Table[[#This Row],[Year]],$W$4:$W965,"&lt;0"),"")</f>
        <v/>
      </c>
      <c r="AA965" s="3">
        <f>(SUMIF($U$4:$U965,CONCATENATE("Buy",$C965),$N$4:$N965)+SUMIF($U$4:$U965,CONCATENATE("ReinvDiv",$C965),$N$4:$N965))</f>
        <v>0</v>
      </c>
      <c r="AB965">
        <f>(SUMIF($U$4:$U965,CONCATENATE("Buy",$C965),$F$4:$F965)+SUMIF($U$4:$U965,CONCATENATE("ReinvDiv",$C965),$F$4:$F965)+SUMIF($U$4:$U965,CONCATENATE("StkSplit",$C965),$F$4:$F965)-SUMIF($U$4:$U965,CONCATENATE("Sell",$C965),$F$4:$F965))</f>
        <v>0</v>
      </c>
      <c r="AC965" s="3">
        <f>IF(B965="Sell",F965*INDEX(V:V,LOOKUP(2,1/(X$4:X964=CONCATENATE(C965,"_ACB")),ROW(V$4:V964))),0)</f>
        <v>0</v>
      </c>
    </row>
    <row r="966" spans="1:29" x14ac:dyDescent="0.25">
      <c r="A966" s="20">
        <v>42009</v>
      </c>
      <c r="B966" t="s">
        <v>42</v>
      </c>
      <c r="C966" t="s">
        <v>105</v>
      </c>
      <c r="D966" s="3">
        <v>88.3</v>
      </c>
      <c r="M966" s="21">
        <f t="shared" si="123"/>
        <v>88.3</v>
      </c>
      <c r="N966" s="8">
        <f t="shared" si="121"/>
        <v>88.3</v>
      </c>
      <c r="O966" s="25">
        <f t="shared" si="126"/>
        <v>10250.209999999914</v>
      </c>
      <c r="P966" s="8">
        <f t="shared" si="125"/>
        <v>0</v>
      </c>
      <c r="Q966" s="4">
        <f>IF(AND(S966&gt;=[1]eRRSP_Rpt!$C$6,S966&lt;=[1]eRRSP_Rpt!$C$7),1,0)</f>
        <v>1</v>
      </c>
      <c r="R966" s="4"/>
      <c r="S966" s="4">
        <f t="shared" si="122"/>
        <v>2015</v>
      </c>
      <c r="T966" s="4"/>
      <c r="U966" s="4" t="str">
        <f t="shared" si="124"/>
        <v>DivVanguard CDN S/T Corp Bond</v>
      </c>
      <c r="V966" s="23">
        <f>IFERROR(IF(AND(AB966&gt;0,B966&lt;&gt;"Sell"),(AA966-SUMIF(C$4:C965,C966,AC$4:AC966))/AB966,0),"")</f>
        <v>-25.164273504273506</v>
      </c>
      <c r="W966" s="24" t="str">
        <f t="shared" si="128"/>
        <v/>
      </c>
      <c r="X966" s="25" t="str">
        <f t="shared" si="127"/>
        <v>Vanguard CDN S/T Corp Bond_ACB</v>
      </c>
      <c r="Y966" s="10" t="str">
        <f>IF(S967&lt;&gt;eRRSP_Tx_Table[[#This Row],[Year]],SUMIFS($W$4:$W966,$S$4:$S966,eRRSP_Tx_Table[[#This Row],[Year]],$W$4:$W966,"&gt;0"),"")</f>
        <v/>
      </c>
      <c r="Z966" s="10" t="str">
        <f>IF(S967&lt;&gt;eRRSP_Tx_Table[[#This Row],[Year]],SUMIFS($W$4:$W966,$S$4:$S966,eRRSP_Tx_Table[[#This Row],[Year]],$W$4:$W966,"&lt;0"),"")</f>
        <v/>
      </c>
      <c r="AA966" s="3">
        <f>(SUMIF($U$4:$U966,CONCATENATE("Buy",$C966),$N$4:$N966)+SUMIF($U$4:$U966,CONCATENATE("ReinvDiv",$C966),$N$4:$N966))</f>
        <v>-41219.08</v>
      </c>
      <c r="AB966">
        <f>(SUMIF($U$4:$U966,CONCATENATE("Buy",$C966),$F$4:$F966)+SUMIF($U$4:$U966,CONCATENATE("ReinvDiv",$C966),$F$4:$F966)+SUMIF($U$4:$U966,CONCATENATE("StkSplit",$C966),$F$4:$F966)-SUMIF($U$4:$U966,CONCATENATE("Sell",$C966),$F$4:$F966))</f>
        <v>1638</v>
      </c>
      <c r="AC966" s="3">
        <f>IF(B966="Sell",F966*INDEX(V:V,LOOKUP(2,1/(X$4:X965=CONCATENATE(C966,"_ACB")),ROW(V$4:V965))),0)</f>
        <v>0</v>
      </c>
    </row>
    <row r="967" spans="1:29" x14ac:dyDescent="0.25">
      <c r="A967" s="20">
        <v>42009</v>
      </c>
      <c r="B967" t="s">
        <v>42</v>
      </c>
      <c r="C967" t="s">
        <v>104</v>
      </c>
      <c r="D967" s="3">
        <v>257.77999999999997</v>
      </c>
      <c r="M967" s="21">
        <f t="shared" si="123"/>
        <v>257.77999999999997</v>
      </c>
      <c r="N967" s="8">
        <f t="shared" si="121"/>
        <v>257.77999999999997</v>
      </c>
      <c r="O967" s="25">
        <f t="shared" si="126"/>
        <v>10507.989999999914</v>
      </c>
      <c r="P967" s="8">
        <f t="shared" si="125"/>
        <v>0</v>
      </c>
      <c r="Q967" s="4">
        <f>IF(AND(S967&gt;=[1]eRRSP_Rpt!$C$6,S967&lt;=[1]eRRSP_Rpt!$C$7),1,0)</f>
        <v>1</v>
      </c>
      <c r="R967" s="4"/>
      <c r="S967" s="4">
        <f t="shared" si="122"/>
        <v>2015</v>
      </c>
      <c r="T967" s="4"/>
      <c r="U967" s="4" t="str">
        <f t="shared" si="124"/>
        <v>DivVanguard US Total Market ETF</v>
      </c>
      <c r="V967" s="23">
        <f>IFERROR(IF(AND(AB967&gt;0,B967&lt;&gt;"Sell"),(AA967-SUMIF(C$4:C966,C967,AC$4:AC967))/AB967,0),"")</f>
        <v>-28.004994999999997</v>
      </c>
      <c r="W967" s="24" t="str">
        <f t="shared" si="128"/>
        <v/>
      </c>
      <c r="X967" s="25" t="str">
        <f t="shared" si="127"/>
        <v>Vanguard US Total Market ETF_ACB</v>
      </c>
      <c r="Y967" s="10" t="str">
        <f>IF(S968&lt;&gt;eRRSP_Tx_Table[[#This Row],[Year]],SUMIFS($W$4:$W967,$S$4:$S967,eRRSP_Tx_Table[[#This Row],[Year]],$W$4:$W967,"&gt;0"),"")</f>
        <v/>
      </c>
      <c r="Z967" s="10" t="str">
        <f>IF(S968&lt;&gt;eRRSP_Tx_Table[[#This Row],[Year]],SUMIFS($W$4:$W967,$S$4:$S967,eRRSP_Tx_Table[[#This Row],[Year]],$W$4:$W967,"&lt;0"),"")</f>
        <v/>
      </c>
      <c r="AA967" s="3">
        <f>(SUMIF($U$4:$U967,CONCATENATE("Buy",$C967),$N$4:$N967)+SUMIF($U$4:$U967,CONCATENATE("ReinvDiv",$C967),$N$4:$N967))</f>
        <v>-56009.99</v>
      </c>
      <c r="AB967">
        <f>(SUMIF($U$4:$U967,CONCATENATE("Buy",$C967),$F$4:$F967)+SUMIF($U$4:$U967,CONCATENATE("ReinvDiv",$C967),$F$4:$F967)+SUMIF($U$4:$U967,CONCATENATE("StkSplit",$C967),$F$4:$F967)-SUMIF($U$4:$U967,CONCATENATE("Sell",$C967),$F$4:$F967))</f>
        <v>2000</v>
      </c>
      <c r="AC967" s="3">
        <f>IF(B967="Sell",F967*INDEX(V:V,LOOKUP(2,1/(X$4:X966=CONCATENATE(C967,"_ACB")),ROW(V$4:V966))),0)</f>
        <v>0</v>
      </c>
    </row>
    <row r="968" spans="1:29" x14ac:dyDescent="0.25">
      <c r="A968" s="20">
        <v>42010</v>
      </c>
      <c r="B968" t="s">
        <v>42</v>
      </c>
      <c r="C968" t="s">
        <v>103</v>
      </c>
      <c r="D968" s="3">
        <v>251.61</v>
      </c>
      <c r="M968" s="21">
        <f t="shared" si="123"/>
        <v>251.61</v>
      </c>
      <c r="N968" s="8">
        <f t="shared" si="121"/>
        <v>251.61</v>
      </c>
      <c r="O968" s="25">
        <f t="shared" si="126"/>
        <v>10759.599999999915</v>
      </c>
      <c r="P968" s="8">
        <f t="shared" si="125"/>
        <v>0</v>
      </c>
      <c r="Q968" s="4">
        <f>IF(AND(S968&gt;=[1]eRRSP_Rpt!$C$6,S968&lt;=[1]eRRSP_Rpt!$C$7),1,0)</f>
        <v>1</v>
      </c>
      <c r="R968" s="4"/>
      <c r="S968" s="4">
        <f t="shared" si="122"/>
        <v>2015</v>
      </c>
      <c r="T968" s="4"/>
      <c r="U968" s="4" t="str">
        <f t="shared" si="124"/>
        <v>DivIshares Global Real Estate Index</v>
      </c>
      <c r="V968" s="23">
        <f>IFERROR(IF(AND(AB968&gt;0,B968&lt;&gt;"Sell"),(AA968-SUMIF(C$4:C967,C968,AC$4:AC968))/AB968,0),"")</f>
        <v>-21.643448573898013</v>
      </c>
      <c r="W968" s="24" t="str">
        <f t="shared" si="128"/>
        <v/>
      </c>
      <c r="X968" s="25" t="str">
        <f t="shared" si="127"/>
        <v>Ishares Global Real Estate Index_ACB</v>
      </c>
      <c r="Y968" s="10" t="str">
        <f>IF(S969&lt;&gt;eRRSP_Tx_Table[[#This Row],[Year]],SUMIFS($W$4:$W968,$S$4:$S968,eRRSP_Tx_Table[[#This Row],[Year]],$W$4:$W968,"&gt;0"),"")</f>
        <v/>
      </c>
      <c r="Z968" s="10" t="str">
        <f>IF(S969&lt;&gt;eRRSP_Tx_Table[[#This Row],[Year]],SUMIFS($W$4:$W968,$S$4:$S968,eRRSP_Tx_Table[[#This Row],[Year]],$W$4:$W968,"&lt;0"),"")</f>
        <v/>
      </c>
      <c r="AA968" s="3">
        <f>(SUMIF($U$4:$U968,CONCATENATE("Buy",$C968),$N$4:$N968)+SUMIF($U$4:$U968,CONCATENATE("ReinvDiv",$C968),$N$4:$N968))</f>
        <v>-25041.47</v>
      </c>
      <c r="AB968">
        <f>(SUMIF($U$4:$U968,CONCATENATE("Buy",$C968),$F$4:$F968)+SUMIF($U$4:$U968,CONCATENATE("ReinvDiv",$C968),$F$4:$F968)+SUMIF($U$4:$U968,CONCATENATE("StkSplit",$C968),$F$4:$F968)-SUMIF($U$4:$U968,CONCATENATE("Sell",$C968),$F$4:$F968))</f>
        <v>1157</v>
      </c>
      <c r="AC968" s="3">
        <f>IF(B968="Sell",F968*INDEX(V:V,LOOKUP(2,1/(X$4:X967=CONCATENATE(C968,"_ACB")),ROW(V$4:V967))),0)</f>
        <v>0</v>
      </c>
    </row>
    <row r="969" spans="1:29" x14ac:dyDescent="0.25">
      <c r="A969" s="20">
        <v>42012</v>
      </c>
      <c r="C969" t="s">
        <v>103</v>
      </c>
      <c r="M969" s="21">
        <f t="shared" si="123"/>
        <v>0</v>
      </c>
      <c r="N969" s="8">
        <f t="shared" si="121"/>
        <v>0</v>
      </c>
      <c r="O969" s="25">
        <f t="shared" si="126"/>
        <v>10759.599999999915</v>
      </c>
      <c r="P969" s="8">
        <f t="shared" si="125"/>
        <v>0</v>
      </c>
      <c r="Q969" s="4">
        <f>IF(AND(S969&gt;=[1]eRRSP_Rpt!$C$6,S969&lt;=[1]eRRSP_Rpt!$C$7),1,0)</f>
        <v>1</v>
      </c>
      <c r="R969" s="4"/>
      <c r="S969" s="4">
        <f t="shared" si="122"/>
        <v>2015</v>
      </c>
      <c r="T969" s="4"/>
      <c r="U969" s="4" t="str">
        <f t="shared" si="124"/>
        <v>Ishares Global Real Estate Index</v>
      </c>
      <c r="V969" s="23">
        <f>IFERROR(IF(AND(AB969&gt;0,B969&lt;&gt;"Sell"),(AA969-SUMIF(C$4:C968,C969,AC$4:AC969))/AB969,0),"")</f>
        <v>-21.643448573898013</v>
      </c>
      <c r="W969" s="24" t="str">
        <f t="shared" si="128"/>
        <v/>
      </c>
      <c r="X969" s="25" t="str">
        <f t="shared" si="127"/>
        <v>Ishares Global Real Estate Index_ACB</v>
      </c>
      <c r="Y969" s="10" t="str">
        <f>IF(S970&lt;&gt;eRRSP_Tx_Table[[#This Row],[Year]],SUMIFS($W$4:$W969,$S$4:$S969,eRRSP_Tx_Table[[#This Row],[Year]],$W$4:$W969,"&gt;0"),"")</f>
        <v/>
      </c>
      <c r="Z969" s="10" t="str">
        <f>IF(S970&lt;&gt;eRRSP_Tx_Table[[#This Row],[Year]],SUMIFS($W$4:$W969,$S$4:$S969,eRRSP_Tx_Table[[#This Row],[Year]],$W$4:$W969,"&lt;0"),"")</f>
        <v/>
      </c>
      <c r="AA969" s="3">
        <f>(SUMIF($U$4:$U969,CONCATENATE("Buy",$C969),$N$4:$N969)+SUMIF($U$4:$U969,CONCATENATE("ReinvDiv",$C969),$N$4:$N969))</f>
        <v>-25041.47</v>
      </c>
      <c r="AB969">
        <f>(SUMIF($U$4:$U969,CONCATENATE("Buy",$C969),$F$4:$F969)+SUMIF($U$4:$U969,CONCATENATE("ReinvDiv",$C969),$F$4:$F969)+SUMIF($U$4:$U969,CONCATENATE("StkSplit",$C969),$F$4:$F969)-SUMIF($U$4:$U969,CONCATENATE("Sell",$C969),$F$4:$F969))</f>
        <v>1157</v>
      </c>
      <c r="AC969" s="3">
        <f>IF(B969="Sell",F969*INDEX(V:V,LOOKUP(2,1/(X$4:X968=CONCATENATE(C969,"_ACB")),ROW(V$4:V968))),0)</f>
        <v>0</v>
      </c>
    </row>
    <row r="970" spans="1:29" x14ac:dyDescent="0.25">
      <c r="A970" s="20">
        <v>42012</v>
      </c>
      <c r="B970" t="s">
        <v>41</v>
      </c>
      <c r="C970" t="s">
        <v>103</v>
      </c>
      <c r="D970" s="3">
        <v>158.35</v>
      </c>
      <c r="M970" s="21">
        <f t="shared" si="123"/>
        <v>158.35</v>
      </c>
      <c r="N970" s="8">
        <f t="shared" ref="N970:N1033" si="129">IF(OR(B970="Buy",B970="ReinvDiv"),-M970-G970,M970-G970)</f>
        <v>-158.35</v>
      </c>
      <c r="O970" s="25">
        <f t="shared" si="126"/>
        <v>10759.599999999915</v>
      </c>
      <c r="P970" s="8">
        <f t="shared" si="125"/>
        <v>0</v>
      </c>
      <c r="Q970" s="4">
        <f>IF(AND(S970&gt;=[1]eRRSP_Rpt!$C$6,S970&lt;=[1]eRRSP_Rpt!$C$7),1,0)</f>
        <v>1</v>
      </c>
      <c r="R970" s="4"/>
      <c r="S970" s="4">
        <f t="shared" si="122"/>
        <v>2015</v>
      </c>
      <c r="T970" s="4"/>
      <c r="U970" s="4" t="str">
        <f t="shared" si="124"/>
        <v>ReinvDivIshares Global Real Estate Index</v>
      </c>
      <c r="V970" s="23">
        <f>IFERROR(IF(AND(AB970&gt;0,B970&lt;&gt;"Sell"),(AA970-SUMIF(C$4:C969,C970,AC$4:AC970))/AB970,0),"")</f>
        <v>-21.780311149524632</v>
      </c>
      <c r="W970" s="24" t="str">
        <f t="shared" si="128"/>
        <v/>
      </c>
      <c r="X970" s="25" t="str">
        <f t="shared" si="127"/>
        <v>Ishares Global Real Estate Index_ACB</v>
      </c>
      <c r="Y970" s="10" t="str">
        <f>IF(S971&lt;&gt;eRRSP_Tx_Table[[#This Row],[Year]],SUMIFS($W$4:$W970,$S$4:$S970,eRRSP_Tx_Table[[#This Row],[Year]],$W$4:$W970,"&gt;0"),"")</f>
        <v/>
      </c>
      <c r="Z970" s="10" t="str">
        <f>IF(S971&lt;&gt;eRRSP_Tx_Table[[#This Row],[Year]],SUMIFS($W$4:$W970,$S$4:$S970,eRRSP_Tx_Table[[#This Row],[Year]],$W$4:$W970,"&lt;0"),"")</f>
        <v/>
      </c>
      <c r="AA970" s="3">
        <f>(SUMIF($U$4:$U970,CONCATENATE("Buy",$C970),$N$4:$N970)+SUMIF($U$4:$U970,CONCATENATE("ReinvDiv",$C970),$N$4:$N970))</f>
        <v>-25199.82</v>
      </c>
      <c r="AB970">
        <f>(SUMIF($U$4:$U970,CONCATENATE("Buy",$C970),$F$4:$F970)+SUMIF($U$4:$U970,CONCATENATE("ReinvDiv",$C970),$F$4:$F970)+SUMIF($U$4:$U970,CONCATENATE("StkSplit",$C970),$F$4:$F970)-SUMIF($U$4:$U970,CONCATENATE("Sell",$C970),$F$4:$F970))</f>
        <v>1157</v>
      </c>
      <c r="AC970" s="3">
        <f>IF(B970="Sell",F970*INDEX(V:V,LOOKUP(2,1/(X$4:X969=CONCATENATE(C970,"_ACB")),ROW(V$4:V969))),0)</f>
        <v>0</v>
      </c>
    </row>
    <row r="971" spans="1:29" x14ac:dyDescent="0.25">
      <c r="A971" s="20">
        <v>42018</v>
      </c>
      <c r="B971" t="s">
        <v>30</v>
      </c>
      <c r="C971" t="s">
        <v>31</v>
      </c>
      <c r="D971" s="3">
        <v>38623</v>
      </c>
      <c r="H971" t="s">
        <v>100</v>
      </c>
      <c r="J971" t="s">
        <v>101</v>
      </c>
      <c r="M971" s="21">
        <f t="shared" si="123"/>
        <v>38623</v>
      </c>
      <c r="N971" s="8">
        <f t="shared" si="129"/>
        <v>38623</v>
      </c>
      <c r="O971" s="25">
        <f t="shared" si="126"/>
        <v>49382.599999999919</v>
      </c>
      <c r="P971" s="8">
        <f t="shared" si="125"/>
        <v>38623</v>
      </c>
      <c r="Q971" s="4">
        <f>IF(AND(S971&gt;=[1]eRRSP_Rpt!$C$6,S971&lt;=[1]eRRSP_Rpt!$C$7),1,0)</f>
        <v>1</v>
      </c>
      <c r="R971" s="4"/>
      <c r="S971" s="4">
        <f t="shared" si="122"/>
        <v>2015</v>
      </c>
      <c r="T971" s="4"/>
      <c r="U971" s="4" t="str">
        <f t="shared" si="124"/>
        <v>CashContribution</v>
      </c>
      <c r="V971" s="23">
        <f>IFERROR(IF(AND(AB971&gt;0,B971&lt;&gt;"Sell"),(AA971-SUMIF(C$4:C970,C971,AC$4:AC971))/AB971,0),"")</f>
        <v>0</v>
      </c>
      <c r="W971" s="24" t="str">
        <f t="shared" si="128"/>
        <v/>
      </c>
      <c r="X971" s="25" t="str">
        <f t="shared" si="127"/>
        <v/>
      </c>
      <c r="Y971" s="10" t="str">
        <f>IF(S972&lt;&gt;eRRSP_Tx_Table[[#This Row],[Year]],SUMIFS($W$4:$W971,$S$4:$S971,eRRSP_Tx_Table[[#This Row],[Year]],$W$4:$W971,"&gt;0"),"")</f>
        <v/>
      </c>
      <c r="Z971" s="10" t="str">
        <f>IF(S972&lt;&gt;eRRSP_Tx_Table[[#This Row],[Year]],SUMIFS($W$4:$W971,$S$4:$S971,eRRSP_Tx_Table[[#This Row],[Year]],$W$4:$W971,"&lt;0"),"")</f>
        <v/>
      </c>
      <c r="AA971" s="3">
        <f>(SUMIF($U$4:$U971,CONCATENATE("Buy",$C971),$N$4:$N971)+SUMIF($U$4:$U971,CONCATENATE("ReinvDiv",$C971),$N$4:$N971))</f>
        <v>0</v>
      </c>
      <c r="AB971">
        <f>(SUMIF($U$4:$U971,CONCATENATE("Buy",$C971),$F$4:$F971)+SUMIF($U$4:$U971,CONCATENATE("ReinvDiv",$C971),$F$4:$F971)+SUMIF($U$4:$U971,CONCATENATE("StkSplit",$C971),$F$4:$F971)-SUMIF($U$4:$U971,CONCATENATE("Sell",$C971),$F$4:$F971))</f>
        <v>0</v>
      </c>
      <c r="AC971" s="3">
        <f>IF(B971="Sell",F971*INDEX(V:V,LOOKUP(2,1/(X$4:X970=CONCATENATE(C971,"_ACB")),ROW(V$4:V970))),0)</f>
        <v>0</v>
      </c>
    </row>
    <row r="972" spans="1:29" x14ac:dyDescent="0.25">
      <c r="A972" s="20">
        <v>42020</v>
      </c>
      <c r="B972" t="s">
        <v>43</v>
      </c>
      <c r="C972" t="s">
        <v>36</v>
      </c>
      <c r="D972" s="3">
        <v>0.27</v>
      </c>
      <c r="M972" s="21">
        <f t="shared" si="123"/>
        <v>0.27</v>
      </c>
      <c r="N972" s="8">
        <f t="shared" si="129"/>
        <v>0.27</v>
      </c>
      <c r="O972" s="25">
        <f t="shared" si="126"/>
        <v>49382.869999999915</v>
      </c>
      <c r="P972" s="8">
        <f t="shared" si="125"/>
        <v>0</v>
      </c>
      <c r="Q972" s="4">
        <f>IF(AND(S972&gt;=[1]eRRSP_Rpt!$C$6,S972&lt;=[1]eRRSP_Rpt!$C$7),1,0)</f>
        <v>1</v>
      </c>
      <c r="R972" s="4"/>
      <c r="S972" s="4">
        <f t="shared" si="122"/>
        <v>2015</v>
      </c>
      <c r="T972" s="4"/>
      <c r="U972" s="4" t="str">
        <f t="shared" si="124"/>
        <v>IntIncTDW</v>
      </c>
      <c r="V972" s="23">
        <f>IFERROR(IF(AND(AB972&gt;0,B972&lt;&gt;"Sell"),(AA972-SUMIF(C$4:C971,C972,AC$4:AC972))/AB972,0),"")</f>
        <v>0</v>
      </c>
      <c r="W972" s="24" t="str">
        <f t="shared" si="128"/>
        <v/>
      </c>
      <c r="X972" s="25" t="str">
        <f t="shared" si="127"/>
        <v/>
      </c>
      <c r="Y972" s="10" t="str">
        <f>IF(S973&lt;&gt;eRRSP_Tx_Table[[#This Row],[Year]],SUMIFS($W$4:$W972,$S$4:$S972,eRRSP_Tx_Table[[#This Row],[Year]],$W$4:$W972,"&gt;0"),"")</f>
        <v/>
      </c>
      <c r="Z972" s="10" t="str">
        <f>IF(S973&lt;&gt;eRRSP_Tx_Table[[#This Row],[Year]],SUMIFS($W$4:$W972,$S$4:$S972,eRRSP_Tx_Table[[#This Row],[Year]],$W$4:$W972,"&lt;0"),"")</f>
        <v/>
      </c>
      <c r="AA972" s="3">
        <f>(SUMIF($U$4:$U972,CONCATENATE("Buy",$C972),$N$4:$N972)+SUMIF($U$4:$U972,CONCATENATE("ReinvDiv",$C972),$N$4:$N972))</f>
        <v>0</v>
      </c>
      <c r="AB972">
        <f>(SUMIF($U$4:$U972,CONCATENATE("Buy",$C972),$F$4:$F972)+SUMIF($U$4:$U972,CONCATENATE("ReinvDiv",$C972),$F$4:$F972)+SUMIF($U$4:$U972,CONCATENATE("StkSplit",$C972),$F$4:$F972)-SUMIF($U$4:$U972,CONCATENATE("Sell",$C972),$F$4:$F972))</f>
        <v>0</v>
      </c>
      <c r="AC972" s="3">
        <f>IF(B972="Sell",F972*INDEX(V:V,LOOKUP(2,1/(X$4:X971=CONCATENATE(C972,"_ACB")),ROW(V$4:V971))),0)</f>
        <v>0</v>
      </c>
    </row>
    <row r="973" spans="1:29" x14ac:dyDescent="0.25">
      <c r="A973" s="20">
        <v>42030</v>
      </c>
      <c r="B973" t="s">
        <v>43</v>
      </c>
      <c r="C973" t="s">
        <v>94</v>
      </c>
      <c r="D973" s="3">
        <v>486.5</v>
      </c>
      <c r="M973" s="21">
        <f t="shared" si="123"/>
        <v>486.5</v>
      </c>
      <c r="N973" s="8">
        <f t="shared" si="129"/>
        <v>486.5</v>
      </c>
      <c r="O973" s="25">
        <f t="shared" si="126"/>
        <v>49869.369999999915</v>
      </c>
      <c r="P973" s="8">
        <f t="shared" si="125"/>
        <v>0</v>
      </c>
      <c r="Q973" s="4">
        <f>IF(AND(S973&gt;=[1]eRRSP_Rpt!$C$6,S973&lt;=[1]eRRSP_Rpt!$C$7),1,0)</f>
        <v>1</v>
      </c>
      <c r="R973" s="4"/>
      <c r="S973" s="4">
        <f t="shared" si="122"/>
        <v>2015</v>
      </c>
      <c r="T973" s="4"/>
      <c r="U973" s="4" t="str">
        <f t="shared" si="124"/>
        <v>IntIncAIMIA SER-3  6.95% 26JA17</v>
      </c>
      <c r="V973" s="23">
        <f>IFERROR(IF(AND(AB973&gt;0,B973&lt;&gt;"Sell"),(AA973-SUMIF(C$4:C972,C973,AC$4:AC973))/AB973,0),"")</f>
        <v>-1.0346899999999999</v>
      </c>
      <c r="W973" s="24" t="str">
        <f t="shared" si="128"/>
        <v/>
      </c>
      <c r="X973" s="25" t="str">
        <f t="shared" si="127"/>
        <v>AIMIA SER-3  6.95% 26JA17_ACB</v>
      </c>
      <c r="Y973" s="10" t="str">
        <f>IF(S974&lt;&gt;eRRSP_Tx_Table[[#This Row],[Year]],SUMIFS($W$4:$W973,$S$4:$S973,eRRSP_Tx_Table[[#This Row],[Year]],$W$4:$W973,"&gt;0"),"")</f>
        <v/>
      </c>
      <c r="Z973" s="10" t="str">
        <f>IF(S974&lt;&gt;eRRSP_Tx_Table[[#This Row],[Year]],SUMIFS($W$4:$W973,$S$4:$S973,eRRSP_Tx_Table[[#This Row],[Year]],$W$4:$W973,"&lt;0"),"")</f>
        <v/>
      </c>
      <c r="AA973" s="3">
        <f>(SUMIF($U$4:$U973,CONCATENATE("Buy",$C973),$N$4:$N973)+SUMIF($U$4:$U973,CONCATENATE("ReinvDiv",$C973),$N$4:$N973))</f>
        <v>-14485.66</v>
      </c>
      <c r="AB973">
        <f>(SUMIF($U$4:$U973,CONCATENATE("Buy",$C973),$F$4:$F973)+SUMIF($U$4:$U973,CONCATENATE("ReinvDiv",$C973),$F$4:$F973)+SUMIF($U$4:$U973,CONCATENATE("StkSplit",$C973),$F$4:$F973)-SUMIF($U$4:$U973,CONCATENATE("Sell",$C973),$F$4:$F973))</f>
        <v>14000</v>
      </c>
      <c r="AC973" s="3">
        <f>IF(B973="Sell",F973*INDEX(V:V,LOOKUP(2,1/(X$4:X972=CONCATENATE(C973,"_ACB")),ROW(V$4:V972))),0)</f>
        <v>0</v>
      </c>
    </row>
    <row r="974" spans="1:29" x14ac:dyDescent="0.25">
      <c r="A974" s="20">
        <v>42034</v>
      </c>
      <c r="B974" t="s">
        <v>43</v>
      </c>
      <c r="C974" t="s">
        <v>99</v>
      </c>
      <c r="D974" s="3">
        <v>17.649999999999999</v>
      </c>
      <c r="M974" s="21">
        <f t="shared" si="123"/>
        <v>17.649999999999999</v>
      </c>
      <c r="N974" s="8">
        <f t="shared" si="129"/>
        <v>17.649999999999999</v>
      </c>
      <c r="O974" s="25">
        <f t="shared" si="126"/>
        <v>49887.019999999917</v>
      </c>
      <c r="P974" s="8">
        <f t="shared" si="125"/>
        <v>0</v>
      </c>
      <c r="Q974" s="4">
        <f>IF(AND(S974&gt;=[1]eRRSP_Rpt!$C$6,S974&lt;=[1]eRRSP_Rpt!$C$7),1,0)</f>
        <v>1</v>
      </c>
      <c r="R974" s="4"/>
      <c r="S974" s="4">
        <f t="shared" si="122"/>
        <v>2015</v>
      </c>
      <c r="T974" s="4"/>
      <c r="U974" s="4" t="str">
        <f t="shared" si="124"/>
        <v>IntIncTD INV SAV ACCT  /NL'FRAC</v>
      </c>
      <c r="V974" s="23">
        <f>IFERROR(IF(AND(AB974&gt;0,B974&lt;&gt;"Sell"),(AA974-SUMIF(C$4:C973,C974,AC$4:AC974))/AB974,0),"")</f>
        <v>-10</v>
      </c>
      <c r="W974" s="24" t="str">
        <f t="shared" si="128"/>
        <v/>
      </c>
      <c r="X974" s="25" t="str">
        <f t="shared" si="127"/>
        <v>TD INV SAV ACCT  /NL'FRAC_ACB</v>
      </c>
      <c r="Y974" s="10" t="str">
        <f>IF(S975&lt;&gt;eRRSP_Tx_Table[[#This Row],[Year]],SUMIFS($W$4:$W974,$S$4:$S974,eRRSP_Tx_Table[[#This Row],[Year]],$W$4:$W974,"&gt;0"),"")</f>
        <v/>
      </c>
      <c r="Z974" s="10" t="str">
        <f>IF(S975&lt;&gt;eRRSP_Tx_Table[[#This Row],[Year]],SUMIFS($W$4:$W974,$S$4:$S974,eRRSP_Tx_Table[[#This Row],[Year]],$W$4:$W974,"&lt;0"),"")</f>
        <v/>
      </c>
      <c r="AA974" s="3">
        <f>(SUMIF($U$4:$U974,CONCATENATE("Buy",$C974),$N$4:$N974)+SUMIF($U$4:$U974,CONCATENATE("ReinvDiv",$C974),$N$4:$N974))</f>
        <v>-30900</v>
      </c>
      <c r="AB974">
        <f>(SUMIF($U$4:$U974,CONCATENATE("Buy",$C974),$F$4:$F974)+SUMIF($U$4:$U974,CONCATENATE("ReinvDiv",$C974),$F$4:$F974)+SUMIF($U$4:$U974,CONCATENATE("StkSplit",$C974),$F$4:$F974)-SUMIF($U$4:$U974,CONCATENATE("Sell",$C974),$F$4:$F974))</f>
        <v>1790</v>
      </c>
      <c r="AC974" s="3">
        <f>IF(B974="Sell",F974*INDEX(V:V,LOOKUP(2,1/(X$4:X973=CONCATENATE(C974,"_ACB")),ROW(V$4:V973))),0)</f>
        <v>0</v>
      </c>
    </row>
    <row r="975" spans="1:29" x14ac:dyDescent="0.25">
      <c r="A975" s="20">
        <v>42039</v>
      </c>
      <c r="B975" t="s">
        <v>42</v>
      </c>
      <c r="C975" t="s">
        <v>105</v>
      </c>
      <c r="D975" s="3">
        <v>129.24</v>
      </c>
      <c r="M975" s="21">
        <f t="shared" si="123"/>
        <v>129.24</v>
      </c>
      <c r="N975" s="8">
        <f t="shared" si="129"/>
        <v>129.24</v>
      </c>
      <c r="O975" s="25">
        <f t="shared" si="126"/>
        <v>50016.259999999915</v>
      </c>
      <c r="P975" s="8">
        <f t="shared" si="125"/>
        <v>0</v>
      </c>
      <c r="Q975" s="4">
        <f>IF(AND(S975&gt;=[1]eRRSP_Rpt!$C$6,S975&lt;=[1]eRRSP_Rpt!$C$7),1,0)</f>
        <v>1</v>
      </c>
      <c r="R975" s="4"/>
      <c r="S975" s="4">
        <f t="shared" si="122"/>
        <v>2015</v>
      </c>
      <c r="T975" s="4"/>
      <c r="U975" s="4" t="str">
        <f t="shared" si="124"/>
        <v>DivVanguard CDN S/T Corp Bond</v>
      </c>
      <c r="V975" s="23">
        <f>IFERROR(IF(AND(AB975&gt;0,B975&lt;&gt;"Sell"),(AA975-SUMIF(C$4:C974,C975,AC$4:AC975))/AB975,0),"")</f>
        <v>-25.164273504273506</v>
      </c>
      <c r="W975" s="24" t="str">
        <f t="shared" si="128"/>
        <v/>
      </c>
      <c r="X975" s="25" t="str">
        <f t="shared" si="127"/>
        <v>Vanguard CDN S/T Corp Bond_ACB</v>
      </c>
      <c r="Y975" s="10" t="str">
        <f>IF(S976&lt;&gt;eRRSP_Tx_Table[[#This Row],[Year]],SUMIFS($W$4:$W975,$S$4:$S975,eRRSP_Tx_Table[[#This Row],[Year]],$W$4:$W975,"&gt;0"),"")</f>
        <v/>
      </c>
      <c r="Z975" s="10" t="str">
        <f>IF(S976&lt;&gt;eRRSP_Tx_Table[[#This Row],[Year]],SUMIFS($W$4:$W975,$S$4:$S975,eRRSP_Tx_Table[[#This Row],[Year]],$W$4:$W975,"&lt;0"),"")</f>
        <v/>
      </c>
      <c r="AA975" s="3">
        <f>(SUMIF($U$4:$U975,CONCATENATE("Buy",$C975),$N$4:$N975)+SUMIF($U$4:$U975,CONCATENATE("ReinvDiv",$C975),$N$4:$N975))</f>
        <v>-41219.08</v>
      </c>
      <c r="AB975">
        <f>(SUMIF($U$4:$U975,CONCATENATE("Buy",$C975),$F$4:$F975)+SUMIF($U$4:$U975,CONCATENATE("ReinvDiv",$C975),$F$4:$F975)+SUMIF($U$4:$U975,CONCATENATE("StkSplit",$C975),$F$4:$F975)-SUMIF($U$4:$U975,CONCATENATE("Sell",$C975),$F$4:$F975))</f>
        <v>1638</v>
      </c>
      <c r="AC975" s="3">
        <f>IF(B975="Sell",F975*INDEX(V:V,LOOKUP(2,1/(X$4:X974=CONCATENATE(C975,"_ACB")),ROW(V$4:V974))),0)</f>
        <v>0</v>
      </c>
    </row>
    <row r="976" spans="1:29" x14ac:dyDescent="0.25">
      <c r="A976" s="20">
        <v>42051</v>
      </c>
      <c r="B976" t="s">
        <v>43</v>
      </c>
      <c r="C976" t="s">
        <v>36</v>
      </c>
      <c r="D976" s="3">
        <v>1.05</v>
      </c>
      <c r="M976" s="21">
        <f t="shared" si="123"/>
        <v>1.05</v>
      </c>
      <c r="N976" s="8">
        <f t="shared" si="129"/>
        <v>1.05</v>
      </c>
      <c r="O976" s="25">
        <f t="shared" si="126"/>
        <v>50017.309999999918</v>
      </c>
      <c r="P976" s="8">
        <f t="shared" si="125"/>
        <v>0</v>
      </c>
      <c r="Q976" s="4">
        <f>IF(AND(S976&gt;=[1]eRRSP_Rpt!$C$6,S976&lt;=[1]eRRSP_Rpt!$C$7),1,0)</f>
        <v>1</v>
      </c>
      <c r="R976" s="4"/>
      <c r="S976" s="4">
        <f t="shared" si="122"/>
        <v>2015</v>
      </c>
      <c r="T976" s="4"/>
      <c r="U976" s="4" t="str">
        <f t="shared" si="124"/>
        <v>IntIncTDW</v>
      </c>
      <c r="V976" s="23">
        <f>IFERROR(IF(AND(AB976&gt;0,B976&lt;&gt;"Sell"),(AA976-SUMIF(C$4:C975,C976,AC$4:AC976))/AB976,0),"")</f>
        <v>0</v>
      </c>
      <c r="W976" s="24" t="str">
        <f t="shared" si="128"/>
        <v/>
      </c>
      <c r="X976" s="25" t="str">
        <f t="shared" si="127"/>
        <v/>
      </c>
      <c r="Y976" s="10" t="str">
        <f>IF(S977&lt;&gt;eRRSP_Tx_Table[[#This Row],[Year]],SUMIFS($W$4:$W976,$S$4:$S976,eRRSP_Tx_Table[[#This Row],[Year]],$W$4:$W976,"&gt;0"),"")</f>
        <v/>
      </c>
      <c r="Z976" s="10" t="str">
        <f>IF(S977&lt;&gt;eRRSP_Tx_Table[[#This Row],[Year]],SUMIFS($W$4:$W976,$S$4:$S976,eRRSP_Tx_Table[[#This Row],[Year]],$W$4:$W976,"&lt;0"),"")</f>
        <v/>
      </c>
      <c r="AA976" s="3">
        <f>(SUMIF($U$4:$U976,CONCATENATE("Buy",$C976),$N$4:$N976)+SUMIF($U$4:$U976,CONCATENATE("ReinvDiv",$C976),$N$4:$N976))</f>
        <v>0</v>
      </c>
      <c r="AB976">
        <f>(SUMIF($U$4:$U976,CONCATENATE("Buy",$C976),$F$4:$F976)+SUMIF($U$4:$U976,CONCATENATE("ReinvDiv",$C976),$F$4:$F976)+SUMIF($U$4:$U976,CONCATENATE("StkSplit",$C976),$F$4:$F976)-SUMIF($U$4:$U976,CONCATENATE("Sell",$C976),$F$4:$F976))</f>
        <v>0</v>
      </c>
      <c r="AC976" s="3">
        <f>IF(B976="Sell",F976*INDEX(V:V,LOOKUP(2,1/(X$4:X975=CONCATENATE(C976,"_ACB")),ROW(V$4:V975))),0)</f>
        <v>0</v>
      </c>
    </row>
    <row r="977" spans="1:29" x14ac:dyDescent="0.25">
      <c r="A977" s="20">
        <v>42062</v>
      </c>
      <c r="B977" t="s">
        <v>43</v>
      </c>
      <c r="C977" t="s">
        <v>36</v>
      </c>
      <c r="D977" s="3">
        <v>13.73</v>
      </c>
      <c r="M977" s="21">
        <f t="shared" si="123"/>
        <v>13.73</v>
      </c>
      <c r="N977" s="8">
        <f t="shared" si="129"/>
        <v>13.73</v>
      </c>
      <c r="O977" s="25">
        <f t="shared" si="126"/>
        <v>50031.039999999921</v>
      </c>
      <c r="P977" s="8">
        <f t="shared" si="125"/>
        <v>0</v>
      </c>
      <c r="Q977" s="4">
        <f>IF(AND(S977&gt;=[1]eRRSP_Rpt!$C$6,S977&lt;=[1]eRRSP_Rpt!$C$7),1,0)</f>
        <v>1</v>
      </c>
      <c r="R977" s="4"/>
      <c r="S977" s="4">
        <f t="shared" si="122"/>
        <v>2015</v>
      </c>
      <c r="T977" s="4"/>
      <c r="U977" s="4" t="str">
        <f t="shared" si="124"/>
        <v>IntIncTDW</v>
      </c>
      <c r="V977" s="23">
        <f>IFERROR(IF(AND(AB977&gt;0,B977&lt;&gt;"Sell"),(AA977-SUMIF(C$4:C976,C977,AC$4:AC977))/AB977,0),"")</f>
        <v>0</v>
      </c>
      <c r="W977" s="24" t="str">
        <f t="shared" si="128"/>
        <v/>
      </c>
      <c r="X977" s="25" t="str">
        <f t="shared" si="127"/>
        <v/>
      </c>
      <c r="Y977" s="10" t="str">
        <f>IF(S978&lt;&gt;eRRSP_Tx_Table[[#This Row],[Year]],SUMIFS($W$4:$W977,$S$4:$S977,eRRSP_Tx_Table[[#This Row],[Year]],$W$4:$W977,"&gt;0"),"")</f>
        <v/>
      </c>
      <c r="Z977" s="10" t="str">
        <f>IF(S978&lt;&gt;eRRSP_Tx_Table[[#This Row],[Year]],SUMIFS($W$4:$W977,$S$4:$S977,eRRSP_Tx_Table[[#This Row],[Year]],$W$4:$W977,"&lt;0"),"")</f>
        <v/>
      </c>
      <c r="AA977" s="3">
        <f>(SUMIF($U$4:$U977,CONCATENATE("Buy",$C977),$N$4:$N977)+SUMIF($U$4:$U977,CONCATENATE("ReinvDiv",$C977),$N$4:$N977))</f>
        <v>0</v>
      </c>
      <c r="AB977">
        <f>(SUMIF($U$4:$U977,CONCATENATE("Buy",$C977),$F$4:$F977)+SUMIF($U$4:$U977,CONCATENATE("ReinvDiv",$C977),$F$4:$F977)+SUMIF($U$4:$U977,CONCATENATE("StkSplit",$C977),$F$4:$F977)-SUMIF($U$4:$U977,CONCATENATE("Sell",$C977),$F$4:$F977))</f>
        <v>0</v>
      </c>
      <c r="AC977" s="3">
        <f>IF(B977="Sell",F977*INDEX(V:V,LOOKUP(2,1/(X$4:X976=CONCATENATE(C977,"_ACB")),ROW(V$4:V976))),0)</f>
        <v>0</v>
      </c>
    </row>
    <row r="978" spans="1:29" x14ac:dyDescent="0.25">
      <c r="A978" s="20">
        <v>42067</v>
      </c>
      <c r="B978" t="s">
        <v>42</v>
      </c>
      <c r="C978" t="s">
        <v>105</v>
      </c>
      <c r="D978" s="3">
        <v>96.66</v>
      </c>
      <c r="M978" s="21">
        <f t="shared" si="123"/>
        <v>96.66</v>
      </c>
      <c r="N978" s="8">
        <f t="shared" si="129"/>
        <v>96.66</v>
      </c>
      <c r="O978" s="25">
        <f t="shared" si="126"/>
        <v>50127.699999999924</v>
      </c>
      <c r="P978" s="8">
        <f t="shared" si="125"/>
        <v>0</v>
      </c>
      <c r="Q978" s="4">
        <f>IF(AND(S978&gt;=[1]eRRSP_Rpt!$C$6,S978&lt;=[1]eRRSP_Rpt!$C$7),1,0)</f>
        <v>1</v>
      </c>
      <c r="R978" s="4"/>
      <c r="S978" s="4">
        <f t="shared" si="122"/>
        <v>2015</v>
      </c>
      <c r="T978" s="4"/>
      <c r="U978" s="4" t="str">
        <f t="shared" si="124"/>
        <v>DivVanguard CDN S/T Corp Bond</v>
      </c>
      <c r="V978" s="23">
        <f>IFERROR(IF(AND(AB978&gt;0,B978&lt;&gt;"Sell"),(AA978-SUMIF(C$4:C977,C978,AC$4:AC978))/AB978,0),"")</f>
        <v>-25.164273504273506</v>
      </c>
      <c r="W978" s="24" t="str">
        <f t="shared" si="128"/>
        <v/>
      </c>
      <c r="X978" s="25" t="str">
        <f t="shared" si="127"/>
        <v>Vanguard CDN S/T Corp Bond_ACB</v>
      </c>
      <c r="Y978" s="10" t="str">
        <f>IF(S979&lt;&gt;eRRSP_Tx_Table[[#This Row],[Year]],SUMIFS($W$4:$W978,$S$4:$S978,eRRSP_Tx_Table[[#This Row],[Year]],$W$4:$W978,"&gt;0"),"")</f>
        <v/>
      </c>
      <c r="Z978" s="10" t="str">
        <f>IF(S979&lt;&gt;eRRSP_Tx_Table[[#This Row],[Year]],SUMIFS($W$4:$W978,$S$4:$S978,eRRSP_Tx_Table[[#This Row],[Year]],$W$4:$W978,"&lt;0"),"")</f>
        <v/>
      </c>
      <c r="AA978" s="3">
        <f>(SUMIF($U$4:$U978,CONCATENATE("Buy",$C978),$N$4:$N978)+SUMIF($U$4:$U978,CONCATENATE("ReinvDiv",$C978),$N$4:$N978))</f>
        <v>-41219.08</v>
      </c>
      <c r="AB978">
        <f>(SUMIF($U$4:$U978,CONCATENATE("Buy",$C978),$F$4:$F978)+SUMIF($U$4:$U978,CONCATENATE("ReinvDiv",$C978),$F$4:$F978)+SUMIF($U$4:$U978,CONCATENATE("StkSplit",$C978),$F$4:$F978)-SUMIF($U$4:$U978,CONCATENATE("Sell",$C978),$F$4:$F978))</f>
        <v>1638</v>
      </c>
      <c r="AC978" s="3">
        <f>IF(B978="Sell",F978*INDEX(V:V,LOOKUP(2,1/(X$4:X977=CONCATENATE(C978,"_ACB")),ROW(V$4:V977))),0)</f>
        <v>0</v>
      </c>
    </row>
    <row r="979" spans="1:29" x14ac:dyDescent="0.25">
      <c r="A979" s="20">
        <v>42072</v>
      </c>
      <c r="B979" t="s">
        <v>40</v>
      </c>
      <c r="C979" t="s">
        <v>105</v>
      </c>
      <c r="D979" s="3">
        <v>21284.19</v>
      </c>
      <c r="E979">
        <v>25.26</v>
      </c>
      <c r="F979" s="3">
        <v>843</v>
      </c>
      <c r="G979">
        <v>9.99</v>
      </c>
      <c r="M979" s="21">
        <f t="shared" si="123"/>
        <v>21294.18</v>
      </c>
      <c r="N979" s="8">
        <f t="shared" si="129"/>
        <v>21284.19</v>
      </c>
      <c r="O979" s="25">
        <f t="shared" si="126"/>
        <v>71411.889999999927</v>
      </c>
      <c r="P979" s="8">
        <f t="shared" si="125"/>
        <v>0</v>
      </c>
      <c r="Q979" s="4">
        <f>IF(AND(S979&gt;=[1]eRRSP_Rpt!$C$6,S979&lt;=[1]eRRSP_Rpt!$C$7),1,0)</f>
        <v>1</v>
      </c>
      <c r="R979" s="4"/>
      <c r="S979" s="4">
        <f t="shared" si="122"/>
        <v>2015</v>
      </c>
      <c r="T979" s="4"/>
      <c r="U979" s="4" t="str">
        <f t="shared" si="124"/>
        <v>SellVanguard CDN S/T Corp Bond</v>
      </c>
      <c r="V979" s="23">
        <f>IFERROR(IF(AND(AB979&gt;0,B979&lt;&gt;"Sell"),(AA979-SUMIF(C$4:C978,C979,AC$4:AC979))/AB979,0),"")</f>
        <v>0</v>
      </c>
      <c r="W979" s="24">
        <f t="shared" si="128"/>
        <v>70.707435897431424</v>
      </c>
      <c r="X979" s="25" t="str">
        <f t="shared" si="127"/>
        <v/>
      </c>
      <c r="Y979" s="10" t="str">
        <f>IF(S980&lt;&gt;eRRSP_Tx_Table[[#This Row],[Year]],SUMIFS($W$4:$W979,$S$4:$S979,eRRSP_Tx_Table[[#This Row],[Year]],$W$4:$W979,"&gt;0"),"")</f>
        <v/>
      </c>
      <c r="Z979" s="10" t="str">
        <f>IF(S980&lt;&gt;eRRSP_Tx_Table[[#This Row],[Year]],SUMIFS($W$4:$W979,$S$4:$S979,eRRSP_Tx_Table[[#This Row],[Year]],$W$4:$W979,"&lt;0"),"")</f>
        <v/>
      </c>
      <c r="AA979" s="3">
        <f>(SUMIF($U$4:$U979,CONCATENATE("Buy",$C979),$N$4:$N979)+SUMIF($U$4:$U979,CONCATENATE("ReinvDiv",$C979),$N$4:$N979))</f>
        <v>-41219.08</v>
      </c>
      <c r="AB979">
        <f>(SUMIF($U$4:$U979,CONCATENATE("Buy",$C979),$F$4:$F979)+SUMIF($U$4:$U979,CONCATENATE("ReinvDiv",$C979),$F$4:$F979)+SUMIF($U$4:$U979,CONCATENATE("StkSplit",$C979),$F$4:$F979)-SUMIF($U$4:$U979,CONCATENATE("Sell",$C979),$F$4:$F979))</f>
        <v>795</v>
      </c>
      <c r="AC979" s="3">
        <f>IF(B979="Sell",F979*INDEX(V:V,LOOKUP(2,1/(X$4:X978=CONCATENATE(C979,"_ACB")),ROW(V$4:V978))),0)</f>
        <v>-21213.482564102567</v>
      </c>
    </row>
    <row r="980" spans="1:29" x14ac:dyDescent="0.25">
      <c r="A980" s="20">
        <v>42072</v>
      </c>
      <c r="B980" t="s">
        <v>32</v>
      </c>
      <c r="C980" t="s">
        <v>96</v>
      </c>
      <c r="D980" s="3">
        <v>8100</v>
      </c>
      <c r="E980">
        <v>24.540026000000001</v>
      </c>
      <c r="F980" s="3">
        <v>330.07299999999998</v>
      </c>
      <c r="M980" s="21">
        <f t="shared" si="123"/>
        <v>8100</v>
      </c>
      <c r="N980" s="8">
        <f t="shared" si="129"/>
        <v>-8100</v>
      </c>
      <c r="O980" s="25">
        <f t="shared" si="126"/>
        <v>63311.889999999927</v>
      </c>
      <c r="P980" s="8">
        <f t="shared" si="125"/>
        <v>0</v>
      </c>
      <c r="Q980" s="4">
        <f>IF(AND(S980&gt;=[1]eRRSP_Rpt!$C$6,S980&lt;=[1]eRRSP_Rpt!$C$7),1,0)</f>
        <v>1</v>
      </c>
      <c r="R980" s="4"/>
      <c r="S980" s="4">
        <f t="shared" si="122"/>
        <v>2015</v>
      </c>
      <c r="T980" s="4"/>
      <c r="U980" s="4" t="str">
        <f t="shared" si="124"/>
        <v>BuyTD Canadian Index - e</v>
      </c>
      <c r="V980" s="23">
        <f>IFERROR(IF(AND(AB980&gt;0,B980&lt;&gt;"Sell"),(AA980-SUMIF(C$4:C979,C980,AC$4:AC980))/AB980,0),"")</f>
        <v>-22.104876708271625</v>
      </c>
      <c r="W980" s="24" t="str">
        <f t="shared" si="128"/>
        <v/>
      </c>
      <c r="X980" s="25" t="str">
        <f t="shared" si="127"/>
        <v>TD Canadian Index - e_ACB</v>
      </c>
      <c r="Y980" s="10" t="str">
        <f>IF(S981&lt;&gt;eRRSP_Tx_Table[[#This Row],[Year]],SUMIFS($W$4:$W980,$S$4:$S980,eRRSP_Tx_Table[[#This Row],[Year]],$W$4:$W980,"&gt;0"),"")</f>
        <v/>
      </c>
      <c r="Z980" s="10" t="str">
        <f>IF(S981&lt;&gt;eRRSP_Tx_Table[[#This Row],[Year]],SUMIFS($W$4:$W980,$S$4:$S980,eRRSP_Tx_Table[[#This Row],[Year]],$W$4:$W980,"&lt;0"),"")</f>
        <v/>
      </c>
      <c r="AA980" s="3">
        <f>(SUMIF($U$4:$U980,CONCATENATE("Buy",$C980),$N$4:$N980)+SUMIF($U$4:$U980,CONCATENATE("ReinvDiv",$C980),$N$4:$N980))</f>
        <v>-34833.78</v>
      </c>
      <c r="AB980">
        <f>(SUMIF($U$4:$U980,CONCATENATE("Buy",$C980),$F$4:$F980)+SUMIF($U$4:$U980,CONCATENATE("ReinvDiv",$C980),$F$4:$F980)+SUMIF($U$4:$U980,CONCATENATE("StkSplit",$C980),$F$4:$F980)-SUMIF($U$4:$U980,CONCATENATE("Sell",$C980),$F$4:$F980))</f>
        <v>1096.1730000000002</v>
      </c>
      <c r="AC980" s="3">
        <f>IF(B980="Sell",F980*INDEX(V:V,LOOKUP(2,1/(X$4:X979=CONCATENATE(C980,"_ACB")),ROW(V$4:V979))),0)</f>
        <v>0</v>
      </c>
    </row>
    <row r="981" spans="1:29" x14ac:dyDescent="0.25">
      <c r="A981" s="20">
        <v>42074</v>
      </c>
      <c r="B981" t="s">
        <v>32</v>
      </c>
      <c r="C981" t="s">
        <v>97</v>
      </c>
      <c r="D981" s="3">
        <v>20778</v>
      </c>
      <c r="E981">
        <v>12.74</v>
      </c>
      <c r="F981" s="3">
        <v>1630.9259999999999</v>
      </c>
      <c r="M981" s="21">
        <f t="shared" si="123"/>
        <v>20778</v>
      </c>
      <c r="N981" s="8">
        <f t="shared" si="129"/>
        <v>-20778</v>
      </c>
      <c r="O981" s="25">
        <f t="shared" si="126"/>
        <v>42533.889999999927</v>
      </c>
      <c r="P981" s="8">
        <f t="shared" si="125"/>
        <v>0</v>
      </c>
      <c r="Q981" s="4">
        <f>IF(AND(S981&gt;=[1]eRRSP_Rpt!$C$6,S981&lt;=[1]eRRSP_Rpt!$C$7),1,0)</f>
        <v>1</v>
      </c>
      <c r="R981" s="4"/>
      <c r="S981" s="4">
        <f t="shared" si="122"/>
        <v>2015</v>
      </c>
      <c r="T981" s="4"/>
      <c r="U981" s="4" t="str">
        <f t="shared" si="124"/>
        <v>BuyTD International Index - e</v>
      </c>
      <c r="V981" s="23">
        <f>IFERROR(IF(AND(AB981&gt;0,B981&lt;&gt;"Sell"),(AA981-SUMIF(C$4:C980,C981,AC$4:AC981))/AB981,0),"")</f>
        <v>-11.02385345797833</v>
      </c>
      <c r="W981" s="24" t="str">
        <f t="shared" si="128"/>
        <v/>
      </c>
      <c r="X981" s="25" t="str">
        <f t="shared" si="127"/>
        <v>TD International Index - e_ACB</v>
      </c>
      <c r="Y981" s="10" t="str">
        <f>IF(S982&lt;&gt;eRRSP_Tx_Table[[#This Row],[Year]],SUMIFS($W$4:$W981,$S$4:$S981,eRRSP_Tx_Table[[#This Row],[Year]],$W$4:$W981,"&gt;0"),"")</f>
        <v/>
      </c>
      <c r="Z981" s="10" t="str">
        <f>IF(S982&lt;&gt;eRRSP_Tx_Table[[#This Row],[Year]],SUMIFS($W$4:$W981,$S$4:$S981,eRRSP_Tx_Table[[#This Row],[Year]],$W$4:$W981,"&lt;0"),"")</f>
        <v/>
      </c>
      <c r="AA981" s="3">
        <f>(SUMIF($U$4:$U981,CONCATENATE("Buy",$C981),$N$4:$N981)+SUMIF($U$4:$U981,CONCATENATE("ReinvDiv",$C981),$N$4:$N981))</f>
        <v>-50677.34</v>
      </c>
      <c r="AB981">
        <f>(SUMIF($U$4:$U981,CONCATENATE("Buy",$C981),$F$4:$F981)+SUMIF($U$4:$U981,CONCATENATE("ReinvDiv",$C981),$F$4:$F981)+SUMIF($U$4:$U981,CONCATENATE("StkSplit",$C981),$F$4:$F981)-SUMIF($U$4:$U981,CONCATENATE("Sell",$C981),$F$4:$F981))</f>
        <v>2724.0399999999995</v>
      </c>
      <c r="AC981" s="3">
        <f>IF(B981="Sell",F981*INDEX(V:V,LOOKUP(2,1/(X$4:X980=CONCATENATE(C981,"_ACB")),ROW(V$4:V980))),0)</f>
        <v>0</v>
      </c>
    </row>
    <row r="982" spans="1:29" x14ac:dyDescent="0.25">
      <c r="A982" s="20">
        <v>42074</v>
      </c>
      <c r="B982" t="s">
        <v>32</v>
      </c>
      <c r="C982" t="s">
        <v>104</v>
      </c>
      <c r="D982" s="3">
        <v>42002.01</v>
      </c>
      <c r="E982">
        <v>37.26</v>
      </c>
      <c r="F982" s="3">
        <v>1127</v>
      </c>
      <c r="G982">
        <v>9.99</v>
      </c>
      <c r="M982" s="21">
        <f t="shared" si="123"/>
        <v>41992.02</v>
      </c>
      <c r="N982" s="8">
        <f t="shared" si="129"/>
        <v>-42002.009999999995</v>
      </c>
      <c r="O982" s="25">
        <f t="shared" si="126"/>
        <v>531.8799999999319</v>
      </c>
      <c r="P982" s="8">
        <f t="shared" si="125"/>
        <v>0</v>
      </c>
      <c r="Q982" s="4">
        <f>IF(AND(S982&gt;=[1]eRRSP_Rpt!$C$6,S982&lt;=[1]eRRSP_Rpt!$C$7),1,0)</f>
        <v>1</v>
      </c>
      <c r="R982" s="4"/>
      <c r="S982" s="4">
        <f t="shared" si="122"/>
        <v>2015</v>
      </c>
      <c r="T982" s="4"/>
      <c r="U982" s="4" t="str">
        <f t="shared" si="124"/>
        <v>BuyVanguard US Total Market ETF</v>
      </c>
      <c r="V982" s="23">
        <f>IFERROR(IF(AND(AB982&gt;0,B982&lt;&gt;"Sell"),(AA982-SUMIF(C$4:C981,C982,AC$4:AC982))/AB982,0),"")</f>
        <v>-31.343779980812279</v>
      </c>
      <c r="W982" s="24" t="str">
        <f t="shared" si="128"/>
        <v/>
      </c>
      <c r="X982" s="25" t="str">
        <f t="shared" si="127"/>
        <v>Vanguard US Total Market ETF_ACB</v>
      </c>
      <c r="Y982" s="10" t="str">
        <f>IF(S983&lt;&gt;eRRSP_Tx_Table[[#This Row],[Year]],SUMIFS($W$4:$W982,$S$4:$S982,eRRSP_Tx_Table[[#This Row],[Year]],$W$4:$W982,"&gt;0"),"")</f>
        <v/>
      </c>
      <c r="Z982" s="10" t="str">
        <f>IF(S983&lt;&gt;eRRSP_Tx_Table[[#This Row],[Year]],SUMIFS($W$4:$W982,$S$4:$S982,eRRSP_Tx_Table[[#This Row],[Year]],$W$4:$W982,"&lt;0"),"")</f>
        <v/>
      </c>
      <c r="AA982" s="3">
        <f>(SUMIF($U$4:$U982,CONCATENATE("Buy",$C982),$N$4:$N982)+SUMIF($U$4:$U982,CONCATENATE("ReinvDiv",$C982),$N$4:$N982))</f>
        <v>-98012</v>
      </c>
      <c r="AB982">
        <f>(SUMIF($U$4:$U982,CONCATENATE("Buy",$C982),$F$4:$F982)+SUMIF($U$4:$U982,CONCATENATE("ReinvDiv",$C982),$F$4:$F982)+SUMIF($U$4:$U982,CONCATENATE("StkSplit",$C982),$F$4:$F982)-SUMIF($U$4:$U982,CONCATENATE("Sell",$C982),$F$4:$F982))</f>
        <v>3127</v>
      </c>
      <c r="AC982" s="3">
        <f>IF(B982="Sell",F982*INDEX(V:V,LOOKUP(2,1/(X$4:X981=CONCATENATE(C982,"_ACB")),ROW(V$4:V981))),0)</f>
        <v>0</v>
      </c>
    </row>
    <row r="983" spans="1:29" x14ac:dyDescent="0.25">
      <c r="A983" s="20">
        <v>42079</v>
      </c>
      <c r="B983" t="s">
        <v>43</v>
      </c>
      <c r="C983" t="s">
        <v>36</v>
      </c>
      <c r="D983" s="3">
        <v>0.8</v>
      </c>
      <c r="M983" s="21">
        <f t="shared" si="123"/>
        <v>0.8</v>
      </c>
      <c r="N983" s="8">
        <f t="shared" si="129"/>
        <v>0.8</v>
      </c>
      <c r="O983" s="25">
        <f t="shared" si="126"/>
        <v>532.67999999993185</v>
      </c>
      <c r="P983" s="8">
        <f t="shared" si="125"/>
        <v>0</v>
      </c>
      <c r="Q983" s="4">
        <f>IF(AND(S983&gt;=[1]eRRSP_Rpt!$C$6,S983&lt;=[1]eRRSP_Rpt!$C$7),1,0)</f>
        <v>1</v>
      </c>
      <c r="R983" s="4"/>
      <c r="S983" s="4">
        <f t="shared" si="122"/>
        <v>2015</v>
      </c>
      <c r="T983" s="4"/>
      <c r="U983" s="4" t="str">
        <f t="shared" si="124"/>
        <v>IntIncTDW</v>
      </c>
      <c r="V983" s="23">
        <f>IFERROR(IF(AND(AB983&gt;0,B983&lt;&gt;"Sell"),(AA983-SUMIF(C$4:C982,C983,AC$4:AC983))/AB983,0),"")</f>
        <v>0</v>
      </c>
      <c r="W983" s="24" t="str">
        <f t="shared" si="128"/>
        <v/>
      </c>
      <c r="X983" s="25" t="str">
        <f t="shared" si="127"/>
        <v/>
      </c>
      <c r="Y983" s="10" t="str">
        <f>IF(S984&lt;&gt;eRRSP_Tx_Table[[#This Row],[Year]],SUMIFS($W$4:$W983,$S$4:$S983,eRRSP_Tx_Table[[#This Row],[Year]],$W$4:$W983,"&gt;0"),"")</f>
        <v/>
      </c>
      <c r="Z983" s="10" t="str">
        <f>IF(S984&lt;&gt;eRRSP_Tx_Table[[#This Row],[Year]],SUMIFS($W$4:$W983,$S$4:$S983,eRRSP_Tx_Table[[#This Row],[Year]],$W$4:$W983,"&lt;0"),"")</f>
        <v/>
      </c>
      <c r="AA983" s="3">
        <f>(SUMIF($U$4:$U983,CONCATENATE("Buy",$C983),$N$4:$N983)+SUMIF($U$4:$U983,CONCATENATE("ReinvDiv",$C983),$N$4:$N983))</f>
        <v>0</v>
      </c>
      <c r="AB983">
        <f>(SUMIF($U$4:$U983,CONCATENATE("Buy",$C983),$F$4:$F983)+SUMIF($U$4:$U983,CONCATENATE("ReinvDiv",$C983),$F$4:$F983)+SUMIF($U$4:$U983,CONCATENATE("StkSplit",$C983),$F$4:$F983)-SUMIF($U$4:$U983,CONCATENATE("Sell",$C983),$F$4:$F983))</f>
        <v>0</v>
      </c>
      <c r="AC983" s="3">
        <f>IF(B983="Sell",F983*INDEX(V:V,LOOKUP(2,1/(X$4:X982=CONCATENATE(C983,"_ACB")),ROW(V$4:V982))),0)</f>
        <v>0</v>
      </c>
    </row>
    <row r="984" spans="1:29" x14ac:dyDescent="0.25">
      <c r="A984" s="20">
        <v>42093</v>
      </c>
      <c r="B984" t="s">
        <v>41</v>
      </c>
      <c r="C984" t="s">
        <v>97</v>
      </c>
      <c r="D984" s="3">
        <v>96.61</v>
      </c>
      <c r="E984">
        <f>eRRSP_Tx_Table[[#This Row],[Amount]]/eRRSP_Tx_Table[[#This Row],[Quantity]]</f>
        <v>12.85049215216813</v>
      </c>
      <c r="F984" s="3">
        <v>7.5179999999999998</v>
      </c>
      <c r="M984" s="21">
        <f t="shared" si="123"/>
        <v>96.61</v>
      </c>
      <c r="N984" s="8">
        <f t="shared" si="129"/>
        <v>-96.61</v>
      </c>
      <c r="O984" s="25">
        <f t="shared" si="126"/>
        <v>532.67999999993185</v>
      </c>
      <c r="P984" s="8">
        <f t="shared" si="125"/>
        <v>0</v>
      </c>
      <c r="Q984" s="4">
        <f>IF(AND(S984&gt;=[1]eRRSP_Rpt!$C$6,S984&lt;=[1]eRRSP_Rpt!$C$7),1,0)</f>
        <v>1</v>
      </c>
      <c r="R984" s="4"/>
      <c r="S984" s="4">
        <f t="shared" si="122"/>
        <v>2015</v>
      </c>
      <c r="T984" s="4"/>
      <c r="U984" s="4" t="str">
        <f t="shared" si="124"/>
        <v>ReinvDivTD International Index - e</v>
      </c>
      <c r="V984" s="23">
        <f>IFERROR(IF(AND(AB984&gt;0,B984&lt;&gt;"Sell"),(AA984-SUMIF(C$4:C983,C984,AC$4:AC984))/AB984,0),"")</f>
        <v>-11.028880870796552</v>
      </c>
      <c r="W984" s="24" t="str">
        <f t="shared" si="128"/>
        <v/>
      </c>
      <c r="X984" s="25" t="str">
        <f t="shared" si="127"/>
        <v>TD International Index - e_ACB</v>
      </c>
      <c r="Y984" s="10" t="str">
        <f>IF(S985&lt;&gt;eRRSP_Tx_Table[[#This Row],[Year]],SUMIFS($W$4:$W984,$S$4:$S984,eRRSP_Tx_Table[[#This Row],[Year]],$W$4:$W984,"&gt;0"),"")</f>
        <v/>
      </c>
      <c r="Z984" s="10" t="str">
        <f>IF(S985&lt;&gt;eRRSP_Tx_Table[[#This Row],[Year]],SUMIFS($W$4:$W984,$S$4:$S984,eRRSP_Tx_Table[[#This Row],[Year]],$W$4:$W984,"&lt;0"),"")</f>
        <v/>
      </c>
      <c r="AA984" s="3">
        <f>(SUMIF($U$4:$U984,CONCATENATE("Buy",$C984),$N$4:$N984)+SUMIF($U$4:$U984,CONCATENATE("ReinvDiv",$C984),$N$4:$N984))</f>
        <v>-50773.95</v>
      </c>
      <c r="AB984">
        <f>(SUMIF($U$4:$U984,CONCATENATE("Buy",$C984),$F$4:$F984)+SUMIF($U$4:$U984,CONCATENATE("ReinvDiv",$C984),$F$4:$F984)+SUMIF($U$4:$U984,CONCATENATE("StkSplit",$C984),$F$4:$F984)-SUMIF($U$4:$U984,CONCATENATE("Sell",$C984),$F$4:$F984))</f>
        <v>2731.5579999999995</v>
      </c>
      <c r="AC984" s="3">
        <f>IF(B984="Sell",F984*INDEX(V:V,LOOKUP(2,1/(X$4:X983=CONCATENATE(C984,"_ACB")),ROW(V$4:V983))),0)</f>
        <v>0</v>
      </c>
    </row>
    <row r="985" spans="1:29" x14ac:dyDescent="0.25">
      <c r="A985" s="20">
        <v>42094</v>
      </c>
      <c r="B985" t="s">
        <v>42</v>
      </c>
      <c r="C985" t="s">
        <v>103</v>
      </c>
      <c r="D985" s="3">
        <v>182.44</v>
      </c>
      <c r="M985" s="21">
        <f t="shared" si="123"/>
        <v>182.44</v>
      </c>
      <c r="N985" s="8">
        <f t="shared" si="129"/>
        <v>182.44</v>
      </c>
      <c r="O985" s="25">
        <f t="shared" si="126"/>
        <v>715.11999999993191</v>
      </c>
      <c r="P985" s="8">
        <f t="shared" si="125"/>
        <v>0</v>
      </c>
      <c r="Q985" s="4">
        <f>IF(AND(S985&gt;=[1]eRRSP_Rpt!$C$6,S985&lt;=[1]eRRSP_Rpt!$C$7),1,0)</f>
        <v>1</v>
      </c>
      <c r="R985" s="4"/>
      <c r="S985" s="4">
        <f t="shared" si="122"/>
        <v>2015</v>
      </c>
      <c r="T985" s="4"/>
      <c r="U985" s="4" t="str">
        <f t="shared" si="124"/>
        <v>DivIshares Global Real Estate Index</v>
      </c>
      <c r="V985" s="23">
        <f>IFERROR(IF(AND(AB985&gt;0,B985&lt;&gt;"Sell"),(AA985-SUMIF(C$4:C984,C985,AC$4:AC985))/AB985,0),"")</f>
        <v>-21.780311149524632</v>
      </c>
      <c r="W985" s="24" t="str">
        <f t="shared" si="128"/>
        <v/>
      </c>
      <c r="X985" s="25" t="str">
        <f t="shared" si="127"/>
        <v>Ishares Global Real Estate Index_ACB</v>
      </c>
      <c r="Y985" s="10" t="str">
        <f>IF(S986&lt;&gt;eRRSP_Tx_Table[[#This Row],[Year]],SUMIFS($W$4:$W985,$S$4:$S985,eRRSP_Tx_Table[[#This Row],[Year]],$W$4:$W985,"&gt;0"),"")</f>
        <v/>
      </c>
      <c r="Z985" s="10" t="str">
        <f>IF(S986&lt;&gt;eRRSP_Tx_Table[[#This Row],[Year]],SUMIFS($W$4:$W985,$S$4:$S985,eRRSP_Tx_Table[[#This Row],[Year]],$W$4:$W985,"&lt;0"),"")</f>
        <v/>
      </c>
      <c r="AA985" s="3">
        <f>(SUMIF($U$4:$U985,CONCATENATE("Buy",$C985),$N$4:$N985)+SUMIF($U$4:$U985,CONCATENATE("ReinvDiv",$C985),$N$4:$N985))</f>
        <v>-25199.82</v>
      </c>
      <c r="AB985">
        <f>(SUMIF($U$4:$U985,CONCATENATE("Buy",$C985),$F$4:$F985)+SUMIF($U$4:$U985,CONCATENATE("ReinvDiv",$C985),$F$4:$F985)+SUMIF($U$4:$U985,CONCATENATE("StkSplit",$C985),$F$4:$F985)-SUMIF($U$4:$U985,CONCATENATE("Sell",$C985),$F$4:$F985))</f>
        <v>1157</v>
      </c>
      <c r="AC985" s="3">
        <f>IF(B985="Sell",F985*INDEX(V:V,LOOKUP(2,1/(X$4:X984=CONCATENATE(C985,"_ACB")),ROW(V$4:V984))),0)</f>
        <v>0</v>
      </c>
    </row>
    <row r="986" spans="1:29" x14ac:dyDescent="0.25">
      <c r="A986" s="20">
        <v>42094</v>
      </c>
      <c r="B986" t="s">
        <v>43</v>
      </c>
      <c r="C986" t="s">
        <v>99</v>
      </c>
      <c r="D986" s="3">
        <v>14.71</v>
      </c>
      <c r="M986" s="21">
        <f t="shared" si="123"/>
        <v>14.71</v>
      </c>
      <c r="N986" s="8">
        <f t="shared" si="129"/>
        <v>14.71</v>
      </c>
      <c r="O986" s="25">
        <f t="shared" si="126"/>
        <v>729.82999999993194</v>
      </c>
      <c r="P986" s="8">
        <f t="shared" si="125"/>
        <v>0</v>
      </c>
      <c r="Q986" s="4">
        <f>IF(AND(S986&gt;=[1]eRRSP_Rpt!$C$6,S986&lt;=[1]eRRSP_Rpt!$C$7),1,0)</f>
        <v>1</v>
      </c>
      <c r="R986" s="4"/>
      <c r="S986" s="4">
        <f t="shared" si="122"/>
        <v>2015</v>
      </c>
      <c r="T986" s="4"/>
      <c r="U986" s="4" t="str">
        <f t="shared" si="124"/>
        <v>IntIncTD INV SAV ACCT  /NL'FRAC</v>
      </c>
      <c r="V986" s="23">
        <f>IFERROR(IF(AND(AB986&gt;0,B986&lt;&gt;"Sell"),(AA986-SUMIF(C$4:C985,C986,AC$4:AC986))/AB986,0),"")</f>
        <v>-10</v>
      </c>
      <c r="W986" s="24" t="str">
        <f t="shared" si="128"/>
        <v/>
      </c>
      <c r="X986" s="25" t="str">
        <f t="shared" si="127"/>
        <v>TD INV SAV ACCT  /NL'FRAC_ACB</v>
      </c>
      <c r="Y986" s="10" t="str">
        <f>IF(S987&lt;&gt;eRRSP_Tx_Table[[#This Row],[Year]],SUMIFS($W$4:$W986,$S$4:$S986,eRRSP_Tx_Table[[#This Row],[Year]],$W$4:$W986,"&gt;0"),"")</f>
        <v/>
      </c>
      <c r="Z986" s="10" t="str">
        <f>IF(S987&lt;&gt;eRRSP_Tx_Table[[#This Row],[Year]],SUMIFS($W$4:$W986,$S$4:$S986,eRRSP_Tx_Table[[#This Row],[Year]],$W$4:$W986,"&lt;0"),"")</f>
        <v/>
      </c>
      <c r="AA986" s="3">
        <f>(SUMIF($U$4:$U986,CONCATENATE("Buy",$C986),$N$4:$N986)+SUMIF($U$4:$U986,CONCATENATE("ReinvDiv",$C986),$N$4:$N986))</f>
        <v>-30900</v>
      </c>
      <c r="AB986">
        <f>(SUMIF($U$4:$U986,CONCATENATE("Buy",$C986),$F$4:$F986)+SUMIF($U$4:$U986,CONCATENATE("ReinvDiv",$C986),$F$4:$F986)+SUMIF($U$4:$U986,CONCATENATE("StkSplit",$C986),$F$4:$F986)-SUMIF($U$4:$U986,CONCATENATE("Sell",$C986),$F$4:$F986))</f>
        <v>1790</v>
      </c>
      <c r="AC986" s="3">
        <f>IF(B986="Sell",F986*INDEX(V:V,LOOKUP(2,1/(X$4:X985=CONCATENATE(C986,"_ACB")),ROW(V$4:V985))),0)</f>
        <v>0</v>
      </c>
    </row>
    <row r="987" spans="1:29" x14ac:dyDescent="0.25">
      <c r="A987" s="20">
        <v>42095</v>
      </c>
      <c r="B987" t="s">
        <v>42</v>
      </c>
      <c r="C987" t="s">
        <v>105</v>
      </c>
      <c r="D987" s="3">
        <v>47.07</v>
      </c>
      <c r="M987" s="21">
        <f t="shared" si="123"/>
        <v>47.07</v>
      </c>
      <c r="N987" s="8">
        <f t="shared" si="129"/>
        <v>47.07</v>
      </c>
      <c r="O987" s="25">
        <f t="shared" si="126"/>
        <v>776.89999999993199</v>
      </c>
      <c r="P987" s="8">
        <f t="shared" si="125"/>
        <v>0</v>
      </c>
      <c r="Q987" s="4">
        <f>IF(AND(S987&gt;=[1]eRRSP_Rpt!$C$6,S987&lt;=[1]eRRSP_Rpt!$C$7),1,0)</f>
        <v>1</v>
      </c>
      <c r="R987" s="4"/>
      <c r="S987" s="4">
        <f t="shared" si="122"/>
        <v>2015</v>
      </c>
      <c r="T987" s="4"/>
      <c r="U987" s="4" t="str">
        <f t="shared" si="124"/>
        <v>DivVanguard CDN S/T Corp Bond</v>
      </c>
      <c r="V987" s="23">
        <f>IFERROR(IF(AND(AB987&gt;0,B987&lt;&gt;"Sell"),(AA987-SUMIF(C$4:C986,C987,AC$4:AC987))/AB987,0),"")</f>
        <v>-25.164273504273503</v>
      </c>
      <c r="W987" s="24" t="str">
        <f t="shared" si="128"/>
        <v/>
      </c>
      <c r="X987" s="25" t="str">
        <f t="shared" si="127"/>
        <v>Vanguard CDN S/T Corp Bond_ACB</v>
      </c>
      <c r="Y987" s="10" t="str">
        <f>IF(S988&lt;&gt;eRRSP_Tx_Table[[#This Row],[Year]],SUMIFS($W$4:$W987,$S$4:$S987,eRRSP_Tx_Table[[#This Row],[Year]],$W$4:$W987,"&gt;0"),"")</f>
        <v/>
      </c>
      <c r="Z987" s="10" t="str">
        <f>IF(S988&lt;&gt;eRRSP_Tx_Table[[#This Row],[Year]],SUMIFS($W$4:$W987,$S$4:$S987,eRRSP_Tx_Table[[#This Row],[Year]],$W$4:$W987,"&lt;0"),"")</f>
        <v/>
      </c>
      <c r="AA987" s="3">
        <f>(SUMIF($U$4:$U987,CONCATENATE("Buy",$C987),$N$4:$N987)+SUMIF($U$4:$U987,CONCATENATE("ReinvDiv",$C987),$N$4:$N987))</f>
        <v>-41219.08</v>
      </c>
      <c r="AB987">
        <f>(SUMIF($U$4:$U987,CONCATENATE("Buy",$C987),$F$4:$F987)+SUMIF($U$4:$U987,CONCATENATE("ReinvDiv",$C987),$F$4:$F987)+SUMIF($U$4:$U987,CONCATENATE("StkSplit",$C987),$F$4:$F987)-SUMIF($U$4:$U987,CONCATENATE("Sell",$C987),$F$4:$F987))</f>
        <v>795</v>
      </c>
      <c r="AC987" s="3">
        <f>IF(B987="Sell",F987*INDEX(V:V,LOOKUP(2,1/(X$4:X986=CONCATENATE(C987,"_ACB")),ROW(V$4:V986))),0)</f>
        <v>0</v>
      </c>
    </row>
    <row r="988" spans="1:29" x14ac:dyDescent="0.25">
      <c r="A988" s="20">
        <v>42095</v>
      </c>
      <c r="B988" t="s">
        <v>42</v>
      </c>
      <c r="C988" t="s">
        <v>104</v>
      </c>
      <c r="D988" s="3">
        <v>485.93</v>
      </c>
      <c r="M988" s="21">
        <f t="shared" si="123"/>
        <v>485.93</v>
      </c>
      <c r="N988" s="8">
        <f t="shared" si="129"/>
        <v>485.93</v>
      </c>
      <c r="O988" s="25">
        <f t="shared" si="126"/>
        <v>1262.8299999999319</v>
      </c>
      <c r="P988" s="8">
        <f t="shared" si="125"/>
        <v>0</v>
      </c>
      <c r="Q988" s="4">
        <f>IF(AND(S988&gt;=[1]eRRSP_Rpt!$C$6,S988&lt;=[1]eRRSP_Rpt!$C$7),1,0)</f>
        <v>1</v>
      </c>
      <c r="R988" s="4"/>
      <c r="S988" s="4">
        <f t="shared" si="122"/>
        <v>2015</v>
      </c>
      <c r="T988" s="4"/>
      <c r="U988" s="4" t="str">
        <f t="shared" si="124"/>
        <v>DivVanguard US Total Market ETF</v>
      </c>
      <c r="V988" s="23">
        <f>IFERROR(IF(AND(AB988&gt;0,B988&lt;&gt;"Sell"),(AA988-SUMIF(C$4:C987,C988,AC$4:AC988))/AB988,0),"")</f>
        <v>-31.343779980812279</v>
      </c>
      <c r="W988" s="24" t="str">
        <f t="shared" si="128"/>
        <v/>
      </c>
      <c r="X988" s="25" t="str">
        <f t="shared" si="127"/>
        <v>Vanguard US Total Market ETF_ACB</v>
      </c>
      <c r="Y988" s="10" t="str">
        <f>IF(S989&lt;&gt;eRRSP_Tx_Table[[#This Row],[Year]],SUMIFS($W$4:$W988,$S$4:$S988,eRRSP_Tx_Table[[#This Row],[Year]],$W$4:$W988,"&gt;0"),"")</f>
        <v/>
      </c>
      <c r="Z988" s="10" t="str">
        <f>IF(S989&lt;&gt;eRRSP_Tx_Table[[#This Row],[Year]],SUMIFS($W$4:$W988,$S$4:$S988,eRRSP_Tx_Table[[#This Row],[Year]],$W$4:$W988,"&lt;0"),"")</f>
        <v/>
      </c>
      <c r="AA988" s="3">
        <f>(SUMIF($U$4:$U988,CONCATENATE("Buy",$C988),$N$4:$N988)+SUMIF($U$4:$U988,CONCATENATE("ReinvDiv",$C988),$N$4:$N988))</f>
        <v>-98012</v>
      </c>
      <c r="AB988">
        <f>(SUMIF($U$4:$U988,CONCATENATE("Buy",$C988),$F$4:$F988)+SUMIF($U$4:$U988,CONCATENATE("ReinvDiv",$C988),$F$4:$F988)+SUMIF($U$4:$U988,CONCATENATE("StkSplit",$C988),$F$4:$F988)-SUMIF($U$4:$U988,CONCATENATE("Sell",$C988),$F$4:$F988))</f>
        <v>3127</v>
      </c>
      <c r="AC988" s="3">
        <f>IF(B988="Sell",F988*INDEX(V:V,LOOKUP(2,1/(X$4:X987=CONCATENATE(C988,"_ACB")),ROW(V$4:V987))),0)</f>
        <v>0</v>
      </c>
    </row>
    <row r="989" spans="1:29" x14ac:dyDescent="0.25">
      <c r="A989" s="20">
        <v>42110</v>
      </c>
      <c r="B989" t="s">
        <v>43</v>
      </c>
      <c r="C989" t="s">
        <v>36</v>
      </c>
      <c r="D989" s="3">
        <v>0.01</v>
      </c>
      <c r="M989" s="21">
        <f t="shared" si="123"/>
        <v>0.01</v>
      </c>
      <c r="N989" s="8">
        <f t="shared" si="129"/>
        <v>0.01</v>
      </c>
      <c r="O989" s="25">
        <f t="shared" si="126"/>
        <v>1262.8399999999319</v>
      </c>
      <c r="P989" s="8">
        <f t="shared" si="125"/>
        <v>0</v>
      </c>
      <c r="Q989" s="4">
        <f>IF(AND(S989&gt;=[1]eRRSP_Rpt!$C$6,S989&lt;=[1]eRRSP_Rpt!$C$7),1,0)</f>
        <v>1</v>
      </c>
      <c r="R989" s="4"/>
      <c r="S989" s="4">
        <f t="shared" ref="S989:S1052" si="130">YEAR(A989)</f>
        <v>2015</v>
      </c>
      <c r="T989" s="4"/>
      <c r="U989" s="4" t="str">
        <f t="shared" si="124"/>
        <v>IntIncTDW</v>
      </c>
      <c r="V989" s="23">
        <f>IFERROR(IF(AND(AB989&gt;0,B989&lt;&gt;"Sell"),(AA989-SUMIF(C$4:C988,C989,AC$4:AC989))/AB989,0),"")</f>
        <v>0</v>
      </c>
      <c r="W989" s="24" t="str">
        <f t="shared" si="128"/>
        <v/>
      </c>
      <c r="X989" s="25" t="str">
        <f t="shared" si="127"/>
        <v/>
      </c>
      <c r="Y989" s="10" t="str">
        <f>IF(S990&lt;&gt;eRRSP_Tx_Table[[#This Row],[Year]],SUMIFS($W$4:$W989,$S$4:$S989,eRRSP_Tx_Table[[#This Row],[Year]],$W$4:$W989,"&gt;0"),"")</f>
        <v/>
      </c>
      <c r="Z989" s="10" t="str">
        <f>IF(S990&lt;&gt;eRRSP_Tx_Table[[#This Row],[Year]],SUMIFS($W$4:$W989,$S$4:$S989,eRRSP_Tx_Table[[#This Row],[Year]],$W$4:$W989,"&lt;0"),"")</f>
        <v/>
      </c>
      <c r="AA989" s="3">
        <f>(SUMIF($U$4:$U989,CONCATENATE("Buy",$C989),$N$4:$N989)+SUMIF($U$4:$U989,CONCATENATE("ReinvDiv",$C989),$N$4:$N989))</f>
        <v>0</v>
      </c>
      <c r="AB989">
        <f>(SUMIF($U$4:$U989,CONCATENATE("Buy",$C989),$F$4:$F989)+SUMIF($U$4:$U989,CONCATENATE("ReinvDiv",$C989),$F$4:$F989)+SUMIF($U$4:$U989,CONCATENATE("StkSplit",$C989),$F$4:$F989)-SUMIF($U$4:$U989,CONCATENATE("Sell",$C989),$F$4:$F989))</f>
        <v>0</v>
      </c>
      <c r="AC989" s="3">
        <f>IF(B989="Sell",F989*INDEX(V:V,LOOKUP(2,1/(X$4:X988=CONCATENATE(C989,"_ACB")),ROW(V$4:V988))),0)</f>
        <v>0</v>
      </c>
    </row>
    <row r="990" spans="1:29" x14ac:dyDescent="0.25">
      <c r="A990" s="20">
        <v>42124</v>
      </c>
      <c r="B990" t="s">
        <v>43</v>
      </c>
      <c r="C990" t="s">
        <v>99</v>
      </c>
      <c r="D990" s="3">
        <v>14.71</v>
      </c>
      <c r="M990" s="21">
        <f t="shared" si="123"/>
        <v>14.71</v>
      </c>
      <c r="N990" s="8">
        <f t="shared" si="129"/>
        <v>14.71</v>
      </c>
      <c r="O990" s="25">
        <f t="shared" si="126"/>
        <v>1277.549999999932</v>
      </c>
      <c r="P990" s="8">
        <f t="shared" si="125"/>
        <v>0</v>
      </c>
      <c r="Q990" s="4">
        <f>IF(AND(S990&gt;=[1]eRRSP_Rpt!$C$6,S990&lt;=[1]eRRSP_Rpt!$C$7),1,0)</f>
        <v>1</v>
      </c>
      <c r="R990" s="4"/>
      <c r="S990" s="4">
        <f t="shared" si="130"/>
        <v>2015</v>
      </c>
      <c r="T990" s="4"/>
      <c r="U990" s="4" t="str">
        <f t="shared" si="124"/>
        <v>IntIncTD INV SAV ACCT  /NL'FRAC</v>
      </c>
      <c r="V990" s="23">
        <f>IFERROR(IF(AND(AB990&gt;0,B990&lt;&gt;"Sell"),(AA990-SUMIF(C$4:C989,C990,AC$4:AC990))/AB990,0),"")</f>
        <v>-10</v>
      </c>
      <c r="W990" s="24" t="str">
        <f t="shared" si="128"/>
        <v/>
      </c>
      <c r="X990" s="25" t="str">
        <f t="shared" si="127"/>
        <v>TD INV SAV ACCT  /NL'FRAC_ACB</v>
      </c>
      <c r="Y990" s="10" t="str">
        <f>IF(S991&lt;&gt;eRRSP_Tx_Table[[#This Row],[Year]],SUMIFS($W$4:$W990,$S$4:$S990,eRRSP_Tx_Table[[#This Row],[Year]],$W$4:$W990,"&gt;0"),"")</f>
        <v/>
      </c>
      <c r="Z990" s="10" t="str">
        <f>IF(S991&lt;&gt;eRRSP_Tx_Table[[#This Row],[Year]],SUMIFS($W$4:$W990,$S$4:$S990,eRRSP_Tx_Table[[#This Row],[Year]],$W$4:$W990,"&lt;0"),"")</f>
        <v/>
      </c>
      <c r="AA990" s="3">
        <f>(SUMIF($U$4:$U990,CONCATENATE("Buy",$C990),$N$4:$N990)+SUMIF($U$4:$U990,CONCATENATE("ReinvDiv",$C990),$N$4:$N990))</f>
        <v>-30900</v>
      </c>
      <c r="AB990">
        <f>(SUMIF($U$4:$U990,CONCATENATE("Buy",$C990),$F$4:$F990)+SUMIF($U$4:$U990,CONCATENATE("ReinvDiv",$C990),$F$4:$F990)+SUMIF($U$4:$U990,CONCATENATE("StkSplit",$C990),$F$4:$F990)-SUMIF($U$4:$U990,CONCATENATE("Sell",$C990),$F$4:$F990))</f>
        <v>1790</v>
      </c>
      <c r="AC990" s="3">
        <f>IF(B990="Sell",F990*INDEX(V:V,LOOKUP(2,1/(X$4:X989=CONCATENATE(C990,"_ACB")),ROW(V$4:V989))),0)</f>
        <v>0</v>
      </c>
    </row>
    <row r="991" spans="1:29" x14ac:dyDescent="0.25">
      <c r="A991" s="20">
        <v>42129</v>
      </c>
      <c r="B991" t="s">
        <v>42</v>
      </c>
      <c r="C991" t="s">
        <v>105</v>
      </c>
      <c r="D991" s="3">
        <v>56.31</v>
      </c>
      <c r="M991" s="21">
        <f t="shared" si="123"/>
        <v>56.31</v>
      </c>
      <c r="N991" s="8">
        <f t="shared" si="129"/>
        <v>56.31</v>
      </c>
      <c r="O991" s="25">
        <f t="shared" si="126"/>
        <v>1333.8599999999319</v>
      </c>
      <c r="P991" s="8">
        <f t="shared" si="125"/>
        <v>0</v>
      </c>
      <c r="Q991" s="4">
        <f>IF(AND(S991&gt;=[1]eRRSP_Rpt!$C$6,S991&lt;=[1]eRRSP_Rpt!$C$7),1,0)</f>
        <v>1</v>
      </c>
      <c r="R991" s="4"/>
      <c r="S991" s="4">
        <f t="shared" si="130"/>
        <v>2015</v>
      </c>
      <c r="T991" s="4"/>
      <c r="U991" s="4" t="str">
        <f t="shared" si="124"/>
        <v>DivVanguard CDN S/T Corp Bond</v>
      </c>
      <c r="V991" s="23">
        <f>IFERROR(IF(AND(AB991&gt;0,B991&lt;&gt;"Sell"),(AA991-SUMIF(C$4:C990,C991,AC$4:AC991))/AB991,0),"")</f>
        <v>-25.164273504273503</v>
      </c>
      <c r="W991" s="24" t="str">
        <f t="shared" si="128"/>
        <v/>
      </c>
      <c r="X991" s="25" t="str">
        <f t="shared" si="127"/>
        <v>Vanguard CDN S/T Corp Bond_ACB</v>
      </c>
      <c r="Y991" s="10" t="str">
        <f>IF(S992&lt;&gt;eRRSP_Tx_Table[[#This Row],[Year]],SUMIFS($W$4:$W991,$S$4:$S991,eRRSP_Tx_Table[[#This Row],[Year]],$W$4:$W991,"&gt;0"),"")</f>
        <v/>
      </c>
      <c r="Z991" s="10" t="str">
        <f>IF(S992&lt;&gt;eRRSP_Tx_Table[[#This Row],[Year]],SUMIFS($W$4:$W991,$S$4:$S991,eRRSP_Tx_Table[[#This Row],[Year]],$W$4:$W991,"&lt;0"),"")</f>
        <v/>
      </c>
      <c r="AA991" s="3">
        <f>(SUMIF($U$4:$U991,CONCATENATE("Buy",$C991),$N$4:$N991)+SUMIF($U$4:$U991,CONCATENATE("ReinvDiv",$C991),$N$4:$N991))</f>
        <v>-41219.08</v>
      </c>
      <c r="AB991">
        <f>(SUMIF($U$4:$U991,CONCATENATE("Buy",$C991),$F$4:$F991)+SUMIF($U$4:$U991,CONCATENATE("ReinvDiv",$C991),$F$4:$F991)+SUMIF($U$4:$U991,CONCATENATE("StkSplit",$C991),$F$4:$F991)-SUMIF($U$4:$U991,CONCATENATE("Sell",$C991),$F$4:$F991))</f>
        <v>795</v>
      </c>
      <c r="AC991" s="3">
        <f>IF(B991="Sell",F991*INDEX(V:V,LOOKUP(2,1/(X$4:X990=CONCATENATE(C991,"_ACB")),ROW(V$4:V990))),0)</f>
        <v>0</v>
      </c>
    </row>
    <row r="992" spans="1:29" x14ac:dyDescent="0.25">
      <c r="A992" s="20">
        <v>42140</v>
      </c>
      <c r="B992" t="s">
        <v>43</v>
      </c>
      <c r="C992" t="s">
        <v>36</v>
      </c>
      <c r="D992" s="3">
        <v>0.02</v>
      </c>
      <c r="M992" s="21">
        <f t="shared" si="123"/>
        <v>0.02</v>
      </c>
      <c r="N992" s="8">
        <f t="shared" si="129"/>
        <v>0.02</v>
      </c>
      <c r="O992" s="25">
        <f t="shared" si="126"/>
        <v>1333.8799999999319</v>
      </c>
      <c r="P992" s="8">
        <f t="shared" si="125"/>
        <v>0</v>
      </c>
      <c r="Q992" s="4">
        <f>IF(AND(S992&gt;=[1]eRRSP_Rpt!$C$6,S992&lt;=[1]eRRSP_Rpt!$C$7),1,0)</f>
        <v>1</v>
      </c>
      <c r="R992" s="4"/>
      <c r="S992" s="4">
        <f t="shared" si="130"/>
        <v>2015</v>
      </c>
      <c r="T992" s="4"/>
      <c r="U992" s="4" t="str">
        <f t="shared" si="124"/>
        <v>IntIncTDW</v>
      </c>
      <c r="V992" s="23">
        <f>IFERROR(IF(AND(AB992&gt;0,B992&lt;&gt;"Sell"),(AA992-SUMIF(C$4:C991,C992,AC$4:AC992))/AB992,0),"")</f>
        <v>0</v>
      </c>
      <c r="W992" s="24" t="str">
        <f t="shared" si="128"/>
        <v/>
      </c>
      <c r="X992" s="25" t="str">
        <f t="shared" si="127"/>
        <v/>
      </c>
      <c r="Y992" s="10" t="str">
        <f>IF(S993&lt;&gt;eRRSP_Tx_Table[[#This Row],[Year]],SUMIFS($W$4:$W992,$S$4:$S992,eRRSP_Tx_Table[[#This Row],[Year]],$W$4:$W992,"&gt;0"),"")</f>
        <v/>
      </c>
      <c r="Z992" s="10" t="str">
        <f>IF(S993&lt;&gt;eRRSP_Tx_Table[[#This Row],[Year]],SUMIFS($W$4:$W992,$S$4:$S992,eRRSP_Tx_Table[[#This Row],[Year]],$W$4:$W992,"&lt;0"),"")</f>
        <v/>
      </c>
      <c r="AA992" s="3">
        <f>(SUMIF($U$4:$U992,CONCATENATE("Buy",$C992),$N$4:$N992)+SUMIF($U$4:$U992,CONCATENATE("ReinvDiv",$C992),$N$4:$N992))</f>
        <v>0</v>
      </c>
      <c r="AB992">
        <f>(SUMIF($U$4:$U992,CONCATENATE("Buy",$C992),$F$4:$F992)+SUMIF($U$4:$U992,CONCATENATE("ReinvDiv",$C992),$F$4:$F992)+SUMIF($U$4:$U992,CONCATENATE("StkSplit",$C992),$F$4:$F992)-SUMIF($U$4:$U992,CONCATENATE("Sell",$C992),$F$4:$F992))</f>
        <v>0</v>
      </c>
      <c r="AC992" s="3">
        <f>IF(B992="Sell",F992*INDEX(V:V,LOOKUP(2,1/(X$4:X991=CONCATENATE(C992,"_ACB")),ROW(V$4:V991))),0)</f>
        <v>0</v>
      </c>
    </row>
    <row r="993" spans="1:29" x14ac:dyDescent="0.25">
      <c r="A993" s="20">
        <v>42153</v>
      </c>
      <c r="B993" t="s">
        <v>43</v>
      </c>
      <c r="C993" t="s">
        <v>99</v>
      </c>
      <c r="D993" s="3">
        <v>15.2</v>
      </c>
      <c r="M993" s="21">
        <f t="shared" ref="M993:M1057" si="131">ROUND(IF(OR(B993="Buy",B993="Sell"),E993*F993,D993),2)</f>
        <v>15.2</v>
      </c>
      <c r="N993" s="8">
        <f t="shared" si="129"/>
        <v>15.2</v>
      </c>
      <c r="O993" s="25">
        <f t="shared" si="126"/>
        <v>1349.0799999999319</v>
      </c>
      <c r="P993" s="8">
        <f t="shared" si="125"/>
        <v>0</v>
      </c>
      <c r="Q993" s="4">
        <f>IF(AND(S993&gt;=[1]eRRSP_Rpt!$C$6,S993&lt;=[1]eRRSP_Rpt!$C$7),1,0)</f>
        <v>1</v>
      </c>
      <c r="R993" s="4"/>
      <c r="S993" s="4">
        <f t="shared" si="130"/>
        <v>2015</v>
      </c>
      <c r="T993" s="4"/>
      <c r="U993" s="4" t="str">
        <f t="shared" ref="U993:U1056" si="132">CONCATENATE(B993,C993)</f>
        <v>IntIncTD INV SAV ACCT  /NL'FRAC</v>
      </c>
      <c r="V993" s="23">
        <f>IFERROR(IF(AND(AB993&gt;0,B993&lt;&gt;"Sell"),(AA993-SUMIF(C$4:C992,C993,AC$4:AC993))/AB993,0),"")</f>
        <v>-10</v>
      </c>
      <c r="W993" s="24" t="str">
        <f t="shared" si="128"/>
        <v/>
      </c>
      <c r="X993" s="25" t="str">
        <f t="shared" si="127"/>
        <v>TD INV SAV ACCT  /NL'FRAC_ACB</v>
      </c>
      <c r="Y993" s="10" t="str">
        <f>IF(S994&lt;&gt;eRRSP_Tx_Table[[#This Row],[Year]],SUMIFS($W$4:$W993,$S$4:$S993,eRRSP_Tx_Table[[#This Row],[Year]],$W$4:$W993,"&gt;0"),"")</f>
        <v/>
      </c>
      <c r="Z993" s="10" t="str">
        <f>IF(S994&lt;&gt;eRRSP_Tx_Table[[#This Row],[Year]],SUMIFS($W$4:$W993,$S$4:$S993,eRRSP_Tx_Table[[#This Row],[Year]],$W$4:$W993,"&lt;0"),"")</f>
        <v/>
      </c>
      <c r="AA993" s="3">
        <f>(SUMIF($U$4:$U993,CONCATENATE("Buy",$C993),$N$4:$N993)+SUMIF($U$4:$U993,CONCATENATE("ReinvDiv",$C993),$N$4:$N993))</f>
        <v>-30900</v>
      </c>
      <c r="AB993">
        <f>(SUMIF($U$4:$U993,CONCATENATE("Buy",$C993),$F$4:$F993)+SUMIF($U$4:$U993,CONCATENATE("ReinvDiv",$C993),$F$4:$F993)+SUMIF($U$4:$U993,CONCATENATE("StkSplit",$C993),$F$4:$F993)-SUMIF($U$4:$U993,CONCATENATE("Sell",$C993),$F$4:$F993))</f>
        <v>1790</v>
      </c>
      <c r="AC993" s="3">
        <f>IF(B993="Sell",F993*INDEX(V:V,LOOKUP(2,1/(X$4:X992=CONCATENATE(C993,"_ACB")),ROW(V$4:V992))),0)</f>
        <v>0</v>
      </c>
    </row>
    <row r="994" spans="1:29" x14ac:dyDescent="0.25">
      <c r="A994" s="20">
        <v>42158</v>
      </c>
      <c r="B994" t="s">
        <v>42</v>
      </c>
      <c r="C994" t="s">
        <v>105</v>
      </c>
      <c r="D994" s="3">
        <v>49.38</v>
      </c>
      <c r="M994" s="21">
        <f t="shared" si="131"/>
        <v>49.38</v>
      </c>
      <c r="N994" s="8">
        <f t="shared" si="129"/>
        <v>49.38</v>
      </c>
      <c r="O994" s="25">
        <f t="shared" si="126"/>
        <v>1398.4599999999321</v>
      </c>
      <c r="P994" s="8">
        <f t="shared" si="125"/>
        <v>0</v>
      </c>
      <c r="Q994" s="4">
        <f>IF(AND(S994&gt;=[1]eRRSP_Rpt!$C$6,S994&lt;=[1]eRRSP_Rpt!$C$7),1,0)</f>
        <v>1</v>
      </c>
      <c r="R994" s="4"/>
      <c r="S994" s="4">
        <f t="shared" si="130"/>
        <v>2015</v>
      </c>
      <c r="T994" s="4"/>
      <c r="U994" s="4" t="str">
        <f t="shared" si="132"/>
        <v>DivVanguard CDN S/T Corp Bond</v>
      </c>
      <c r="V994" s="23">
        <f>IFERROR(IF(AND(AB994&gt;0,B994&lt;&gt;"Sell"),(AA994-SUMIF(C$4:C993,C994,AC$4:AC994))/AB994,0),"")</f>
        <v>-25.164273504273503</v>
      </c>
      <c r="W994" s="24" t="str">
        <f t="shared" si="128"/>
        <v/>
      </c>
      <c r="X994" s="25" t="str">
        <f t="shared" si="127"/>
        <v>Vanguard CDN S/T Corp Bond_ACB</v>
      </c>
      <c r="Y994" s="10" t="str">
        <f>IF(S995&lt;&gt;eRRSP_Tx_Table[[#This Row],[Year]],SUMIFS($W$4:$W994,$S$4:$S994,eRRSP_Tx_Table[[#This Row],[Year]],$W$4:$W994,"&gt;0"),"")</f>
        <v/>
      </c>
      <c r="Z994" s="10" t="str">
        <f>IF(S995&lt;&gt;eRRSP_Tx_Table[[#This Row],[Year]],SUMIFS($W$4:$W994,$S$4:$S994,eRRSP_Tx_Table[[#This Row],[Year]],$W$4:$W994,"&lt;0"),"")</f>
        <v/>
      </c>
      <c r="AA994" s="3">
        <f>(SUMIF($U$4:$U994,CONCATENATE("Buy",$C994),$N$4:$N994)+SUMIF($U$4:$U994,CONCATENATE("ReinvDiv",$C994),$N$4:$N994))</f>
        <v>-41219.08</v>
      </c>
      <c r="AB994">
        <f>(SUMIF($U$4:$U994,CONCATENATE("Buy",$C994),$F$4:$F994)+SUMIF($U$4:$U994,CONCATENATE("ReinvDiv",$C994),$F$4:$F994)+SUMIF($U$4:$U994,CONCATENATE("StkSplit",$C994),$F$4:$F994)-SUMIF($U$4:$U994,CONCATENATE("Sell",$C994),$F$4:$F994))</f>
        <v>795</v>
      </c>
      <c r="AC994" s="3">
        <f>IF(B994="Sell",F994*INDEX(V:V,LOOKUP(2,1/(X$4:X993=CONCATENATE(C994,"_ACB")),ROW(V$4:V993))),0)</f>
        <v>0</v>
      </c>
    </row>
    <row r="995" spans="1:29" x14ac:dyDescent="0.25">
      <c r="A995" s="20">
        <v>42171</v>
      </c>
      <c r="B995" t="s">
        <v>43</v>
      </c>
      <c r="C995" t="s">
        <v>36</v>
      </c>
      <c r="D995" s="3">
        <v>0.02</v>
      </c>
      <c r="M995" s="21">
        <f t="shared" si="131"/>
        <v>0.02</v>
      </c>
      <c r="N995" s="8">
        <f t="shared" si="129"/>
        <v>0.02</v>
      </c>
      <c r="O995" s="25">
        <f t="shared" si="126"/>
        <v>1398.479999999932</v>
      </c>
      <c r="P995" s="8">
        <f t="shared" ref="P995:P1059" si="133">IF(OR($B995="Cash"),$N995,0)</f>
        <v>0</v>
      </c>
      <c r="Q995" s="4">
        <f>IF(AND(S995&gt;=[1]eRRSP_Rpt!$C$6,S995&lt;=[1]eRRSP_Rpt!$C$7),1,0)</f>
        <v>1</v>
      </c>
      <c r="R995" s="4"/>
      <c r="S995" s="4">
        <f t="shared" si="130"/>
        <v>2015</v>
      </c>
      <c r="T995" s="4"/>
      <c r="U995" s="4" t="str">
        <f t="shared" si="132"/>
        <v>IntIncTDW</v>
      </c>
      <c r="V995" s="23">
        <f>IFERROR(IF(AND(AB995&gt;0,B995&lt;&gt;"Sell"),(AA995-SUMIF(C$4:C994,C995,AC$4:AC995))/AB995,0),"")</f>
        <v>0</v>
      </c>
      <c r="W995" s="24" t="str">
        <f t="shared" si="128"/>
        <v/>
      </c>
      <c r="X995" s="25" t="str">
        <f t="shared" si="127"/>
        <v/>
      </c>
      <c r="Y995" s="10" t="str">
        <f>IF(S996&lt;&gt;eRRSP_Tx_Table[[#This Row],[Year]],SUMIFS($W$4:$W995,$S$4:$S995,eRRSP_Tx_Table[[#This Row],[Year]],$W$4:$W995,"&gt;0"),"")</f>
        <v/>
      </c>
      <c r="Z995" s="10" t="str">
        <f>IF(S996&lt;&gt;eRRSP_Tx_Table[[#This Row],[Year]],SUMIFS($W$4:$W995,$S$4:$S995,eRRSP_Tx_Table[[#This Row],[Year]],$W$4:$W995,"&lt;0"),"")</f>
        <v/>
      </c>
      <c r="AA995" s="3">
        <f>(SUMIF($U$4:$U995,CONCATENATE("Buy",$C995),$N$4:$N995)+SUMIF($U$4:$U995,CONCATENATE("ReinvDiv",$C995),$N$4:$N995))</f>
        <v>0</v>
      </c>
      <c r="AB995">
        <f>(SUMIF($U$4:$U995,CONCATENATE("Buy",$C995),$F$4:$F995)+SUMIF($U$4:$U995,CONCATENATE("ReinvDiv",$C995),$F$4:$F995)+SUMIF($U$4:$U995,CONCATENATE("StkSplit",$C995),$F$4:$F995)-SUMIF($U$4:$U995,CONCATENATE("Sell",$C995),$F$4:$F995))</f>
        <v>0</v>
      </c>
      <c r="AC995" s="3">
        <f>IF(B995="Sell",F995*INDEX(V:V,LOOKUP(2,1/(X$4:X994=CONCATENATE(C995,"_ACB")),ROW(V$4:V994))),0)</f>
        <v>0</v>
      </c>
    </row>
    <row r="996" spans="1:29" x14ac:dyDescent="0.25">
      <c r="A996" s="20">
        <v>42184</v>
      </c>
      <c r="B996" t="s">
        <v>41</v>
      </c>
      <c r="C996" t="s">
        <v>97</v>
      </c>
      <c r="D996" s="3">
        <v>415.04</v>
      </c>
      <c r="E996">
        <f>eRRSP_Tx_Table[[#This Row],[Amount]]/eRRSP_Tx_Table[[#This Row],[Quantity]]</f>
        <v>12.589941151489414</v>
      </c>
      <c r="F996" s="3">
        <v>32.966000000000001</v>
      </c>
      <c r="M996" s="21">
        <f t="shared" si="131"/>
        <v>415.04</v>
      </c>
      <c r="N996" s="8">
        <f t="shared" si="129"/>
        <v>-415.04</v>
      </c>
      <c r="O996" s="25">
        <f t="shared" si="126"/>
        <v>1398.479999999932</v>
      </c>
      <c r="P996" s="8">
        <f t="shared" si="133"/>
        <v>0</v>
      </c>
      <c r="Q996" s="4">
        <f>IF(AND(S996&gt;=[1]eRRSP_Rpt!$C$6,S996&lt;=[1]eRRSP_Rpt!$C$7),1,0)</f>
        <v>1</v>
      </c>
      <c r="R996" s="4"/>
      <c r="S996" s="4">
        <f t="shared" si="130"/>
        <v>2015</v>
      </c>
      <c r="T996" s="4"/>
      <c r="U996" s="4" t="str">
        <f t="shared" si="132"/>
        <v>ReinvDivTD International Index - e</v>
      </c>
      <c r="V996" s="23">
        <f>IFERROR(IF(AND(AB996&gt;0,B996&lt;&gt;"Sell"),(AA996-SUMIF(C$4:C995,C996,AC$4:AC996))/AB996,0),"")</f>
        <v>-11.047495978935718</v>
      </c>
      <c r="W996" s="24" t="str">
        <f t="shared" si="128"/>
        <v/>
      </c>
      <c r="X996" s="25" t="str">
        <f t="shared" si="127"/>
        <v>TD International Index - e_ACB</v>
      </c>
      <c r="Y996" s="10" t="str">
        <f>IF(S997&lt;&gt;eRRSP_Tx_Table[[#This Row],[Year]],SUMIFS($W$4:$W996,$S$4:$S996,eRRSP_Tx_Table[[#This Row],[Year]],$W$4:$W996,"&gt;0"),"")</f>
        <v/>
      </c>
      <c r="Z996" s="10" t="str">
        <f>IF(S997&lt;&gt;eRRSP_Tx_Table[[#This Row],[Year]],SUMIFS($W$4:$W996,$S$4:$S996,eRRSP_Tx_Table[[#This Row],[Year]],$W$4:$W996,"&lt;0"),"")</f>
        <v/>
      </c>
      <c r="AA996" s="3">
        <f>(SUMIF($U$4:$U996,CONCATENATE("Buy",$C996),$N$4:$N996)+SUMIF($U$4:$U996,CONCATENATE("ReinvDiv",$C996),$N$4:$N996))</f>
        <v>-51188.99</v>
      </c>
      <c r="AB996">
        <f>(SUMIF($U$4:$U996,CONCATENATE("Buy",$C996),$F$4:$F996)+SUMIF($U$4:$U996,CONCATENATE("ReinvDiv",$C996),$F$4:$F996)+SUMIF($U$4:$U996,CONCATENATE("StkSplit",$C996),$F$4:$F996)-SUMIF($U$4:$U996,CONCATENATE("Sell",$C996),$F$4:$F996))</f>
        <v>2764.5239999999999</v>
      </c>
      <c r="AC996" s="3">
        <f>IF(B996="Sell",F996*INDEX(V:V,LOOKUP(2,1/(X$4:X995=CONCATENATE(C996,"_ACB")),ROW(V$4:V995))),0)</f>
        <v>0</v>
      </c>
    </row>
    <row r="997" spans="1:29" x14ac:dyDescent="0.25">
      <c r="A997" s="20">
        <v>42185</v>
      </c>
      <c r="B997" t="s">
        <v>42</v>
      </c>
      <c r="C997" t="s">
        <v>103</v>
      </c>
      <c r="D997" s="3">
        <v>187.21</v>
      </c>
      <c r="M997" s="21">
        <f t="shared" si="131"/>
        <v>187.21</v>
      </c>
      <c r="N997" s="8">
        <f t="shared" si="129"/>
        <v>187.21</v>
      </c>
      <c r="O997" s="25">
        <f t="shared" si="126"/>
        <v>1585.6899999999321</v>
      </c>
      <c r="P997" s="8">
        <f t="shared" si="133"/>
        <v>0</v>
      </c>
      <c r="Q997" s="4">
        <f>IF(AND(S997&gt;=[1]eRRSP_Rpt!$C$6,S997&lt;=[1]eRRSP_Rpt!$C$7),1,0)</f>
        <v>1</v>
      </c>
      <c r="R997" s="4"/>
      <c r="S997" s="4">
        <f t="shared" si="130"/>
        <v>2015</v>
      </c>
      <c r="T997" s="4"/>
      <c r="U997" s="4" t="str">
        <f t="shared" si="132"/>
        <v>DivIshares Global Real Estate Index</v>
      </c>
      <c r="V997" s="23">
        <f>IFERROR(IF(AND(AB997&gt;0,B997&lt;&gt;"Sell"),(AA997-SUMIF(C$4:C996,C997,AC$4:AC997))/AB997,0),"")</f>
        <v>-21.780311149524632</v>
      </c>
      <c r="W997" s="24" t="str">
        <f t="shared" si="128"/>
        <v/>
      </c>
      <c r="X997" s="25" t="str">
        <f t="shared" si="127"/>
        <v>Ishares Global Real Estate Index_ACB</v>
      </c>
      <c r="Y997" s="10" t="str">
        <f>IF(S998&lt;&gt;eRRSP_Tx_Table[[#This Row],[Year]],SUMIFS($W$4:$W997,$S$4:$S997,eRRSP_Tx_Table[[#This Row],[Year]],$W$4:$W997,"&gt;0"),"")</f>
        <v/>
      </c>
      <c r="Z997" s="10" t="str">
        <f>IF(S998&lt;&gt;eRRSP_Tx_Table[[#This Row],[Year]],SUMIFS($W$4:$W997,$S$4:$S997,eRRSP_Tx_Table[[#This Row],[Year]],$W$4:$W997,"&lt;0"),"")</f>
        <v/>
      </c>
      <c r="AA997" s="3">
        <f>(SUMIF($U$4:$U997,CONCATENATE("Buy",$C997),$N$4:$N997)+SUMIF($U$4:$U997,CONCATENATE("ReinvDiv",$C997),$N$4:$N997))</f>
        <v>-25199.82</v>
      </c>
      <c r="AB997">
        <f>(SUMIF($U$4:$U997,CONCATENATE("Buy",$C997),$F$4:$F997)+SUMIF($U$4:$U997,CONCATENATE("ReinvDiv",$C997),$F$4:$F997)+SUMIF($U$4:$U997,CONCATENATE("StkSplit",$C997),$F$4:$F997)-SUMIF($U$4:$U997,CONCATENATE("Sell",$C997),$F$4:$F997))</f>
        <v>1157</v>
      </c>
      <c r="AC997" s="3">
        <f>IF(B997="Sell",F997*INDEX(V:V,LOOKUP(2,1/(X$4:X996=CONCATENATE(C997,"_ACB")),ROW(V$4:V996))),0)</f>
        <v>0</v>
      </c>
    </row>
    <row r="998" spans="1:29" x14ac:dyDescent="0.25">
      <c r="A998" s="20">
        <v>42185</v>
      </c>
      <c r="B998" t="s">
        <v>43</v>
      </c>
      <c r="C998" t="s">
        <v>99</v>
      </c>
      <c r="D998" s="3">
        <v>15.2</v>
      </c>
      <c r="M998" s="21">
        <f t="shared" si="131"/>
        <v>15.2</v>
      </c>
      <c r="N998" s="8">
        <f t="shared" si="129"/>
        <v>15.2</v>
      </c>
      <c r="O998" s="25">
        <f t="shared" si="126"/>
        <v>1600.8899999999321</v>
      </c>
      <c r="P998" s="8">
        <f t="shared" si="133"/>
        <v>0</v>
      </c>
      <c r="Q998" s="4">
        <f>IF(AND(S998&gt;=[1]eRRSP_Rpt!$C$6,S998&lt;=[1]eRRSP_Rpt!$C$7),1,0)</f>
        <v>1</v>
      </c>
      <c r="R998" s="4"/>
      <c r="S998" s="4">
        <f t="shared" si="130"/>
        <v>2015</v>
      </c>
      <c r="T998" s="4"/>
      <c r="U998" s="4" t="str">
        <f t="shared" si="132"/>
        <v>IntIncTD INV SAV ACCT  /NL'FRAC</v>
      </c>
      <c r="V998" s="23">
        <f>IFERROR(IF(AND(AB998&gt;0,B998&lt;&gt;"Sell"),(AA998-SUMIF(C$4:C997,C998,AC$4:AC998))/AB998,0),"")</f>
        <v>-10</v>
      </c>
      <c r="W998" s="24" t="str">
        <f t="shared" si="128"/>
        <v/>
      </c>
      <c r="X998" s="25" t="str">
        <f t="shared" si="127"/>
        <v>TD INV SAV ACCT  /NL'FRAC_ACB</v>
      </c>
      <c r="Y998" s="10" t="str">
        <f>IF(S999&lt;&gt;eRRSP_Tx_Table[[#This Row],[Year]],SUMIFS($W$4:$W998,$S$4:$S998,eRRSP_Tx_Table[[#This Row],[Year]],$W$4:$W998,"&gt;0"),"")</f>
        <v/>
      </c>
      <c r="Z998" s="10" t="str">
        <f>IF(S999&lt;&gt;eRRSP_Tx_Table[[#This Row],[Year]],SUMIFS($W$4:$W998,$S$4:$S998,eRRSP_Tx_Table[[#This Row],[Year]],$W$4:$W998,"&lt;0"),"")</f>
        <v/>
      </c>
      <c r="AA998" s="3">
        <f>(SUMIF($U$4:$U998,CONCATENATE("Buy",$C998),$N$4:$N998)+SUMIF($U$4:$U998,CONCATENATE("ReinvDiv",$C998),$N$4:$N998))</f>
        <v>-30900</v>
      </c>
      <c r="AB998">
        <f>(SUMIF($U$4:$U998,CONCATENATE("Buy",$C998),$F$4:$F998)+SUMIF($U$4:$U998,CONCATENATE("ReinvDiv",$C998),$F$4:$F998)+SUMIF($U$4:$U998,CONCATENATE("StkSplit",$C998),$F$4:$F998)-SUMIF($U$4:$U998,CONCATENATE("Sell",$C998),$F$4:$F998))</f>
        <v>1790</v>
      </c>
      <c r="AC998" s="3">
        <f>IF(B998="Sell",F998*INDEX(V:V,LOOKUP(2,1/(X$4:X997=CONCATENATE(C998,"_ACB")),ROW(V$4:V997))),0)</f>
        <v>0</v>
      </c>
    </row>
    <row r="999" spans="1:29" x14ac:dyDescent="0.25">
      <c r="A999" s="20">
        <v>42188</v>
      </c>
      <c r="B999" t="s">
        <v>42</v>
      </c>
      <c r="C999" t="s">
        <v>105</v>
      </c>
      <c r="D999" s="3">
        <v>49.87</v>
      </c>
      <c r="M999" s="21">
        <f t="shared" si="131"/>
        <v>49.87</v>
      </c>
      <c r="N999" s="8">
        <f t="shared" si="129"/>
        <v>49.87</v>
      </c>
      <c r="O999" s="25">
        <f t="shared" si="126"/>
        <v>1650.759999999932</v>
      </c>
      <c r="P999" s="8">
        <f t="shared" si="133"/>
        <v>0</v>
      </c>
      <c r="Q999" s="4">
        <f>IF(AND(S999&gt;=[1]eRRSP_Rpt!$C$6,S999&lt;=[1]eRRSP_Rpt!$C$7),1,0)</f>
        <v>1</v>
      </c>
      <c r="R999" s="4"/>
      <c r="S999" s="4">
        <f t="shared" si="130"/>
        <v>2015</v>
      </c>
      <c r="T999" s="4"/>
      <c r="U999" s="4" t="str">
        <f t="shared" si="132"/>
        <v>DivVanguard CDN S/T Corp Bond</v>
      </c>
      <c r="V999" s="23">
        <f>IFERROR(IF(AND(AB999&gt;0,B999&lt;&gt;"Sell"),(AA999-SUMIF(C$4:C998,C999,AC$4:AC999))/AB999,0),"")</f>
        <v>-25.164273504273503</v>
      </c>
      <c r="W999" s="24" t="str">
        <f t="shared" si="128"/>
        <v/>
      </c>
      <c r="X999" s="25" t="str">
        <f t="shared" si="127"/>
        <v>Vanguard CDN S/T Corp Bond_ACB</v>
      </c>
      <c r="Y999" s="10" t="str">
        <f>IF(S1000&lt;&gt;eRRSP_Tx_Table[[#This Row],[Year]],SUMIFS($W$4:$W999,$S$4:$S999,eRRSP_Tx_Table[[#This Row],[Year]],$W$4:$W999,"&gt;0"),"")</f>
        <v/>
      </c>
      <c r="Z999" s="10" t="str">
        <f>IF(S1000&lt;&gt;eRRSP_Tx_Table[[#This Row],[Year]],SUMIFS($W$4:$W999,$S$4:$S999,eRRSP_Tx_Table[[#This Row],[Year]],$W$4:$W999,"&lt;0"),"")</f>
        <v/>
      </c>
      <c r="AA999" s="3">
        <f>(SUMIF($U$4:$U999,CONCATENATE("Buy",$C999),$N$4:$N999)+SUMIF($U$4:$U999,CONCATENATE("ReinvDiv",$C999),$N$4:$N999))</f>
        <v>-41219.08</v>
      </c>
      <c r="AB999">
        <f>(SUMIF($U$4:$U999,CONCATENATE("Buy",$C999),$F$4:$F999)+SUMIF($U$4:$U999,CONCATENATE("ReinvDiv",$C999),$F$4:$F999)+SUMIF($U$4:$U999,CONCATENATE("StkSplit",$C999),$F$4:$F999)-SUMIF($U$4:$U999,CONCATENATE("Sell",$C999),$F$4:$F999))</f>
        <v>795</v>
      </c>
      <c r="AC999" s="3">
        <f>IF(B999="Sell",F999*INDEX(V:V,LOOKUP(2,1/(X$4:X998=CONCATENATE(C999,"_ACB")),ROW(V$4:V998))),0)</f>
        <v>0</v>
      </c>
    </row>
    <row r="1000" spans="1:29" x14ac:dyDescent="0.25">
      <c r="A1000" s="20">
        <v>42188</v>
      </c>
      <c r="B1000" t="s">
        <v>42</v>
      </c>
      <c r="C1000" t="s">
        <v>104</v>
      </c>
      <c r="D1000" s="3">
        <v>442.6</v>
      </c>
      <c r="M1000" s="21">
        <f t="shared" si="131"/>
        <v>442.6</v>
      </c>
      <c r="N1000" s="8">
        <f t="shared" si="129"/>
        <v>442.6</v>
      </c>
      <c r="O1000" s="25">
        <f t="shared" si="126"/>
        <v>2093.3599999999319</v>
      </c>
      <c r="P1000" s="8">
        <f t="shared" si="133"/>
        <v>0</v>
      </c>
      <c r="Q1000" s="4">
        <f>IF(AND(S1000&gt;=[1]eRRSP_Rpt!$C$6,S1000&lt;=[1]eRRSP_Rpt!$C$7),1,0)</f>
        <v>1</v>
      </c>
      <c r="R1000" s="4"/>
      <c r="S1000" s="4">
        <f t="shared" si="130"/>
        <v>2015</v>
      </c>
      <c r="T1000" s="4"/>
      <c r="U1000" s="4" t="str">
        <f t="shared" si="132"/>
        <v>DivVanguard US Total Market ETF</v>
      </c>
      <c r="V1000" s="23">
        <f>IFERROR(IF(AND(AB1000&gt;0,B1000&lt;&gt;"Sell"),(AA1000-SUMIF(C$4:C999,C1000,AC$4:AC1000))/AB1000,0),"")</f>
        <v>-31.343779980812279</v>
      </c>
      <c r="W1000" s="24" t="str">
        <f t="shared" si="128"/>
        <v/>
      </c>
      <c r="X1000" s="25" t="str">
        <f t="shared" si="127"/>
        <v>Vanguard US Total Market ETF_ACB</v>
      </c>
      <c r="Y1000" s="10" t="str">
        <f>IF(S1001&lt;&gt;eRRSP_Tx_Table[[#This Row],[Year]],SUMIFS($W$4:$W1000,$S$4:$S1000,eRRSP_Tx_Table[[#This Row],[Year]],$W$4:$W1000,"&gt;0"),"")</f>
        <v/>
      </c>
      <c r="Z1000" s="10" t="str">
        <f>IF(S1001&lt;&gt;eRRSP_Tx_Table[[#This Row],[Year]],SUMIFS($W$4:$W1000,$S$4:$S1000,eRRSP_Tx_Table[[#This Row],[Year]],$W$4:$W1000,"&lt;0"),"")</f>
        <v/>
      </c>
      <c r="AA1000" s="3">
        <f>(SUMIF($U$4:$U1000,CONCATENATE("Buy",$C1000),$N$4:$N1000)+SUMIF($U$4:$U1000,CONCATENATE("ReinvDiv",$C1000),$N$4:$N1000))</f>
        <v>-98012</v>
      </c>
      <c r="AB1000">
        <f>(SUMIF($U$4:$U1000,CONCATENATE("Buy",$C1000),$F$4:$F1000)+SUMIF($U$4:$U1000,CONCATENATE("ReinvDiv",$C1000),$F$4:$F1000)+SUMIF($U$4:$U1000,CONCATENATE("StkSplit",$C1000),$F$4:$F1000)-SUMIF($U$4:$U1000,CONCATENATE("Sell",$C1000),$F$4:$F1000))</f>
        <v>3127</v>
      </c>
      <c r="AC1000" s="3">
        <f>IF(B1000="Sell",F1000*INDEX(V:V,LOOKUP(2,1/(X$4:X999=CONCATENATE(C1000,"_ACB")),ROW(V$4:V999))),0)</f>
        <v>0</v>
      </c>
    </row>
    <row r="1001" spans="1:29" x14ac:dyDescent="0.25">
      <c r="A1001" s="20">
        <v>42201</v>
      </c>
      <c r="B1001" t="s">
        <v>43</v>
      </c>
      <c r="C1001" t="s">
        <v>36</v>
      </c>
      <c r="D1001" s="3">
        <v>0.03</v>
      </c>
      <c r="M1001" s="21">
        <f t="shared" si="131"/>
        <v>0.03</v>
      </c>
      <c r="N1001" s="8">
        <f t="shared" si="129"/>
        <v>0.03</v>
      </c>
      <c r="O1001" s="25">
        <f t="shared" si="126"/>
        <v>2093.3899999999321</v>
      </c>
      <c r="P1001" s="8">
        <f t="shared" si="133"/>
        <v>0</v>
      </c>
      <c r="Q1001" s="4">
        <f>IF(AND(S1001&gt;=[1]eRRSP_Rpt!$C$6,S1001&lt;=[1]eRRSP_Rpt!$C$7),1,0)</f>
        <v>1</v>
      </c>
      <c r="R1001" s="4"/>
      <c r="S1001" s="4">
        <f t="shared" si="130"/>
        <v>2015</v>
      </c>
      <c r="T1001" s="4"/>
      <c r="U1001" s="4" t="str">
        <f t="shared" si="132"/>
        <v>IntIncTDW</v>
      </c>
      <c r="V1001" s="23">
        <f>IFERROR(IF(AND(AB1001&gt;0,B1001&lt;&gt;"Sell"),(AA1001-SUMIF(C$4:C1000,C1001,AC$4:AC1001))/AB1001,0),"")</f>
        <v>0</v>
      </c>
      <c r="W1001" s="24" t="str">
        <f t="shared" si="128"/>
        <v/>
      </c>
      <c r="X1001" s="25" t="str">
        <f t="shared" si="127"/>
        <v/>
      </c>
      <c r="Y1001" s="10" t="str">
        <f>IF(S1002&lt;&gt;eRRSP_Tx_Table[[#This Row],[Year]],SUMIFS($W$4:$W1001,$S$4:$S1001,eRRSP_Tx_Table[[#This Row],[Year]],$W$4:$W1001,"&gt;0"),"")</f>
        <v/>
      </c>
      <c r="Z1001" s="10" t="str">
        <f>IF(S1002&lt;&gt;eRRSP_Tx_Table[[#This Row],[Year]],SUMIFS($W$4:$W1001,$S$4:$S1001,eRRSP_Tx_Table[[#This Row],[Year]],$W$4:$W1001,"&lt;0"),"")</f>
        <v/>
      </c>
      <c r="AA1001" s="3">
        <f>(SUMIF($U$4:$U1001,CONCATENATE("Buy",$C1001),$N$4:$N1001)+SUMIF($U$4:$U1001,CONCATENATE("ReinvDiv",$C1001),$N$4:$N1001))</f>
        <v>0</v>
      </c>
      <c r="AB1001">
        <f>(SUMIF($U$4:$U1001,CONCATENATE("Buy",$C1001),$F$4:$F1001)+SUMIF($U$4:$U1001,CONCATENATE("ReinvDiv",$C1001),$F$4:$F1001)+SUMIF($U$4:$U1001,CONCATENATE("StkSplit",$C1001),$F$4:$F1001)-SUMIF($U$4:$U1001,CONCATENATE("Sell",$C1001),$F$4:$F1001))</f>
        <v>0</v>
      </c>
      <c r="AC1001" s="3">
        <f>IF(B1001="Sell",F1001*INDEX(V:V,LOOKUP(2,1/(X$4:X1000=CONCATENATE(C1001,"_ACB")),ROW(V$4:V1000))),0)</f>
        <v>0</v>
      </c>
    </row>
    <row r="1002" spans="1:29" x14ac:dyDescent="0.25">
      <c r="A1002" s="20">
        <v>42211</v>
      </c>
      <c r="B1002" t="s">
        <v>43</v>
      </c>
      <c r="C1002" t="s">
        <v>94</v>
      </c>
      <c r="D1002" s="3">
        <v>486.5</v>
      </c>
      <c r="M1002" s="21">
        <f t="shared" si="131"/>
        <v>486.5</v>
      </c>
      <c r="N1002" s="8">
        <f t="shared" si="129"/>
        <v>486.5</v>
      </c>
      <c r="O1002" s="25">
        <f t="shared" si="126"/>
        <v>2579.8899999999321</v>
      </c>
      <c r="P1002" s="8">
        <f t="shared" si="133"/>
        <v>0</v>
      </c>
      <c r="Q1002" s="4">
        <f>IF(AND(S1002&gt;=[1]eRRSP_Rpt!$C$6,S1002&lt;=[1]eRRSP_Rpt!$C$7),1,0)</f>
        <v>1</v>
      </c>
      <c r="R1002" s="4"/>
      <c r="S1002" s="4">
        <f t="shared" si="130"/>
        <v>2015</v>
      </c>
      <c r="T1002" s="4"/>
      <c r="U1002" s="4" t="str">
        <f t="shared" si="132"/>
        <v>IntIncAIMIA SER-3  6.95% 26JA17</v>
      </c>
      <c r="V1002" s="23">
        <f>IFERROR(IF(AND(AB1002&gt;0,B1002&lt;&gt;"Sell"),(AA1002-SUMIF(C$4:C1001,C1002,AC$4:AC1002))/AB1002,0),"")</f>
        <v>-1.0346899999999999</v>
      </c>
      <c r="W1002" s="24" t="str">
        <f t="shared" si="128"/>
        <v/>
      </c>
      <c r="X1002" s="25" t="str">
        <f t="shared" si="127"/>
        <v>AIMIA SER-3  6.95% 26JA17_ACB</v>
      </c>
      <c r="Y1002" s="10" t="str">
        <f>IF(S1003&lt;&gt;eRRSP_Tx_Table[[#This Row],[Year]],SUMIFS($W$4:$W1002,$S$4:$S1002,eRRSP_Tx_Table[[#This Row],[Year]],$W$4:$W1002,"&gt;0"),"")</f>
        <v/>
      </c>
      <c r="Z1002" s="10" t="str">
        <f>IF(S1003&lt;&gt;eRRSP_Tx_Table[[#This Row],[Year]],SUMIFS($W$4:$W1002,$S$4:$S1002,eRRSP_Tx_Table[[#This Row],[Year]],$W$4:$W1002,"&lt;0"),"")</f>
        <v/>
      </c>
      <c r="AA1002" s="3">
        <f>(SUMIF($U$4:$U1002,CONCATENATE("Buy",$C1002),$N$4:$N1002)+SUMIF($U$4:$U1002,CONCATENATE("ReinvDiv",$C1002),$N$4:$N1002))</f>
        <v>-14485.66</v>
      </c>
      <c r="AB1002">
        <f>(SUMIF($U$4:$U1002,CONCATENATE("Buy",$C1002),$F$4:$F1002)+SUMIF($U$4:$U1002,CONCATENATE("ReinvDiv",$C1002),$F$4:$F1002)+SUMIF($U$4:$U1002,CONCATENATE("StkSplit",$C1002),$F$4:$F1002)-SUMIF($U$4:$U1002,CONCATENATE("Sell",$C1002),$F$4:$F1002))</f>
        <v>14000</v>
      </c>
      <c r="AC1002" s="3">
        <f>IF(B1002="Sell",F1002*INDEX(V:V,LOOKUP(2,1/(X$4:X1001=CONCATENATE(C1002,"_ACB")),ROW(V$4:V1001))),0)</f>
        <v>0</v>
      </c>
    </row>
    <row r="1003" spans="1:29" x14ac:dyDescent="0.25">
      <c r="A1003" s="20">
        <v>42216</v>
      </c>
      <c r="B1003" t="s">
        <v>43</v>
      </c>
      <c r="C1003" t="s">
        <v>99</v>
      </c>
      <c r="D1003" s="3">
        <v>13.98</v>
      </c>
      <c r="M1003" s="21">
        <f t="shared" si="131"/>
        <v>13.98</v>
      </c>
      <c r="N1003" s="8">
        <f t="shared" si="129"/>
        <v>13.98</v>
      </c>
      <c r="O1003" s="25">
        <f t="shared" si="126"/>
        <v>2593.8699999999321</v>
      </c>
      <c r="P1003" s="8">
        <f t="shared" si="133"/>
        <v>0</v>
      </c>
      <c r="Q1003" s="4">
        <f>IF(AND(S1003&gt;=[1]eRRSP_Rpt!$C$6,S1003&lt;=[1]eRRSP_Rpt!$C$7),1,0)</f>
        <v>1</v>
      </c>
      <c r="R1003" s="4"/>
      <c r="S1003" s="4">
        <f t="shared" si="130"/>
        <v>2015</v>
      </c>
      <c r="T1003" s="4"/>
      <c r="U1003" s="4" t="str">
        <f t="shared" si="132"/>
        <v>IntIncTD INV SAV ACCT  /NL'FRAC</v>
      </c>
      <c r="V1003" s="23">
        <f>IFERROR(IF(AND(AB1003&gt;0,B1003&lt;&gt;"Sell"),(AA1003-SUMIF(C$4:C1002,C1003,AC$4:AC1003))/AB1003,0),"")</f>
        <v>-10</v>
      </c>
      <c r="W1003" s="24" t="str">
        <f t="shared" si="128"/>
        <v/>
      </c>
      <c r="X1003" s="25" t="str">
        <f t="shared" si="127"/>
        <v>TD INV SAV ACCT  /NL'FRAC_ACB</v>
      </c>
      <c r="Y1003" s="10" t="str">
        <f>IF(S1004&lt;&gt;eRRSP_Tx_Table[[#This Row],[Year]],SUMIFS($W$4:$W1003,$S$4:$S1003,eRRSP_Tx_Table[[#This Row],[Year]],$W$4:$W1003,"&gt;0"),"")</f>
        <v/>
      </c>
      <c r="Z1003" s="10" t="str">
        <f>IF(S1004&lt;&gt;eRRSP_Tx_Table[[#This Row],[Year]],SUMIFS($W$4:$W1003,$S$4:$S1003,eRRSP_Tx_Table[[#This Row],[Year]],$W$4:$W1003,"&lt;0"),"")</f>
        <v/>
      </c>
      <c r="AA1003" s="3">
        <f>(SUMIF($U$4:$U1003,CONCATENATE("Buy",$C1003),$N$4:$N1003)+SUMIF($U$4:$U1003,CONCATENATE("ReinvDiv",$C1003),$N$4:$N1003))</f>
        <v>-30900</v>
      </c>
      <c r="AB1003">
        <f>(SUMIF($U$4:$U1003,CONCATENATE("Buy",$C1003),$F$4:$F1003)+SUMIF($U$4:$U1003,CONCATENATE("ReinvDiv",$C1003),$F$4:$F1003)+SUMIF($U$4:$U1003,CONCATENATE("StkSplit",$C1003),$F$4:$F1003)-SUMIF($U$4:$U1003,CONCATENATE("Sell",$C1003),$F$4:$F1003))</f>
        <v>1790</v>
      </c>
      <c r="AC1003" s="3">
        <f>IF(B1003="Sell",F1003*INDEX(V:V,LOOKUP(2,1/(X$4:X1002=CONCATENATE(C1003,"_ACB")),ROW(V$4:V1002))),0)</f>
        <v>0</v>
      </c>
    </row>
    <row r="1004" spans="1:29" x14ac:dyDescent="0.25">
      <c r="A1004" s="20">
        <v>42221</v>
      </c>
      <c r="B1004" t="s">
        <v>42</v>
      </c>
      <c r="C1004" t="s">
        <v>105</v>
      </c>
      <c r="D1004" s="3">
        <v>53.84</v>
      </c>
      <c r="M1004" s="21">
        <f t="shared" si="131"/>
        <v>53.84</v>
      </c>
      <c r="N1004" s="8">
        <f t="shared" si="129"/>
        <v>53.84</v>
      </c>
      <c r="O1004" s="25">
        <f t="shared" si="126"/>
        <v>2647.7099999999323</v>
      </c>
      <c r="P1004" s="8">
        <f t="shared" si="133"/>
        <v>0</v>
      </c>
      <c r="Q1004" s="4">
        <f>IF(AND(S1004&gt;=[1]eRRSP_Rpt!$C$6,S1004&lt;=[1]eRRSP_Rpt!$C$7),1,0)</f>
        <v>1</v>
      </c>
      <c r="R1004" s="4"/>
      <c r="S1004" s="4">
        <f t="shared" si="130"/>
        <v>2015</v>
      </c>
      <c r="T1004" s="4"/>
      <c r="U1004" s="4" t="str">
        <f t="shared" si="132"/>
        <v>DivVanguard CDN S/T Corp Bond</v>
      </c>
      <c r="V1004" s="23">
        <f>IFERROR(IF(AND(AB1004&gt;0,B1004&lt;&gt;"Sell"),(AA1004-SUMIF(C$4:C1003,C1004,AC$4:AC1004))/AB1004,0),"")</f>
        <v>-25.164273504273503</v>
      </c>
      <c r="W1004" s="24" t="str">
        <f t="shared" si="128"/>
        <v/>
      </c>
      <c r="X1004" s="25" t="str">
        <f t="shared" si="127"/>
        <v>Vanguard CDN S/T Corp Bond_ACB</v>
      </c>
      <c r="Y1004" s="10" t="str">
        <f>IF(S1005&lt;&gt;eRRSP_Tx_Table[[#This Row],[Year]],SUMIFS($W$4:$W1004,$S$4:$S1004,eRRSP_Tx_Table[[#This Row],[Year]],$W$4:$W1004,"&gt;0"),"")</f>
        <v/>
      </c>
      <c r="Z1004" s="10" t="str">
        <f>IF(S1005&lt;&gt;eRRSP_Tx_Table[[#This Row],[Year]],SUMIFS($W$4:$W1004,$S$4:$S1004,eRRSP_Tx_Table[[#This Row],[Year]],$W$4:$W1004,"&lt;0"),"")</f>
        <v/>
      </c>
      <c r="AA1004" s="3">
        <f>(SUMIF($U$4:$U1004,CONCATENATE("Buy",$C1004),$N$4:$N1004)+SUMIF($U$4:$U1004,CONCATENATE("ReinvDiv",$C1004),$N$4:$N1004))</f>
        <v>-41219.08</v>
      </c>
      <c r="AB1004">
        <f>(SUMIF($U$4:$U1004,CONCATENATE("Buy",$C1004),$F$4:$F1004)+SUMIF($U$4:$U1004,CONCATENATE("ReinvDiv",$C1004),$F$4:$F1004)+SUMIF($U$4:$U1004,CONCATENATE("StkSplit",$C1004),$F$4:$F1004)-SUMIF($U$4:$U1004,CONCATENATE("Sell",$C1004),$F$4:$F1004))</f>
        <v>795</v>
      </c>
      <c r="AC1004" s="3">
        <f>IF(B1004="Sell",F1004*INDEX(V:V,LOOKUP(2,1/(X$4:X1003=CONCATENATE(C1004,"_ACB")),ROW(V$4:V1003))),0)</f>
        <v>0</v>
      </c>
    </row>
    <row r="1005" spans="1:29" x14ac:dyDescent="0.25">
      <c r="A1005" s="20">
        <v>42232</v>
      </c>
      <c r="B1005" t="s">
        <v>43</v>
      </c>
      <c r="C1005" t="s">
        <v>36</v>
      </c>
      <c r="D1005" s="3">
        <v>0.05</v>
      </c>
      <c r="M1005" s="21">
        <f t="shared" si="131"/>
        <v>0.05</v>
      </c>
      <c r="N1005" s="8">
        <f t="shared" si="129"/>
        <v>0.05</v>
      </c>
      <c r="O1005" s="25">
        <f t="shared" si="126"/>
        <v>2647.7599999999325</v>
      </c>
      <c r="P1005" s="8">
        <f t="shared" si="133"/>
        <v>0</v>
      </c>
      <c r="Q1005" s="4">
        <f>IF(AND(S1005&gt;=[1]eRRSP_Rpt!$C$6,S1005&lt;=[1]eRRSP_Rpt!$C$7),1,0)</f>
        <v>1</v>
      </c>
      <c r="R1005" s="4"/>
      <c r="S1005" s="4">
        <f t="shared" si="130"/>
        <v>2015</v>
      </c>
      <c r="T1005" s="4"/>
      <c r="U1005" s="4" t="str">
        <f t="shared" si="132"/>
        <v>IntIncTDW</v>
      </c>
      <c r="V1005" s="23">
        <f>IFERROR(IF(AND(AB1005&gt;0,B1005&lt;&gt;"Sell"),(AA1005-SUMIF(C$4:C1004,C1005,AC$4:AC1005))/AB1005,0),"")</f>
        <v>0</v>
      </c>
      <c r="W1005" s="24" t="str">
        <f t="shared" si="128"/>
        <v/>
      </c>
      <c r="X1005" s="25" t="str">
        <f t="shared" si="127"/>
        <v/>
      </c>
      <c r="Y1005" s="10" t="str">
        <f>IF(S1006&lt;&gt;eRRSP_Tx_Table[[#This Row],[Year]],SUMIFS($W$4:$W1005,$S$4:$S1005,eRRSP_Tx_Table[[#This Row],[Year]],$W$4:$W1005,"&gt;0"),"")</f>
        <v/>
      </c>
      <c r="Z1005" s="10" t="str">
        <f>IF(S1006&lt;&gt;eRRSP_Tx_Table[[#This Row],[Year]],SUMIFS($W$4:$W1005,$S$4:$S1005,eRRSP_Tx_Table[[#This Row],[Year]],$W$4:$W1005,"&lt;0"),"")</f>
        <v/>
      </c>
      <c r="AA1005" s="3">
        <f>(SUMIF($U$4:$U1005,CONCATENATE("Buy",$C1005),$N$4:$N1005)+SUMIF($U$4:$U1005,CONCATENATE("ReinvDiv",$C1005),$N$4:$N1005))</f>
        <v>0</v>
      </c>
      <c r="AB1005">
        <f>(SUMIF($U$4:$U1005,CONCATENATE("Buy",$C1005),$F$4:$F1005)+SUMIF($U$4:$U1005,CONCATENATE("ReinvDiv",$C1005),$F$4:$F1005)+SUMIF($U$4:$U1005,CONCATENATE("StkSplit",$C1005),$F$4:$F1005)-SUMIF($U$4:$U1005,CONCATENATE("Sell",$C1005),$F$4:$F1005))</f>
        <v>0</v>
      </c>
      <c r="AC1005" s="3">
        <f>IF(B1005="Sell",F1005*INDEX(V:V,LOOKUP(2,1/(X$4:X1004=CONCATENATE(C1005,"_ACB")),ROW(V$4:V1004))),0)</f>
        <v>0</v>
      </c>
    </row>
    <row r="1006" spans="1:29" x14ac:dyDescent="0.25">
      <c r="A1006" s="20">
        <v>42247</v>
      </c>
      <c r="B1006" t="s">
        <v>43</v>
      </c>
      <c r="C1006" t="s">
        <v>99</v>
      </c>
      <c r="D1006" s="3">
        <v>10.3</v>
      </c>
      <c r="M1006" s="21">
        <f t="shared" si="131"/>
        <v>10.3</v>
      </c>
      <c r="N1006" s="8">
        <f t="shared" si="129"/>
        <v>10.3</v>
      </c>
      <c r="O1006" s="25">
        <f t="shared" si="126"/>
        <v>2658.0599999999326</v>
      </c>
      <c r="P1006" s="8">
        <f t="shared" si="133"/>
        <v>0</v>
      </c>
      <c r="Q1006" s="4">
        <f>IF(AND(S1006&gt;=[1]eRRSP_Rpt!$C$6,S1006&lt;=[1]eRRSP_Rpt!$C$7),1,0)</f>
        <v>1</v>
      </c>
      <c r="R1006" s="4"/>
      <c r="S1006" s="4">
        <f t="shared" si="130"/>
        <v>2015</v>
      </c>
      <c r="T1006" s="4"/>
      <c r="U1006" s="4" t="str">
        <f t="shared" si="132"/>
        <v>IntIncTD INV SAV ACCT  /NL'FRAC</v>
      </c>
      <c r="V1006" s="23">
        <f>IFERROR(IF(AND(AB1006&gt;0,B1006&lt;&gt;"Sell"),(AA1006-SUMIF(C$4:C1005,C1006,AC$4:AC1006))/AB1006,0),"")</f>
        <v>-10</v>
      </c>
      <c r="W1006" s="24" t="str">
        <f t="shared" si="128"/>
        <v/>
      </c>
      <c r="X1006" s="25" t="str">
        <f t="shared" si="127"/>
        <v>TD INV SAV ACCT  /NL'FRAC_ACB</v>
      </c>
      <c r="Y1006" s="10" t="str">
        <f>IF(S1007&lt;&gt;eRRSP_Tx_Table[[#This Row],[Year]],SUMIFS($W$4:$W1006,$S$4:$S1006,eRRSP_Tx_Table[[#This Row],[Year]],$W$4:$W1006,"&gt;0"),"")</f>
        <v/>
      </c>
      <c r="Z1006" s="10" t="str">
        <f>IF(S1007&lt;&gt;eRRSP_Tx_Table[[#This Row],[Year]],SUMIFS($W$4:$W1006,$S$4:$S1006,eRRSP_Tx_Table[[#This Row],[Year]],$W$4:$W1006,"&lt;0"),"")</f>
        <v/>
      </c>
      <c r="AA1006" s="3">
        <f>(SUMIF($U$4:$U1006,CONCATENATE("Buy",$C1006),$N$4:$N1006)+SUMIF($U$4:$U1006,CONCATENATE("ReinvDiv",$C1006),$N$4:$N1006))</f>
        <v>-30900</v>
      </c>
      <c r="AB1006">
        <f>(SUMIF($U$4:$U1006,CONCATENATE("Buy",$C1006),$F$4:$F1006)+SUMIF($U$4:$U1006,CONCATENATE("ReinvDiv",$C1006),$F$4:$F1006)+SUMIF($U$4:$U1006,CONCATENATE("StkSplit",$C1006),$F$4:$F1006)-SUMIF($U$4:$U1006,CONCATENATE("Sell",$C1006),$F$4:$F1006))</f>
        <v>1790</v>
      </c>
      <c r="AC1006" s="3">
        <f>IF(B1006="Sell",F1006*INDEX(V:V,LOOKUP(2,1/(X$4:X1005=CONCATENATE(C1006,"_ACB")),ROW(V$4:V1005))),0)</f>
        <v>0</v>
      </c>
    </row>
    <row r="1007" spans="1:29" x14ac:dyDescent="0.25">
      <c r="A1007" s="20">
        <v>42250</v>
      </c>
      <c r="B1007" t="s">
        <v>42</v>
      </c>
      <c r="C1007" t="s">
        <v>105</v>
      </c>
      <c r="D1007" s="3">
        <v>47.64</v>
      </c>
      <c r="M1007" s="21">
        <f t="shared" si="131"/>
        <v>47.64</v>
      </c>
      <c r="N1007" s="8">
        <f t="shared" si="129"/>
        <v>47.64</v>
      </c>
      <c r="O1007" s="25">
        <f t="shared" si="126"/>
        <v>2705.6999999999325</v>
      </c>
      <c r="P1007" s="8">
        <f t="shared" si="133"/>
        <v>0</v>
      </c>
      <c r="Q1007" s="4">
        <f>IF(AND(S1007&gt;=[1]eRRSP_Rpt!$C$6,S1007&lt;=[1]eRRSP_Rpt!$C$7),1,0)</f>
        <v>1</v>
      </c>
      <c r="R1007" s="4"/>
      <c r="S1007" s="4">
        <f t="shared" si="130"/>
        <v>2015</v>
      </c>
      <c r="T1007" s="4"/>
      <c r="U1007" s="4" t="str">
        <f t="shared" si="132"/>
        <v>DivVanguard CDN S/T Corp Bond</v>
      </c>
      <c r="V1007" s="23">
        <f>IFERROR(IF(AND(AB1007&gt;0,B1007&lt;&gt;"Sell"),(AA1007-SUMIF(C$4:C1006,C1007,AC$4:AC1007))/AB1007,0),"")</f>
        <v>-25.164273504273503</v>
      </c>
      <c r="W1007" s="24" t="str">
        <f t="shared" si="128"/>
        <v/>
      </c>
      <c r="X1007" s="25" t="str">
        <f t="shared" si="127"/>
        <v>Vanguard CDN S/T Corp Bond_ACB</v>
      </c>
      <c r="Y1007" s="10" t="str">
        <f>IF(S1008&lt;&gt;eRRSP_Tx_Table[[#This Row],[Year]],SUMIFS($W$4:$W1007,$S$4:$S1007,eRRSP_Tx_Table[[#This Row],[Year]],$W$4:$W1007,"&gt;0"),"")</f>
        <v/>
      </c>
      <c r="Z1007" s="10" t="str">
        <f>IF(S1008&lt;&gt;eRRSP_Tx_Table[[#This Row],[Year]],SUMIFS($W$4:$W1007,$S$4:$S1007,eRRSP_Tx_Table[[#This Row],[Year]],$W$4:$W1007,"&lt;0"),"")</f>
        <v/>
      </c>
      <c r="AA1007" s="3">
        <f>(SUMIF($U$4:$U1007,CONCATENATE("Buy",$C1007),$N$4:$N1007)+SUMIF($U$4:$U1007,CONCATENATE("ReinvDiv",$C1007),$N$4:$N1007))</f>
        <v>-41219.08</v>
      </c>
      <c r="AB1007">
        <f>(SUMIF($U$4:$U1007,CONCATENATE("Buy",$C1007),$F$4:$F1007)+SUMIF($U$4:$U1007,CONCATENATE("ReinvDiv",$C1007),$F$4:$F1007)+SUMIF($U$4:$U1007,CONCATENATE("StkSplit",$C1007),$F$4:$F1007)-SUMIF($U$4:$U1007,CONCATENATE("Sell",$C1007),$F$4:$F1007))</f>
        <v>795</v>
      </c>
      <c r="AC1007" s="3">
        <f>IF(B1007="Sell",F1007*INDEX(V:V,LOOKUP(2,1/(X$4:X1006=CONCATENATE(C1007,"_ACB")),ROW(V$4:V1006))),0)</f>
        <v>0</v>
      </c>
    </row>
    <row r="1008" spans="1:29" x14ac:dyDescent="0.25">
      <c r="A1008" s="20">
        <v>42263</v>
      </c>
      <c r="B1008" t="s">
        <v>43</v>
      </c>
      <c r="C1008" t="s">
        <v>36</v>
      </c>
      <c r="D1008" s="3">
        <v>0.05</v>
      </c>
      <c r="M1008" s="21">
        <f t="shared" si="131"/>
        <v>0.05</v>
      </c>
      <c r="N1008" s="8">
        <f t="shared" si="129"/>
        <v>0.05</v>
      </c>
      <c r="O1008" s="25">
        <f t="shared" si="126"/>
        <v>2705.7499999999327</v>
      </c>
      <c r="P1008" s="8">
        <f t="shared" si="133"/>
        <v>0</v>
      </c>
      <c r="Q1008" s="4">
        <f>IF(AND(S1008&gt;=[1]eRRSP_Rpt!$C$6,S1008&lt;=[1]eRRSP_Rpt!$C$7),1,0)</f>
        <v>1</v>
      </c>
      <c r="R1008" s="4"/>
      <c r="S1008" s="4">
        <f t="shared" si="130"/>
        <v>2015</v>
      </c>
      <c r="T1008" s="4"/>
      <c r="U1008" s="4" t="str">
        <f t="shared" si="132"/>
        <v>IntIncTDW</v>
      </c>
      <c r="V1008" s="23">
        <f>IFERROR(IF(AND(AB1008&gt;0,B1008&lt;&gt;"Sell"),(AA1008-SUMIF(C$4:C1007,C1008,AC$4:AC1008))/AB1008,0),"")</f>
        <v>0</v>
      </c>
      <c r="W1008" s="24" t="str">
        <f t="shared" si="128"/>
        <v/>
      </c>
      <c r="X1008" s="25" t="str">
        <f t="shared" si="127"/>
        <v/>
      </c>
      <c r="Y1008" s="10" t="str">
        <f>IF(S1009&lt;&gt;eRRSP_Tx_Table[[#This Row],[Year]],SUMIFS($W$4:$W1008,$S$4:$S1008,eRRSP_Tx_Table[[#This Row],[Year]],$W$4:$W1008,"&gt;0"),"")</f>
        <v/>
      </c>
      <c r="Z1008" s="10" t="str">
        <f>IF(S1009&lt;&gt;eRRSP_Tx_Table[[#This Row],[Year]],SUMIFS($W$4:$W1008,$S$4:$S1008,eRRSP_Tx_Table[[#This Row],[Year]],$W$4:$W1008,"&lt;0"),"")</f>
        <v/>
      </c>
      <c r="AA1008" s="3">
        <f>(SUMIF($U$4:$U1008,CONCATENATE("Buy",$C1008),$N$4:$N1008)+SUMIF($U$4:$U1008,CONCATENATE("ReinvDiv",$C1008),$N$4:$N1008))</f>
        <v>0</v>
      </c>
      <c r="AB1008">
        <f>(SUMIF($U$4:$U1008,CONCATENATE("Buy",$C1008),$F$4:$F1008)+SUMIF($U$4:$U1008,CONCATENATE("ReinvDiv",$C1008),$F$4:$F1008)+SUMIF($U$4:$U1008,CONCATENATE("StkSplit",$C1008),$F$4:$F1008)-SUMIF($U$4:$U1008,CONCATENATE("Sell",$C1008),$F$4:$F1008))</f>
        <v>0</v>
      </c>
      <c r="AC1008" s="3">
        <f>IF(B1008="Sell",F1008*INDEX(V:V,LOOKUP(2,1/(X$4:X1007=CONCATENATE(C1008,"_ACB")),ROW(V$4:V1007))),0)</f>
        <v>0</v>
      </c>
    </row>
    <row r="1009" spans="1:29" x14ac:dyDescent="0.25">
      <c r="A1009" s="20">
        <v>42270</v>
      </c>
      <c r="B1009" t="s">
        <v>35</v>
      </c>
      <c r="C1009" t="s">
        <v>36</v>
      </c>
      <c r="D1009" s="3">
        <v>19.98</v>
      </c>
      <c r="J1009" t="s">
        <v>106</v>
      </c>
      <c r="M1009" s="21">
        <f t="shared" si="131"/>
        <v>19.98</v>
      </c>
      <c r="N1009" s="8">
        <f t="shared" si="129"/>
        <v>19.98</v>
      </c>
      <c r="O1009" s="25">
        <f t="shared" si="126"/>
        <v>2725.7299999999327</v>
      </c>
      <c r="P1009" s="8">
        <f t="shared" si="133"/>
        <v>0</v>
      </c>
      <c r="Q1009" s="4">
        <f>IF(AND(S1009&gt;=[1]eRRSP_Rpt!$C$6,S1009&lt;=[1]eRRSP_Rpt!$C$7),1,0)</f>
        <v>1</v>
      </c>
      <c r="R1009" s="4"/>
      <c r="S1009" s="4">
        <f t="shared" si="130"/>
        <v>2015</v>
      </c>
      <c r="T1009" s="4"/>
      <c r="U1009" s="4" t="str">
        <f t="shared" si="132"/>
        <v>FeesTDW</v>
      </c>
      <c r="V1009" s="23">
        <f>IFERROR(IF(AND(AB1009&gt;0,B1009&lt;&gt;"Sell"),(AA1009-SUMIF(C$4:C1008,C1009,AC$4:AC1009))/AB1009,0),"")</f>
        <v>0</v>
      </c>
      <c r="W1009" s="24" t="str">
        <f t="shared" si="128"/>
        <v/>
      </c>
      <c r="X1009" s="25" t="str">
        <f t="shared" si="127"/>
        <v/>
      </c>
      <c r="Y1009" s="10" t="str">
        <f>IF(S1010&lt;&gt;eRRSP_Tx_Table[[#This Row],[Year]],SUMIFS($W$4:$W1009,$S$4:$S1009,eRRSP_Tx_Table[[#This Row],[Year]],$W$4:$W1009,"&gt;0"),"")</f>
        <v/>
      </c>
      <c r="Z1009" s="10" t="str">
        <f>IF(S1010&lt;&gt;eRRSP_Tx_Table[[#This Row],[Year]],SUMIFS($W$4:$W1009,$S$4:$S1009,eRRSP_Tx_Table[[#This Row],[Year]],$W$4:$W1009,"&lt;0"),"")</f>
        <v/>
      </c>
      <c r="AA1009" s="3">
        <f>(SUMIF($U$4:$U1009,CONCATENATE("Buy",$C1009),$N$4:$N1009)+SUMIF($U$4:$U1009,CONCATENATE("ReinvDiv",$C1009),$N$4:$N1009))</f>
        <v>0</v>
      </c>
      <c r="AB1009">
        <f>(SUMIF($U$4:$U1009,CONCATENATE("Buy",$C1009),$F$4:$F1009)+SUMIF($U$4:$U1009,CONCATENATE("ReinvDiv",$C1009),$F$4:$F1009)+SUMIF($U$4:$U1009,CONCATENATE("StkSplit",$C1009),$F$4:$F1009)-SUMIF($U$4:$U1009,CONCATENATE("Sell",$C1009),$F$4:$F1009))</f>
        <v>0</v>
      </c>
      <c r="AC1009" s="3">
        <f>IF(B1009="Sell",F1009*INDEX(V:V,LOOKUP(2,1/(X$4:X1008=CONCATENATE(C1009,"_ACB")),ROW(V$4:V1008))),0)</f>
        <v>0</v>
      </c>
    </row>
    <row r="1010" spans="1:29" x14ac:dyDescent="0.25">
      <c r="A1010" s="20">
        <v>42276</v>
      </c>
      <c r="B1010" t="s">
        <v>41</v>
      </c>
      <c r="C1010" t="s">
        <v>97</v>
      </c>
      <c r="D1010" s="3">
        <v>171.33</v>
      </c>
      <c r="E1010">
        <f>eRRSP_Tx_Table[[#This Row],[Amount]]/eRRSP_Tx_Table[[#This Row],[Quantity]]</f>
        <v>12.050218033478689</v>
      </c>
      <c r="F1010" s="3">
        <v>14.218</v>
      </c>
      <c r="M1010" s="21">
        <f t="shared" si="131"/>
        <v>171.33</v>
      </c>
      <c r="N1010" s="8">
        <f t="shared" si="129"/>
        <v>-171.33</v>
      </c>
      <c r="O1010" s="25">
        <f t="shared" si="126"/>
        <v>2725.7299999999327</v>
      </c>
      <c r="P1010" s="8">
        <f t="shared" si="133"/>
        <v>0</v>
      </c>
      <c r="Q1010" s="4">
        <f>IF(AND(S1010&gt;=[1]eRRSP_Rpt!$C$6,S1010&lt;=[1]eRRSP_Rpt!$C$7),1,0)</f>
        <v>1</v>
      </c>
      <c r="R1010" s="4"/>
      <c r="S1010" s="4">
        <f t="shared" si="130"/>
        <v>2015</v>
      </c>
      <c r="T1010" s="4"/>
      <c r="U1010" s="4" t="str">
        <f t="shared" si="132"/>
        <v>ReinvDivTD International Index - e</v>
      </c>
      <c r="V1010" s="23">
        <f>IFERROR(IF(AND(AB1010&gt;0,B1010&lt;&gt;"Sell"),(AA1010-SUMIF(C$4:C1009,C1010,AC$4:AC1010))/AB1010,0),"")</f>
        <v>-11.052626610772531</v>
      </c>
      <c r="W1010" s="24" t="str">
        <f t="shared" si="128"/>
        <v/>
      </c>
      <c r="X1010" s="25" t="str">
        <f t="shared" si="127"/>
        <v>TD International Index - e_ACB</v>
      </c>
      <c r="Y1010" s="10" t="str">
        <f>IF(S1011&lt;&gt;eRRSP_Tx_Table[[#This Row],[Year]],SUMIFS($W$4:$W1010,$S$4:$S1010,eRRSP_Tx_Table[[#This Row],[Year]],$W$4:$W1010,"&gt;0"),"")</f>
        <v/>
      </c>
      <c r="Z1010" s="10" t="str">
        <f>IF(S1011&lt;&gt;eRRSP_Tx_Table[[#This Row],[Year]],SUMIFS($W$4:$W1010,$S$4:$S1010,eRRSP_Tx_Table[[#This Row],[Year]],$W$4:$W1010,"&lt;0"),"")</f>
        <v/>
      </c>
      <c r="AA1010" s="3">
        <f>(SUMIF($U$4:$U1010,CONCATENATE("Buy",$C1010),$N$4:$N1010)+SUMIF($U$4:$U1010,CONCATENATE("ReinvDiv",$C1010),$N$4:$N1010))</f>
        <v>-51360.319999999992</v>
      </c>
      <c r="AB1010">
        <f>(SUMIF($U$4:$U1010,CONCATENATE("Buy",$C1010),$F$4:$F1010)+SUMIF($U$4:$U1010,CONCATENATE("ReinvDiv",$C1010),$F$4:$F1010)+SUMIF($U$4:$U1010,CONCATENATE("StkSplit",$C1010),$F$4:$F1010)-SUMIF($U$4:$U1010,CONCATENATE("Sell",$C1010),$F$4:$F1010))</f>
        <v>2778.7419999999997</v>
      </c>
      <c r="AC1010" s="3">
        <f>IF(B1010="Sell",F1010*INDEX(V:V,LOOKUP(2,1/(X$4:X1009=CONCATENATE(C1010,"_ACB")),ROW(V$4:V1009))),0)</f>
        <v>0</v>
      </c>
    </row>
    <row r="1011" spans="1:29" x14ac:dyDescent="0.25">
      <c r="A1011" s="20">
        <v>42277</v>
      </c>
      <c r="B1011" t="s">
        <v>43</v>
      </c>
      <c r="C1011" t="s">
        <v>99</v>
      </c>
      <c r="D1011" s="3">
        <v>11.03</v>
      </c>
      <c r="M1011" s="21">
        <f t="shared" si="131"/>
        <v>11.03</v>
      </c>
      <c r="N1011" s="8">
        <f t="shared" si="129"/>
        <v>11.03</v>
      </c>
      <c r="O1011" s="25">
        <f t="shared" si="126"/>
        <v>2736.7599999999329</v>
      </c>
      <c r="P1011" s="8">
        <f t="shared" si="133"/>
        <v>0</v>
      </c>
      <c r="Q1011" s="4">
        <f>IF(AND(S1011&gt;=[1]eRRSP_Rpt!$C$6,S1011&lt;=[1]eRRSP_Rpt!$C$7),1,0)</f>
        <v>1</v>
      </c>
      <c r="R1011" s="4"/>
      <c r="S1011" s="4">
        <f t="shared" si="130"/>
        <v>2015</v>
      </c>
      <c r="T1011" s="4"/>
      <c r="U1011" s="4" t="str">
        <f t="shared" si="132"/>
        <v>IntIncTD INV SAV ACCT  /NL'FRAC</v>
      </c>
      <c r="V1011" s="23">
        <f>IFERROR(IF(AND(AB1011&gt;0,B1011&lt;&gt;"Sell"),(AA1011-SUMIF(C$4:C1010,C1011,AC$4:AC1011))/AB1011,0),"")</f>
        <v>-10</v>
      </c>
      <c r="W1011" s="24" t="str">
        <f t="shared" si="128"/>
        <v/>
      </c>
      <c r="X1011" s="25" t="str">
        <f t="shared" si="127"/>
        <v>TD INV SAV ACCT  /NL'FRAC_ACB</v>
      </c>
      <c r="Y1011" s="10" t="str">
        <f>IF(S1012&lt;&gt;eRRSP_Tx_Table[[#This Row],[Year]],SUMIFS($W$4:$W1011,$S$4:$S1011,eRRSP_Tx_Table[[#This Row],[Year]],$W$4:$W1011,"&gt;0"),"")</f>
        <v/>
      </c>
      <c r="Z1011" s="10" t="str">
        <f>IF(S1012&lt;&gt;eRRSP_Tx_Table[[#This Row],[Year]],SUMIFS($W$4:$W1011,$S$4:$S1011,eRRSP_Tx_Table[[#This Row],[Year]],$W$4:$W1011,"&lt;0"),"")</f>
        <v/>
      </c>
      <c r="AA1011" s="3">
        <f>(SUMIF($U$4:$U1011,CONCATENATE("Buy",$C1011),$N$4:$N1011)+SUMIF($U$4:$U1011,CONCATENATE("ReinvDiv",$C1011),$N$4:$N1011))</f>
        <v>-30900</v>
      </c>
      <c r="AB1011">
        <f>(SUMIF($U$4:$U1011,CONCATENATE("Buy",$C1011),$F$4:$F1011)+SUMIF($U$4:$U1011,CONCATENATE("ReinvDiv",$C1011),$F$4:$F1011)+SUMIF($U$4:$U1011,CONCATENATE("StkSplit",$C1011),$F$4:$F1011)-SUMIF($U$4:$U1011,CONCATENATE("Sell",$C1011),$F$4:$F1011))</f>
        <v>1790</v>
      </c>
      <c r="AC1011" s="3">
        <f>IF(B1011="Sell",F1011*INDEX(V:V,LOOKUP(2,1/(X$4:X1010=CONCATENATE(C1011,"_ACB")),ROW(V$4:V1010))),0)</f>
        <v>0</v>
      </c>
    </row>
    <row r="1012" spans="1:29" x14ac:dyDescent="0.25">
      <c r="A1012" s="20">
        <v>42277</v>
      </c>
      <c r="B1012" t="s">
        <v>42</v>
      </c>
      <c r="C1012" t="s">
        <v>103</v>
      </c>
      <c r="D1012" s="3">
        <v>155.18</v>
      </c>
      <c r="M1012" s="21">
        <f t="shared" si="131"/>
        <v>155.18</v>
      </c>
      <c r="N1012" s="8">
        <f t="shared" si="129"/>
        <v>155.18</v>
      </c>
      <c r="O1012" s="25">
        <f t="shared" si="126"/>
        <v>2891.9399999999328</v>
      </c>
      <c r="P1012" s="8">
        <f t="shared" si="133"/>
        <v>0</v>
      </c>
      <c r="Q1012" s="4">
        <f>IF(AND(S1012&gt;=[1]eRRSP_Rpt!$C$6,S1012&lt;=[1]eRRSP_Rpt!$C$7),1,0)</f>
        <v>1</v>
      </c>
      <c r="R1012" s="4"/>
      <c r="S1012" s="4">
        <f t="shared" si="130"/>
        <v>2015</v>
      </c>
      <c r="T1012" s="4"/>
      <c r="U1012" s="4" t="str">
        <f t="shared" si="132"/>
        <v>DivIshares Global Real Estate Index</v>
      </c>
      <c r="V1012" s="23">
        <f>IFERROR(IF(AND(AB1012&gt;0,B1012&lt;&gt;"Sell"),(AA1012-SUMIF(C$4:C1011,C1012,AC$4:AC1012))/AB1012,0),"")</f>
        <v>-21.780311149524632</v>
      </c>
      <c r="W1012" s="24" t="str">
        <f t="shared" si="128"/>
        <v/>
      </c>
      <c r="X1012" s="25" t="str">
        <f t="shared" si="127"/>
        <v>Ishares Global Real Estate Index_ACB</v>
      </c>
      <c r="Y1012" s="10" t="str">
        <f>IF(S1013&lt;&gt;eRRSP_Tx_Table[[#This Row],[Year]],SUMIFS($W$4:$W1012,$S$4:$S1012,eRRSP_Tx_Table[[#This Row],[Year]],$W$4:$W1012,"&gt;0"),"")</f>
        <v/>
      </c>
      <c r="Z1012" s="10" t="str">
        <f>IF(S1013&lt;&gt;eRRSP_Tx_Table[[#This Row],[Year]],SUMIFS($W$4:$W1012,$S$4:$S1012,eRRSP_Tx_Table[[#This Row],[Year]],$W$4:$W1012,"&lt;0"),"")</f>
        <v/>
      </c>
      <c r="AA1012" s="3">
        <f>(SUMIF($U$4:$U1012,CONCATENATE("Buy",$C1012),$N$4:$N1012)+SUMIF($U$4:$U1012,CONCATENATE("ReinvDiv",$C1012),$N$4:$N1012))</f>
        <v>-25199.82</v>
      </c>
      <c r="AB1012">
        <f>(SUMIF($U$4:$U1012,CONCATENATE("Buy",$C1012),$F$4:$F1012)+SUMIF($U$4:$U1012,CONCATENATE("ReinvDiv",$C1012),$F$4:$F1012)+SUMIF($U$4:$U1012,CONCATENATE("StkSplit",$C1012),$F$4:$F1012)-SUMIF($U$4:$U1012,CONCATENATE("Sell",$C1012),$F$4:$F1012))</f>
        <v>1157</v>
      </c>
      <c r="AC1012" s="3">
        <f>IF(B1012="Sell",F1012*INDEX(V:V,LOOKUP(2,1/(X$4:X1011=CONCATENATE(C1012,"_ACB")),ROW(V$4:V1011))),0)</f>
        <v>0</v>
      </c>
    </row>
    <row r="1013" spans="1:29" x14ac:dyDescent="0.25">
      <c r="A1013" s="20">
        <v>42284</v>
      </c>
      <c r="B1013" t="s">
        <v>42</v>
      </c>
      <c r="C1013" t="s">
        <v>104</v>
      </c>
      <c r="D1013" s="3">
        <v>361.38</v>
      </c>
      <c r="M1013" s="21">
        <f t="shared" si="131"/>
        <v>361.38</v>
      </c>
      <c r="N1013" s="8">
        <f t="shared" si="129"/>
        <v>361.38</v>
      </c>
      <c r="O1013" s="25">
        <f t="shared" si="126"/>
        <v>3253.3199999999329</v>
      </c>
      <c r="P1013" s="8">
        <f t="shared" si="133"/>
        <v>0</v>
      </c>
      <c r="Q1013" s="4">
        <f>IF(AND(S1013&gt;=[1]eRRSP_Rpt!$C$6,S1013&lt;=[1]eRRSP_Rpt!$C$7),1,0)</f>
        <v>1</v>
      </c>
      <c r="R1013" s="4"/>
      <c r="S1013" s="4">
        <f t="shared" si="130"/>
        <v>2015</v>
      </c>
      <c r="T1013" s="4"/>
      <c r="U1013" s="4" t="str">
        <f t="shared" si="132"/>
        <v>DivVanguard US Total Market ETF</v>
      </c>
      <c r="V1013" s="23">
        <f>IFERROR(IF(AND(AB1013&gt;0,B1013&lt;&gt;"Sell"),(AA1013-SUMIF(C$4:C1012,C1013,AC$4:AC1013))/AB1013,0),"")</f>
        <v>-31.343779980812279</v>
      </c>
      <c r="W1013" s="24" t="str">
        <f t="shared" si="128"/>
        <v/>
      </c>
      <c r="X1013" s="25" t="str">
        <f t="shared" si="127"/>
        <v>Vanguard US Total Market ETF_ACB</v>
      </c>
      <c r="Y1013" s="10" t="str">
        <f>IF(S1014&lt;&gt;eRRSP_Tx_Table[[#This Row],[Year]],SUMIFS($W$4:$W1013,$S$4:$S1013,eRRSP_Tx_Table[[#This Row],[Year]],$W$4:$W1013,"&gt;0"),"")</f>
        <v/>
      </c>
      <c r="Z1013" s="10" t="str">
        <f>IF(S1014&lt;&gt;eRRSP_Tx_Table[[#This Row],[Year]],SUMIFS($W$4:$W1013,$S$4:$S1013,eRRSP_Tx_Table[[#This Row],[Year]],$W$4:$W1013,"&lt;0"),"")</f>
        <v/>
      </c>
      <c r="AA1013" s="3">
        <f>(SUMIF($U$4:$U1013,CONCATENATE("Buy",$C1013),$N$4:$N1013)+SUMIF($U$4:$U1013,CONCATENATE("ReinvDiv",$C1013),$N$4:$N1013))</f>
        <v>-98012</v>
      </c>
      <c r="AB1013">
        <f>(SUMIF($U$4:$U1013,CONCATENATE("Buy",$C1013),$F$4:$F1013)+SUMIF($U$4:$U1013,CONCATENATE("ReinvDiv",$C1013),$F$4:$F1013)+SUMIF($U$4:$U1013,CONCATENATE("StkSplit",$C1013),$F$4:$F1013)-SUMIF($U$4:$U1013,CONCATENATE("Sell",$C1013),$F$4:$F1013))</f>
        <v>3127</v>
      </c>
      <c r="AC1013" s="3">
        <f>IF(B1013="Sell",F1013*INDEX(V:V,LOOKUP(2,1/(X$4:X1012=CONCATENATE(C1013,"_ACB")),ROW(V$4:V1012))),0)</f>
        <v>0</v>
      </c>
    </row>
    <row r="1014" spans="1:29" x14ac:dyDescent="0.25">
      <c r="A1014" s="20">
        <v>42284</v>
      </c>
      <c r="B1014" t="s">
        <v>42</v>
      </c>
      <c r="C1014" t="s">
        <v>105</v>
      </c>
      <c r="D1014" s="3">
        <v>45.89</v>
      </c>
      <c r="M1014" s="21">
        <f t="shared" si="131"/>
        <v>45.89</v>
      </c>
      <c r="N1014" s="8">
        <f t="shared" si="129"/>
        <v>45.89</v>
      </c>
      <c r="O1014" s="25">
        <f t="shared" si="126"/>
        <v>3299.2099999999327</v>
      </c>
      <c r="P1014" s="8">
        <f t="shared" si="133"/>
        <v>0</v>
      </c>
      <c r="Q1014" s="4">
        <f>IF(AND(S1014&gt;=[1]eRRSP_Rpt!$C$6,S1014&lt;=[1]eRRSP_Rpt!$C$7),1,0)</f>
        <v>1</v>
      </c>
      <c r="R1014" s="4"/>
      <c r="S1014" s="4">
        <f t="shared" si="130"/>
        <v>2015</v>
      </c>
      <c r="T1014" s="4"/>
      <c r="U1014" s="4" t="str">
        <f t="shared" si="132"/>
        <v>DivVanguard CDN S/T Corp Bond</v>
      </c>
      <c r="V1014" s="23">
        <f>IFERROR(IF(AND(AB1014&gt;0,B1014&lt;&gt;"Sell"),(AA1014-SUMIF(C$4:C1013,C1014,AC$4:AC1014))/AB1014,0),"")</f>
        <v>-25.164273504273503</v>
      </c>
      <c r="W1014" s="24" t="str">
        <f t="shared" si="128"/>
        <v/>
      </c>
      <c r="X1014" s="25" t="str">
        <f t="shared" si="127"/>
        <v>Vanguard CDN S/T Corp Bond_ACB</v>
      </c>
      <c r="Y1014" s="10" t="str">
        <f>IF(S1015&lt;&gt;eRRSP_Tx_Table[[#This Row],[Year]],SUMIFS($W$4:$W1014,$S$4:$S1014,eRRSP_Tx_Table[[#This Row],[Year]],$W$4:$W1014,"&gt;0"),"")</f>
        <v/>
      </c>
      <c r="Z1014" s="10" t="str">
        <f>IF(S1015&lt;&gt;eRRSP_Tx_Table[[#This Row],[Year]],SUMIFS($W$4:$W1014,$S$4:$S1014,eRRSP_Tx_Table[[#This Row],[Year]],$W$4:$W1014,"&lt;0"),"")</f>
        <v/>
      </c>
      <c r="AA1014" s="3">
        <f>(SUMIF($U$4:$U1014,CONCATENATE("Buy",$C1014),$N$4:$N1014)+SUMIF($U$4:$U1014,CONCATENATE("ReinvDiv",$C1014),$N$4:$N1014))</f>
        <v>-41219.08</v>
      </c>
      <c r="AB1014">
        <f>(SUMIF($U$4:$U1014,CONCATENATE("Buy",$C1014),$F$4:$F1014)+SUMIF($U$4:$U1014,CONCATENATE("ReinvDiv",$C1014),$F$4:$F1014)+SUMIF($U$4:$U1014,CONCATENATE("StkSplit",$C1014),$F$4:$F1014)-SUMIF($U$4:$U1014,CONCATENATE("Sell",$C1014),$F$4:$F1014))</f>
        <v>795</v>
      </c>
      <c r="AC1014" s="3">
        <f>IF(B1014="Sell",F1014*INDEX(V:V,LOOKUP(2,1/(X$4:X1013=CONCATENATE(C1014,"_ACB")),ROW(V$4:V1013))),0)</f>
        <v>0</v>
      </c>
    </row>
    <row r="1015" spans="1:29" x14ac:dyDescent="0.25">
      <c r="A1015" s="20">
        <v>42293</v>
      </c>
      <c r="B1015" t="s">
        <v>43</v>
      </c>
      <c r="C1015" t="s">
        <v>36</v>
      </c>
      <c r="D1015" s="3">
        <v>0.06</v>
      </c>
      <c r="M1015" s="21">
        <f t="shared" si="131"/>
        <v>0.06</v>
      </c>
      <c r="N1015" s="8">
        <f t="shared" si="129"/>
        <v>0.06</v>
      </c>
      <c r="O1015" s="25">
        <f t="shared" si="126"/>
        <v>3299.2699999999327</v>
      </c>
      <c r="P1015" s="8">
        <f t="shared" si="133"/>
        <v>0</v>
      </c>
      <c r="Q1015" s="4">
        <f>IF(AND(S1015&gt;=[1]eRRSP_Rpt!$C$6,S1015&lt;=[1]eRRSP_Rpt!$C$7),1,0)</f>
        <v>1</v>
      </c>
      <c r="R1015" s="4"/>
      <c r="S1015" s="4">
        <f t="shared" si="130"/>
        <v>2015</v>
      </c>
      <c r="T1015" s="4"/>
      <c r="U1015" s="4" t="str">
        <f t="shared" si="132"/>
        <v>IntIncTDW</v>
      </c>
      <c r="V1015" s="23">
        <f>IFERROR(IF(AND(AB1015&gt;0,B1015&lt;&gt;"Sell"),(AA1015-SUMIF(C$4:C1014,C1015,AC$4:AC1015))/AB1015,0),"")</f>
        <v>0</v>
      </c>
      <c r="W1015" s="24" t="str">
        <f t="shared" si="128"/>
        <v/>
      </c>
      <c r="X1015" s="25" t="str">
        <f t="shared" si="127"/>
        <v/>
      </c>
      <c r="Y1015" s="10" t="str">
        <f>IF(S1016&lt;&gt;eRRSP_Tx_Table[[#This Row],[Year]],SUMIFS($W$4:$W1015,$S$4:$S1015,eRRSP_Tx_Table[[#This Row],[Year]],$W$4:$W1015,"&gt;0"),"")</f>
        <v/>
      </c>
      <c r="Z1015" s="10" t="str">
        <f>IF(S1016&lt;&gt;eRRSP_Tx_Table[[#This Row],[Year]],SUMIFS($W$4:$W1015,$S$4:$S1015,eRRSP_Tx_Table[[#This Row],[Year]],$W$4:$W1015,"&lt;0"),"")</f>
        <v/>
      </c>
      <c r="AA1015" s="3">
        <f>(SUMIF($U$4:$U1015,CONCATENATE("Buy",$C1015),$N$4:$N1015)+SUMIF($U$4:$U1015,CONCATENATE("ReinvDiv",$C1015),$N$4:$N1015))</f>
        <v>0</v>
      </c>
      <c r="AB1015">
        <f>(SUMIF($U$4:$U1015,CONCATENATE("Buy",$C1015),$F$4:$F1015)+SUMIF($U$4:$U1015,CONCATENATE("ReinvDiv",$C1015),$F$4:$F1015)+SUMIF($U$4:$U1015,CONCATENATE("StkSplit",$C1015),$F$4:$F1015)-SUMIF($U$4:$U1015,CONCATENATE("Sell",$C1015),$F$4:$F1015))</f>
        <v>0</v>
      </c>
      <c r="AC1015" s="3">
        <f>IF(B1015="Sell",F1015*INDEX(V:V,LOOKUP(2,1/(X$4:X1014=CONCATENATE(C1015,"_ACB")),ROW(V$4:V1014))),0)</f>
        <v>0</v>
      </c>
    </row>
    <row r="1016" spans="1:29" x14ac:dyDescent="0.25">
      <c r="A1016" s="20">
        <v>42307</v>
      </c>
      <c r="B1016" t="s">
        <v>43</v>
      </c>
      <c r="C1016" t="s">
        <v>99</v>
      </c>
      <c r="D1016" s="3">
        <v>11.77</v>
      </c>
      <c r="M1016" s="21">
        <f t="shared" si="131"/>
        <v>11.77</v>
      </c>
      <c r="N1016" s="8">
        <f t="shared" si="129"/>
        <v>11.77</v>
      </c>
      <c r="O1016" s="25">
        <f t="shared" si="126"/>
        <v>3311.0399999999327</v>
      </c>
      <c r="P1016" s="8">
        <f t="shared" si="133"/>
        <v>0</v>
      </c>
      <c r="Q1016" s="4">
        <f>IF(AND(S1016&gt;=[1]eRRSP_Rpt!$C$6,S1016&lt;=[1]eRRSP_Rpt!$C$7),1,0)</f>
        <v>1</v>
      </c>
      <c r="R1016" s="4"/>
      <c r="S1016" s="4">
        <f t="shared" si="130"/>
        <v>2015</v>
      </c>
      <c r="T1016" s="4"/>
      <c r="U1016" s="4" t="str">
        <f t="shared" si="132"/>
        <v>IntIncTD INV SAV ACCT  /NL'FRAC</v>
      </c>
      <c r="V1016" s="23">
        <f>IFERROR(IF(AND(AB1016&gt;0,B1016&lt;&gt;"Sell"),(AA1016-SUMIF(C$4:C1015,C1016,AC$4:AC1016))/AB1016,0),"")</f>
        <v>-10</v>
      </c>
      <c r="W1016" s="24" t="str">
        <f t="shared" si="128"/>
        <v/>
      </c>
      <c r="X1016" s="25" t="str">
        <f t="shared" si="127"/>
        <v>TD INV SAV ACCT  /NL'FRAC_ACB</v>
      </c>
      <c r="Y1016" s="10" t="str">
        <f>IF(S1017&lt;&gt;eRRSP_Tx_Table[[#This Row],[Year]],SUMIFS($W$4:$W1016,$S$4:$S1016,eRRSP_Tx_Table[[#This Row],[Year]],$W$4:$W1016,"&gt;0"),"")</f>
        <v/>
      </c>
      <c r="Z1016" s="10" t="str">
        <f>IF(S1017&lt;&gt;eRRSP_Tx_Table[[#This Row],[Year]],SUMIFS($W$4:$W1016,$S$4:$S1016,eRRSP_Tx_Table[[#This Row],[Year]],$W$4:$W1016,"&lt;0"),"")</f>
        <v/>
      </c>
      <c r="AA1016" s="3">
        <f>(SUMIF($U$4:$U1016,CONCATENATE("Buy",$C1016),$N$4:$N1016)+SUMIF($U$4:$U1016,CONCATENATE("ReinvDiv",$C1016),$N$4:$N1016))</f>
        <v>-30900</v>
      </c>
      <c r="AB1016">
        <f>(SUMIF($U$4:$U1016,CONCATENATE("Buy",$C1016),$F$4:$F1016)+SUMIF($U$4:$U1016,CONCATENATE("ReinvDiv",$C1016),$F$4:$F1016)+SUMIF($U$4:$U1016,CONCATENATE("StkSplit",$C1016),$F$4:$F1016)-SUMIF($U$4:$U1016,CONCATENATE("Sell",$C1016),$F$4:$F1016))</f>
        <v>1790</v>
      </c>
      <c r="AC1016" s="3">
        <f>IF(B1016="Sell",F1016*INDEX(V:V,LOOKUP(2,1/(X$4:X1015=CONCATENATE(C1016,"_ACB")),ROW(V$4:V1015))),0)</f>
        <v>0</v>
      </c>
    </row>
    <row r="1017" spans="1:29" x14ac:dyDescent="0.25">
      <c r="A1017" s="20">
        <v>42312</v>
      </c>
      <c r="B1017" t="s">
        <v>42</v>
      </c>
      <c r="C1017" t="s">
        <v>105</v>
      </c>
      <c r="D1017" s="3">
        <v>53.78</v>
      </c>
      <c r="M1017" s="21">
        <f t="shared" si="131"/>
        <v>53.78</v>
      </c>
      <c r="N1017" s="8">
        <f t="shared" si="129"/>
        <v>53.78</v>
      </c>
      <c r="O1017" s="25">
        <f t="shared" si="126"/>
        <v>3364.8199999999329</v>
      </c>
      <c r="P1017" s="8">
        <f t="shared" si="133"/>
        <v>0</v>
      </c>
      <c r="Q1017" s="4">
        <f>IF(AND(S1017&gt;=[1]eRRSP_Rpt!$C$6,S1017&lt;=[1]eRRSP_Rpt!$C$7),1,0)</f>
        <v>1</v>
      </c>
      <c r="R1017" s="4"/>
      <c r="S1017" s="4">
        <f t="shared" si="130"/>
        <v>2015</v>
      </c>
      <c r="T1017" s="4"/>
      <c r="U1017" s="4" t="str">
        <f t="shared" si="132"/>
        <v>DivVanguard CDN S/T Corp Bond</v>
      </c>
      <c r="V1017" s="23">
        <f>IFERROR(IF(AND(AB1017&gt;0,B1017&lt;&gt;"Sell"),(AA1017-SUMIF(C$4:C1016,C1017,AC$4:AC1017))/AB1017,0),"")</f>
        <v>-25.164273504273503</v>
      </c>
      <c r="W1017" s="24" t="str">
        <f t="shared" si="128"/>
        <v/>
      </c>
      <c r="X1017" s="25" t="str">
        <f t="shared" si="127"/>
        <v>Vanguard CDN S/T Corp Bond_ACB</v>
      </c>
      <c r="Y1017" s="10" t="str">
        <f>IF(S1018&lt;&gt;eRRSP_Tx_Table[[#This Row],[Year]],SUMIFS($W$4:$W1017,$S$4:$S1017,eRRSP_Tx_Table[[#This Row],[Year]],$W$4:$W1017,"&gt;0"),"")</f>
        <v/>
      </c>
      <c r="Z1017" s="10" t="str">
        <f>IF(S1018&lt;&gt;eRRSP_Tx_Table[[#This Row],[Year]],SUMIFS($W$4:$W1017,$S$4:$S1017,eRRSP_Tx_Table[[#This Row],[Year]],$W$4:$W1017,"&lt;0"),"")</f>
        <v/>
      </c>
      <c r="AA1017" s="3">
        <f>(SUMIF($U$4:$U1017,CONCATENATE("Buy",$C1017),$N$4:$N1017)+SUMIF($U$4:$U1017,CONCATENATE("ReinvDiv",$C1017),$N$4:$N1017))</f>
        <v>-41219.08</v>
      </c>
      <c r="AB1017">
        <f>(SUMIF($U$4:$U1017,CONCATENATE("Buy",$C1017),$F$4:$F1017)+SUMIF($U$4:$U1017,CONCATENATE("ReinvDiv",$C1017),$F$4:$F1017)+SUMIF($U$4:$U1017,CONCATENATE("StkSplit",$C1017),$F$4:$F1017)-SUMIF($U$4:$U1017,CONCATENATE("Sell",$C1017),$F$4:$F1017))</f>
        <v>795</v>
      </c>
      <c r="AC1017" s="3">
        <f>IF(B1017="Sell",F1017*INDEX(V:V,LOOKUP(2,1/(X$4:X1016=CONCATENATE(C1017,"_ACB")),ROW(V$4:V1016))),0)</f>
        <v>0</v>
      </c>
    </row>
    <row r="1018" spans="1:29" x14ac:dyDescent="0.25">
      <c r="A1018" s="20">
        <v>42321</v>
      </c>
      <c r="B1018" t="s">
        <v>42</v>
      </c>
      <c r="C1018" t="s">
        <v>79</v>
      </c>
      <c r="D1018" s="3">
        <v>2.95</v>
      </c>
      <c r="M1018" s="21">
        <f t="shared" si="131"/>
        <v>2.95</v>
      </c>
      <c r="N1018" s="8">
        <f t="shared" si="129"/>
        <v>2.95</v>
      </c>
      <c r="O1018" s="25">
        <f t="shared" si="126"/>
        <v>3367.7699999999327</v>
      </c>
      <c r="P1018" s="8">
        <f t="shared" si="133"/>
        <v>0</v>
      </c>
      <c r="Q1018" s="4">
        <f>IF(AND(S1018&gt;=[1]eRRSP_Rpt!$C$6,S1018&lt;=[1]eRRSP_Rpt!$C$7),1,0)</f>
        <v>1</v>
      </c>
      <c r="R1018" s="4"/>
      <c r="S1018" s="4">
        <f t="shared" si="130"/>
        <v>2015</v>
      </c>
      <c r="T1018" s="4"/>
      <c r="U1018" s="4" t="str">
        <f t="shared" si="132"/>
        <v>DivCentral Fund of Canada</v>
      </c>
      <c r="V1018" s="23">
        <f>IFERROR(IF(AND(AB1018&gt;0,B1018&lt;&gt;"Sell"),(AA1018-SUMIF(C$4:C1017,C1018,AC$4:AC1018))/AB1018,0),"")</f>
        <v>-10.243200000000002</v>
      </c>
      <c r="W1018" s="24" t="str">
        <f t="shared" si="128"/>
        <v/>
      </c>
      <c r="X1018" s="25" t="str">
        <f t="shared" si="127"/>
        <v>Central Fund of Canada_ACB</v>
      </c>
      <c r="Y1018" s="10" t="str">
        <f>IF(S1019&lt;&gt;eRRSP_Tx_Table[[#This Row],[Year]],SUMIFS($W$4:$W1018,$S$4:$S1018,eRRSP_Tx_Table[[#This Row],[Year]],$W$4:$W1018,"&gt;0"),"")</f>
        <v/>
      </c>
      <c r="Z1018" s="10" t="str">
        <f>IF(S1019&lt;&gt;eRRSP_Tx_Table[[#This Row],[Year]],SUMIFS($W$4:$W1018,$S$4:$S1018,eRRSP_Tx_Table[[#This Row],[Year]],$W$4:$W1018,"&lt;0"),"")</f>
        <v/>
      </c>
      <c r="AA1018" s="3">
        <f>(SUMIF($U$4:$U1018,CONCATENATE("Buy",$C1018),$N$4:$N1018)+SUMIF($U$4:$U1018,CONCATENATE("ReinvDiv",$C1018),$N$4:$N1018))</f>
        <v>-2304.7200000000003</v>
      </c>
      <c r="AB1018">
        <f>(SUMIF($U$4:$U1018,CONCATENATE("Buy",$C1018),$F$4:$F1018)+SUMIF($U$4:$U1018,CONCATENATE("ReinvDiv",$C1018),$F$4:$F1018)+SUMIF($U$4:$U1018,CONCATENATE("StkSplit",$C1018),$F$4:$F1018)-SUMIF($U$4:$U1018,CONCATENATE("Sell",$C1018),$F$4:$F1018))</f>
        <v>225</v>
      </c>
      <c r="AC1018" s="3">
        <f>IF(B1018="Sell",F1018*INDEX(V:V,LOOKUP(2,1/(X$4:X1017=CONCATENATE(C1018,"_ACB")),ROW(V$4:V1017))),0)</f>
        <v>0</v>
      </c>
    </row>
    <row r="1019" spans="1:29" x14ac:dyDescent="0.25">
      <c r="A1019" s="20">
        <v>42324</v>
      </c>
      <c r="B1019" t="s">
        <v>43</v>
      </c>
      <c r="C1019" t="s">
        <v>36</v>
      </c>
      <c r="D1019" s="3">
        <v>7.0000000000000007E-2</v>
      </c>
      <c r="M1019" s="21">
        <f t="shared" si="131"/>
        <v>7.0000000000000007E-2</v>
      </c>
      <c r="N1019" s="8">
        <f t="shared" si="129"/>
        <v>7.0000000000000007E-2</v>
      </c>
      <c r="O1019" s="25">
        <f t="shared" si="126"/>
        <v>3367.8399999999328</v>
      </c>
      <c r="P1019" s="8">
        <f t="shared" si="133"/>
        <v>0</v>
      </c>
      <c r="Q1019" s="4">
        <f>IF(AND(S1019&gt;=[1]eRRSP_Rpt!$C$6,S1019&lt;=[1]eRRSP_Rpt!$C$7),1,0)</f>
        <v>1</v>
      </c>
      <c r="R1019" s="4"/>
      <c r="S1019" s="4">
        <f t="shared" si="130"/>
        <v>2015</v>
      </c>
      <c r="T1019" s="4"/>
      <c r="U1019" s="4" t="str">
        <f t="shared" si="132"/>
        <v>IntIncTDW</v>
      </c>
      <c r="V1019" s="23">
        <f>IFERROR(IF(AND(AB1019&gt;0,B1019&lt;&gt;"Sell"),(AA1019-SUMIF(C$4:C1018,C1019,AC$4:AC1019))/AB1019,0),"")</f>
        <v>0</v>
      </c>
      <c r="W1019" s="24" t="str">
        <f t="shared" si="128"/>
        <v/>
      </c>
      <c r="X1019" s="25" t="str">
        <f t="shared" si="127"/>
        <v/>
      </c>
      <c r="Y1019" s="10" t="str">
        <f>IF(S1020&lt;&gt;eRRSP_Tx_Table[[#This Row],[Year]],SUMIFS($W$4:$W1019,$S$4:$S1019,eRRSP_Tx_Table[[#This Row],[Year]],$W$4:$W1019,"&gt;0"),"")</f>
        <v/>
      </c>
      <c r="Z1019" s="10" t="str">
        <f>IF(S1020&lt;&gt;eRRSP_Tx_Table[[#This Row],[Year]],SUMIFS($W$4:$W1019,$S$4:$S1019,eRRSP_Tx_Table[[#This Row],[Year]],$W$4:$W1019,"&lt;0"),"")</f>
        <v/>
      </c>
      <c r="AA1019" s="3">
        <f>(SUMIF($U$4:$U1019,CONCATENATE("Buy",$C1019),$N$4:$N1019)+SUMIF($U$4:$U1019,CONCATENATE("ReinvDiv",$C1019),$N$4:$N1019))</f>
        <v>0</v>
      </c>
      <c r="AB1019">
        <f>(SUMIF($U$4:$U1019,CONCATENATE("Buy",$C1019),$F$4:$F1019)+SUMIF($U$4:$U1019,CONCATENATE("ReinvDiv",$C1019),$F$4:$F1019)+SUMIF($U$4:$U1019,CONCATENATE("StkSplit",$C1019),$F$4:$F1019)-SUMIF($U$4:$U1019,CONCATENATE("Sell",$C1019),$F$4:$F1019))</f>
        <v>0</v>
      </c>
      <c r="AC1019" s="3">
        <f>IF(B1019="Sell",F1019*INDEX(V:V,LOOKUP(2,1/(X$4:X1018=CONCATENATE(C1019,"_ACB")),ROW(V$4:V1018))),0)</f>
        <v>0</v>
      </c>
    </row>
    <row r="1020" spans="1:29" x14ac:dyDescent="0.25">
      <c r="A1020" s="20">
        <v>42338</v>
      </c>
      <c r="B1020" t="s">
        <v>43</v>
      </c>
      <c r="C1020" t="s">
        <v>99</v>
      </c>
      <c r="D1020" s="3">
        <v>10.67</v>
      </c>
      <c r="M1020" s="21">
        <f t="shared" si="131"/>
        <v>10.67</v>
      </c>
      <c r="N1020" s="8">
        <f t="shared" si="129"/>
        <v>10.67</v>
      </c>
      <c r="O1020" s="25">
        <f t="shared" si="126"/>
        <v>3378.5099999999329</v>
      </c>
      <c r="P1020" s="8">
        <f t="shared" si="133"/>
        <v>0</v>
      </c>
      <c r="Q1020" s="4">
        <f>IF(AND(S1020&gt;=[1]eRRSP_Rpt!$C$6,S1020&lt;=[1]eRRSP_Rpt!$C$7),1,0)</f>
        <v>1</v>
      </c>
      <c r="R1020" s="4"/>
      <c r="S1020" s="4">
        <f t="shared" si="130"/>
        <v>2015</v>
      </c>
      <c r="T1020" s="4"/>
      <c r="U1020" s="4" t="str">
        <f t="shared" si="132"/>
        <v>IntIncTD INV SAV ACCT  /NL'FRAC</v>
      </c>
      <c r="V1020" s="23">
        <f>IFERROR(IF(AND(AB1020&gt;0,B1020&lt;&gt;"Sell"),(AA1020-SUMIF(C$4:C1019,C1020,AC$4:AC1020))/AB1020,0),"")</f>
        <v>-10</v>
      </c>
      <c r="W1020" s="24" t="str">
        <f t="shared" si="128"/>
        <v/>
      </c>
      <c r="X1020" s="25" t="str">
        <f t="shared" si="127"/>
        <v>TD INV SAV ACCT  /NL'FRAC_ACB</v>
      </c>
      <c r="Y1020" s="10" t="str">
        <f>IF(S1021&lt;&gt;eRRSP_Tx_Table[[#This Row],[Year]],SUMIFS($W$4:$W1020,$S$4:$S1020,eRRSP_Tx_Table[[#This Row],[Year]],$W$4:$W1020,"&gt;0"),"")</f>
        <v/>
      </c>
      <c r="Z1020" s="10" t="str">
        <f>IF(S1021&lt;&gt;eRRSP_Tx_Table[[#This Row],[Year]],SUMIFS($W$4:$W1020,$S$4:$S1020,eRRSP_Tx_Table[[#This Row],[Year]],$W$4:$W1020,"&lt;0"),"")</f>
        <v/>
      </c>
      <c r="AA1020" s="3">
        <f>(SUMIF($U$4:$U1020,CONCATENATE("Buy",$C1020),$N$4:$N1020)+SUMIF($U$4:$U1020,CONCATENATE("ReinvDiv",$C1020),$N$4:$N1020))</f>
        <v>-30900</v>
      </c>
      <c r="AB1020">
        <f>(SUMIF($U$4:$U1020,CONCATENATE("Buy",$C1020),$F$4:$F1020)+SUMIF($U$4:$U1020,CONCATENATE("ReinvDiv",$C1020),$F$4:$F1020)+SUMIF($U$4:$U1020,CONCATENATE("StkSplit",$C1020),$F$4:$F1020)-SUMIF($U$4:$U1020,CONCATENATE("Sell",$C1020),$F$4:$F1020))</f>
        <v>1790</v>
      </c>
      <c r="AC1020" s="3">
        <f>IF(B1020="Sell",F1020*INDEX(V:V,LOOKUP(2,1/(X$4:X1019=CONCATENATE(C1020,"_ACB")),ROW(V$4:V1019))),0)</f>
        <v>0</v>
      </c>
    </row>
    <row r="1021" spans="1:29" x14ac:dyDescent="0.25">
      <c r="A1021" s="20">
        <v>42341</v>
      </c>
      <c r="B1021" t="s">
        <v>42</v>
      </c>
      <c r="C1021" t="s">
        <v>105</v>
      </c>
      <c r="D1021" s="3">
        <v>45.59</v>
      </c>
      <c r="M1021" s="21">
        <f t="shared" si="131"/>
        <v>45.59</v>
      </c>
      <c r="N1021" s="8">
        <f t="shared" si="129"/>
        <v>45.59</v>
      </c>
      <c r="O1021" s="25">
        <f t="shared" si="126"/>
        <v>3424.0999999999331</v>
      </c>
      <c r="P1021" s="8">
        <f t="shared" si="133"/>
        <v>0</v>
      </c>
      <c r="Q1021" s="4">
        <f>IF(AND(S1021&gt;=[1]eRRSP_Rpt!$C$6,S1021&lt;=[1]eRRSP_Rpt!$C$7),1,0)</f>
        <v>1</v>
      </c>
      <c r="R1021" s="4"/>
      <c r="S1021" s="4">
        <f t="shared" si="130"/>
        <v>2015</v>
      </c>
      <c r="T1021" s="4"/>
      <c r="U1021" s="4" t="str">
        <f t="shared" si="132"/>
        <v>DivVanguard CDN S/T Corp Bond</v>
      </c>
      <c r="V1021" s="23">
        <f>IFERROR(IF(AND(AB1021&gt;0,B1021&lt;&gt;"Sell"),(AA1021-SUMIF(C$4:C1020,C1021,AC$4:AC1021))/AB1021,0),"")</f>
        <v>-25.164273504273503</v>
      </c>
      <c r="W1021" s="24" t="str">
        <f t="shared" si="128"/>
        <v/>
      </c>
      <c r="X1021" s="25" t="str">
        <f t="shared" si="127"/>
        <v>Vanguard CDN S/T Corp Bond_ACB</v>
      </c>
      <c r="Y1021" s="10" t="str">
        <f>IF(S1022&lt;&gt;eRRSP_Tx_Table[[#This Row],[Year]],SUMIFS($W$4:$W1021,$S$4:$S1021,eRRSP_Tx_Table[[#This Row],[Year]],$W$4:$W1021,"&gt;0"),"")</f>
        <v/>
      </c>
      <c r="Z1021" s="10" t="str">
        <f>IF(S1022&lt;&gt;eRRSP_Tx_Table[[#This Row],[Year]],SUMIFS($W$4:$W1021,$S$4:$S1021,eRRSP_Tx_Table[[#This Row],[Year]],$W$4:$W1021,"&lt;0"),"")</f>
        <v/>
      </c>
      <c r="AA1021" s="3">
        <f>(SUMIF($U$4:$U1021,CONCATENATE("Buy",$C1021),$N$4:$N1021)+SUMIF($U$4:$U1021,CONCATENATE("ReinvDiv",$C1021),$N$4:$N1021))</f>
        <v>-41219.08</v>
      </c>
      <c r="AB1021">
        <f>(SUMIF($U$4:$U1021,CONCATENATE("Buy",$C1021),$F$4:$F1021)+SUMIF($U$4:$U1021,CONCATENATE("ReinvDiv",$C1021),$F$4:$F1021)+SUMIF($U$4:$U1021,CONCATENATE("StkSplit",$C1021),$F$4:$F1021)-SUMIF($U$4:$U1021,CONCATENATE("Sell",$C1021),$F$4:$F1021))</f>
        <v>795</v>
      </c>
      <c r="AC1021" s="3">
        <f>IF(B1021="Sell",F1021*INDEX(V:V,LOOKUP(2,1/(X$4:X1020=CONCATENATE(C1021,"_ACB")),ROW(V$4:V1020))),0)</f>
        <v>0</v>
      </c>
    </row>
    <row r="1022" spans="1:29" x14ac:dyDescent="0.25">
      <c r="A1022" s="20">
        <v>42353</v>
      </c>
      <c r="B1022" t="s">
        <v>41</v>
      </c>
      <c r="C1022" t="s">
        <v>96</v>
      </c>
      <c r="D1022" s="3">
        <v>582.29</v>
      </c>
      <c r="F1022" s="3">
        <v>27.248000000000001</v>
      </c>
      <c r="M1022" s="21">
        <f t="shared" si="131"/>
        <v>582.29</v>
      </c>
      <c r="N1022" s="8">
        <f t="shared" si="129"/>
        <v>-582.29</v>
      </c>
      <c r="O1022" s="25">
        <f t="shared" si="126"/>
        <v>3424.0999999999331</v>
      </c>
      <c r="P1022" s="8">
        <f t="shared" si="133"/>
        <v>0</v>
      </c>
      <c r="Q1022" s="4">
        <f>IF(AND(S1022&gt;=[1]eRRSP_Rpt!$C$6,S1022&lt;=[1]eRRSP_Rpt!$C$7),1,0)</f>
        <v>1</v>
      </c>
      <c r="R1022" s="4"/>
      <c r="S1022" s="4">
        <f t="shared" si="130"/>
        <v>2015</v>
      </c>
      <c r="T1022" s="4"/>
      <c r="U1022" s="4" t="str">
        <f t="shared" si="132"/>
        <v>ReinvDivTD Canadian Index - e</v>
      </c>
      <c r="V1022" s="23">
        <f>IFERROR(IF(AND(AB1022&gt;0,B1022&lt;&gt;"Sell"),(AA1022-SUMIF(C$4:C1021,C1022,AC$4:AC1022))/AB1022,0),"")</f>
        <v>-22.087052864363613</v>
      </c>
      <c r="W1022" s="24" t="str">
        <f t="shared" si="128"/>
        <v/>
      </c>
      <c r="X1022" s="25" t="str">
        <f t="shared" si="127"/>
        <v>TD Canadian Index - e_ACB</v>
      </c>
      <c r="Y1022" s="10" t="str">
        <f>IF(S1023&lt;&gt;eRRSP_Tx_Table[[#This Row],[Year]],SUMIFS($W$4:$W1022,$S$4:$S1022,eRRSP_Tx_Table[[#This Row],[Year]],$W$4:$W1022,"&gt;0"),"")</f>
        <v/>
      </c>
      <c r="Z1022" s="10" t="str">
        <f>IF(S1023&lt;&gt;eRRSP_Tx_Table[[#This Row],[Year]],SUMIFS($W$4:$W1022,$S$4:$S1022,eRRSP_Tx_Table[[#This Row],[Year]],$W$4:$W1022,"&lt;0"),"")</f>
        <v/>
      </c>
      <c r="AA1022" s="3">
        <f>(SUMIF($U$4:$U1022,CONCATENATE("Buy",$C1022),$N$4:$N1022)+SUMIF($U$4:$U1022,CONCATENATE("ReinvDiv",$C1022),$N$4:$N1022))</f>
        <v>-35416.07</v>
      </c>
      <c r="AB1022">
        <f>(SUMIF($U$4:$U1022,CONCATENATE("Buy",$C1022),$F$4:$F1022)+SUMIF($U$4:$U1022,CONCATENATE("ReinvDiv",$C1022),$F$4:$F1022)+SUMIF($U$4:$U1022,CONCATENATE("StkSplit",$C1022),$F$4:$F1022)-SUMIF($U$4:$U1022,CONCATENATE("Sell",$C1022),$F$4:$F1022))</f>
        <v>1123.4210000000003</v>
      </c>
      <c r="AC1022" s="3">
        <f>IF(B1022="Sell",F1022*INDEX(V:V,LOOKUP(2,1/(X$4:X1021=CONCATENATE(C1022,"_ACB")),ROW(V$4:V1021))),0)</f>
        <v>0</v>
      </c>
    </row>
    <row r="1023" spans="1:29" x14ac:dyDescent="0.25">
      <c r="A1023" s="20">
        <v>42353</v>
      </c>
      <c r="B1023" t="s">
        <v>41</v>
      </c>
      <c r="C1023" t="s">
        <v>97</v>
      </c>
      <c r="D1023" s="3">
        <v>166.15</v>
      </c>
      <c r="F1023" s="3">
        <v>12.91</v>
      </c>
      <c r="M1023" s="21">
        <f t="shared" si="131"/>
        <v>166.15</v>
      </c>
      <c r="N1023" s="8">
        <f t="shared" si="129"/>
        <v>-166.15</v>
      </c>
      <c r="O1023" s="25">
        <f t="shared" si="126"/>
        <v>3424.0999999999331</v>
      </c>
      <c r="P1023" s="8">
        <f t="shared" si="133"/>
        <v>0</v>
      </c>
      <c r="Q1023" s="4">
        <f>IF(AND(S1023&gt;=[1]eRRSP_Rpt!$C$6,S1023&lt;=[1]eRRSP_Rpt!$C$7),1,0)</f>
        <v>1</v>
      </c>
      <c r="R1023" s="4"/>
      <c r="S1023" s="4">
        <f t="shared" si="130"/>
        <v>2015</v>
      </c>
      <c r="T1023" s="4"/>
      <c r="U1023" s="4" t="str">
        <f t="shared" si="132"/>
        <v>ReinvDivTD International Index - e</v>
      </c>
      <c r="V1023" s="23">
        <f>IFERROR(IF(AND(AB1023&gt;0,B1023&lt;&gt;"Sell"),(AA1023-SUMIF(C$4:C1022,C1023,AC$4:AC1023))/AB1023,0),"")</f>
        <v>-11.061030448519832</v>
      </c>
      <c r="W1023" s="24" t="str">
        <f t="shared" si="128"/>
        <v/>
      </c>
      <c r="X1023" s="25" t="str">
        <f t="shared" si="127"/>
        <v>TD International Index - e_ACB</v>
      </c>
      <c r="Y1023" s="10" t="str">
        <f>IF(S1024&lt;&gt;eRRSP_Tx_Table[[#This Row],[Year]],SUMIFS($W$4:$W1023,$S$4:$S1023,eRRSP_Tx_Table[[#This Row],[Year]],$W$4:$W1023,"&gt;0"),"")</f>
        <v/>
      </c>
      <c r="Z1023" s="10" t="str">
        <f>IF(S1024&lt;&gt;eRRSP_Tx_Table[[#This Row],[Year]],SUMIFS($W$4:$W1023,$S$4:$S1023,eRRSP_Tx_Table[[#This Row],[Year]],$W$4:$W1023,"&lt;0"),"")</f>
        <v/>
      </c>
      <c r="AA1023" s="3">
        <f>(SUMIF($U$4:$U1023,CONCATENATE("Buy",$C1023),$N$4:$N1023)+SUMIF($U$4:$U1023,CONCATENATE("ReinvDiv",$C1023),$N$4:$N1023))</f>
        <v>-51526.469999999994</v>
      </c>
      <c r="AB1023">
        <f>(SUMIF($U$4:$U1023,CONCATENATE("Buy",$C1023),$F$4:$F1023)+SUMIF($U$4:$U1023,CONCATENATE("ReinvDiv",$C1023),$F$4:$F1023)+SUMIF($U$4:$U1023,CONCATENATE("StkSplit",$C1023),$F$4:$F1023)-SUMIF($U$4:$U1023,CONCATENATE("Sell",$C1023),$F$4:$F1023))</f>
        <v>2791.6519999999996</v>
      </c>
      <c r="AC1023" s="3">
        <f>IF(B1023="Sell",F1023*INDEX(V:V,LOOKUP(2,1/(X$4:X1022=CONCATENATE(C1023,"_ACB")),ROW(V$4:V1022))),0)</f>
        <v>0</v>
      </c>
    </row>
    <row r="1024" spans="1:29" x14ac:dyDescent="0.25">
      <c r="A1024" s="20">
        <v>42354</v>
      </c>
      <c r="B1024" t="s">
        <v>43</v>
      </c>
      <c r="C1024" t="s">
        <v>36</v>
      </c>
      <c r="D1024" s="3">
        <v>0.06</v>
      </c>
      <c r="M1024" s="21">
        <f t="shared" si="131"/>
        <v>0.06</v>
      </c>
      <c r="N1024" s="8">
        <f t="shared" si="129"/>
        <v>0.06</v>
      </c>
      <c r="O1024" s="25">
        <f t="shared" si="126"/>
        <v>3424.159999999933</v>
      </c>
      <c r="P1024" s="8">
        <f t="shared" si="133"/>
        <v>0</v>
      </c>
      <c r="Q1024" s="4">
        <f>IF(AND(S1024&gt;=[1]eRRSP_Rpt!$C$6,S1024&lt;=[1]eRRSP_Rpt!$C$7),1,0)</f>
        <v>1</v>
      </c>
      <c r="R1024" s="4"/>
      <c r="S1024" s="4">
        <f t="shared" si="130"/>
        <v>2015</v>
      </c>
      <c r="T1024" s="4"/>
      <c r="U1024" s="4" t="str">
        <f t="shared" si="132"/>
        <v>IntIncTDW</v>
      </c>
      <c r="V1024" s="23">
        <f>IFERROR(IF(AND(AB1024&gt;0,B1024&lt;&gt;"Sell"),(AA1024-SUMIF(C$4:C1023,C1024,AC$4:AC1024))/AB1024,0),"")</f>
        <v>0</v>
      </c>
      <c r="W1024" s="24" t="str">
        <f t="shared" si="128"/>
        <v/>
      </c>
      <c r="X1024" s="25" t="str">
        <f t="shared" si="127"/>
        <v/>
      </c>
      <c r="Y1024" s="10" t="str">
        <f>IF(S1025&lt;&gt;eRRSP_Tx_Table[[#This Row],[Year]],SUMIFS($W$4:$W1024,$S$4:$S1024,eRRSP_Tx_Table[[#This Row],[Year]],$W$4:$W1024,"&gt;0"),"")</f>
        <v/>
      </c>
      <c r="Z1024" s="10" t="str">
        <f>IF(S1025&lt;&gt;eRRSP_Tx_Table[[#This Row],[Year]],SUMIFS($W$4:$W1024,$S$4:$S1024,eRRSP_Tx_Table[[#This Row],[Year]],$W$4:$W1024,"&lt;0"),"")</f>
        <v/>
      </c>
      <c r="AA1024" s="3">
        <f>(SUMIF($U$4:$U1024,CONCATENATE("Buy",$C1024),$N$4:$N1024)+SUMIF($U$4:$U1024,CONCATENATE("ReinvDiv",$C1024),$N$4:$N1024))</f>
        <v>0</v>
      </c>
      <c r="AB1024">
        <f>(SUMIF($U$4:$U1024,CONCATENATE("Buy",$C1024),$F$4:$F1024)+SUMIF($U$4:$U1024,CONCATENATE("ReinvDiv",$C1024),$F$4:$F1024)+SUMIF($U$4:$U1024,CONCATENATE("StkSplit",$C1024),$F$4:$F1024)-SUMIF($U$4:$U1024,CONCATENATE("Sell",$C1024),$F$4:$F1024))</f>
        <v>0</v>
      </c>
      <c r="AC1024" s="3">
        <f>IF(B1024="Sell",F1024*INDEX(V:V,LOOKUP(2,1/(X$4:X1023=CONCATENATE(C1024,"_ACB")),ROW(V$4:V1023))),0)</f>
        <v>0</v>
      </c>
    </row>
    <row r="1025" spans="1:29" x14ac:dyDescent="0.25">
      <c r="A1025" s="20">
        <v>42369</v>
      </c>
      <c r="B1025" t="s">
        <v>30</v>
      </c>
      <c r="C1025" t="s">
        <v>93</v>
      </c>
      <c r="D1025" s="3">
        <v>-0.01</v>
      </c>
      <c r="M1025" s="21">
        <f t="shared" si="131"/>
        <v>-0.01</v>
      </c>
      <c r="N1025" s="8">
        <f t="shared" si="129"/>
        <v>-0.01</v>
      </c>
      <c r="O1025" s="25">
        <f t="shared" si="126"/>
        <v>3424.1499999999328</v>
      </c>
      <c r="P1025" s="8">
        <f t="shared" si="133"/>
        <v>-0.01</v>
      </c>
      <c r="Q1025" s="4">
        <f>IF(AND(S1025&gt;=[1]eRRSP_Rpt!$C$6,S1025&lt;=[1]eRRSP_Rpt!$C$7),1,0)</f>
        <v>1</v>
      </c>
      <c r="R1025" s="4"/>
      <c r="S1025" s="4">
        <f t="shared" si="130"/>
        <v>2015</v>
      </c>
      <c r="T1025" s="4"/>
      <c r="U1025" s="4" t="str">
        <f t="shared" si="132"/>
        <v>CashAdjustment</v>
      </c>
      <c r="V1025" s="23">
        <f>IFERROR(IF(AND(AB1025&gt;0,B1025&lt;&gt;"Sell"),(AA1025-SUMIF(C$4:C1024,C1025,AC$4:AC1025))/AB1025,0),"")</f>
        <v>0</v>
      </c>
      <c r="W1025" s="24" t="str">
        <f t="shared" si="128"/>
        <v/>
      </c>
      <c r="X1025" s="25" t="str">
        <f t="shared" si="127"/>
        <v/>
      </c>
      <c r="Y1025" s="10" t="str">
        <f>IF(S1026&lt;&gt;eRRSP_Tx_Table[[#This Row],[Year]],SUMIFS($W$4:$W1025,$S$4:$S1025,eRRSP_Tx_Table[[#This Row],[Year]],$W$4:$W1025,"&gt;0"),"")</f>
        <v/>
      </c>
      <c r="Z1025" s="10" t="str">
        <f>IF(S1026&lt;&gt;eRRSP_Tx_Table[[#This Row],[Year]],SUMIFS($W$4:$W1025,$S$4:$S1025,eRRSP_Tx_Table[[#This Row],[Year]],$W$4:$W1025,"&lt;0"),"")</f>
        <v/>
      </c>
      <c r="AA1025" s="3">
        <f>(SUMIF($U$4:$U1025,CONCATENATE("Buy",$C1025),$N$4:$N1025)+SUMIF($U$4:$U1025,CONCATENATE("ReinvDiv",$C1025),$N$4:$N1025))</f>
        <v>0</v>
      </c>
      <c r="AB1025">
        <f>(SUMIF($U$4:$U1025,CONCATENATE("Buy",$C1025),$F$4:$F1025)+SUMIF($U$4:$U1025,CONCATENATE("ReinvDiv",$C1025),$F$4:$F1025)+SUMIF($U$4:$U1025,CONCATENATE("StkSplit",$C1025),$F$4:$F1025)-SUMIF($U$4:$U1025,CONCATENATE("Sell",$C1025),$F$4:$F1025))</f>
        <v>0</v>
      </c>
      <c r="AC1025" s="3">
        <f>IF(B1025="Sell",F1025*INDEX(V:V,LOOKUP(2,1/(X$4:X1024=CONCATENATE(C1025,"_ACB")),ROW(V$4:V1024))),0)</f>
        <v>0</v>
      </c>
    </row>
    <row r="1026" spans="1:29" x14ac:dyDescent="0.25">
      <c r="A1026" s="20">
        <v>42369</v>
      </c>
      <c r="B1026" t="s">
        <v>43</v>
      </c>
      <c r="C1026" t="s">
        <v>99</v>
      </c>
      <c r="D1026" s="3">
        <v>12.5</v>
      </c>
      <c r="M1026" s="21">
        <f t="shared" si="131"/>
        <v>12.5</v>
      </c>
      <c r="N1026" s="8">
        <f t="shared" si="129"/>
        <v>12.5</v>
      </c>
      <c r="O1026" s="25">
        <f t="shared" si="126"/>
        <v>3436.6499999999328</v>
      </c>
      <c r="P1026" s="8">
        <f t="shared" si="133"/>
        <v>0</v>
      </c>
      <c r="Q1026" s="4">
        <f>IF(AND(S1026&gt;=[1]eRRSP_Rpt!$C$6,S1026&lt;=[1]eRRSP_Rpt!$C$7),1,0)</f>
        <v>1</v>
      </c>
      <c r="R1026" s="4"/>
      <c r="S1026" s="4">
        <f t="shared" si="130"/>
        <v>2015</v>
      </c>
      <c r="T1026" s="4"/>
      <c r="U1026" s="4" t="str">
        <f t="shared" si="132"/>
        <v>IntIncTD INV SAV ACCT  /NL'FRAC</v>
      </c>
      <c r="V1026" s="23">
        <f>IFERROR(IF(AND(AB1026&gt;0,B1026&lt;&gt;"Sell"),(AA1026-SUMIF(C$4:C1025,C1026,AC$4:AC1026))/AB1026,0),"")</f>
        <v>-10</v>
      </c>
      <c r="W1026" s="24" t="str">
        <f t="shared" si="128"/>
        <v/>
      </c>
      <c r="X1026" s="25" t="str">
        <f t="shared" si="127"/>
        <v>TD INV SAV ACCT  /NL'FRAC_ACB</v>
      </c>
      <c r="Y1026" s="10" t="str">
        <f>IF(S1027&lt;&gt;eRRSP_Tx_Table[[#This Row],[Year]],SUMIFS($W$4:$W1026,$S$4:$S1026,eRRSP_Tx_Table[[#This Row],[Year]],$W$4:$W1026,"&gt;0"),"")</f>
        <v/>
      </c>
      <c r="Z1026" s="10" t="str">
        <f>IF(S1027&lt;&gt;eRRSP_Tx_Table[[#This Row],[Year]],SUMIFS($W$4:$W1026,$S$4:$S1026,eRRSP_Tx_Table[[#This Row],[Year]],$W$4:$W1026,"&lt;0"),"")</f>
        <v/>
      </c>
      <c r="AA1026" s="3">
        <f>(SUMIF($U$4:$U1026,CONCATENATE("Buy",$C1026),$N$4:$N1026)+SUMIF($U$4:$U1026,CONCATENATE("ReinvDiv",$C1026),$N$4:$N1026))</f>
        <v>-30900</v>
      </c>
      <c r="AB1026">
        <f>(SUMIF($U$4:$U1026,CONCATENATE("Buy",$C1026),$F$4:$F1026)+SUMIF($U$4:$U1026,CONCATENATE("ReinvDiv",$C1026),$F$4:$F1026)+SUMIF($U$4:$U1026,CONCATENATE("StkSplit",$C1026),$F$4:$F1026)-SUMIF($U$4:$U1026,CONCATENATE("Sell",$C1026),$F$4:$F1026))</f>
        <v>1790</v>
      </c>
      <c r="AC1026" s="3">
        <f>IF(B1026="Sell",F1026*INDEX(V:V,LOOKUP(2,1/(X$4:X1025=CONCATENATE(C1026,"_ACB")),ROW(V$4:V1025))),0)</f>
        <v>0</v>
      </c>
    </row>
    <row r="1027" spans="1:29" ht="13.5" customHeight="1" x14ac:dyDescent="0.25">
      <c r="A1027" s="32">
        <v>42369</v>
      </c>
      <c r="B1027" s="33"/>
      <c r="C1027" s="33"/>
      <c r="D1027" s="34"/>
      <c r="E1027" s="33"/>
      <c r="F1027" s="34"/>
      <c r="G1027" s="33"/>
      <c r="H1027" s="33"/>
      <c r="I1027" s="33"/>
      <c r="J1027" s="33"/>
      <c r="K1027" s="33"/>
      <c r="L1027" s="33"/>
      <c r="M1027" s="21">
        <f t="shared" si="131"/>
        <v>0</v>
      </c>
      <c r="N1027" s="8">
        <f t="shared" si="129"/>
        <v>0</v>
      </c>
      <c r="O1027" s="25">
        <f t="shared" si="126"/>
        <v>3436.6499999999328</v>
      </c>
      <c r="P1027" s="8">
        <f t="shared" si="133"/>
        <v>0</v>
      </c>
      <c r="Q1027" s="4">
        <f>IF(AND(S1027&gt;=[1]eRRSP_Rpt!$C$6,S1027&lt;=[1]eRRSP_Rpt!$C$7),1,0)</f>
        <v>1</v>
      </c>
      <c r="R1027" s="4"/>
      <c r="S1027" s="4">
        <f t="shared" si="130"/>
        <v>2015</v>
      </c>
      <c r="T1027" s="4"/>
      <c r="U1027" s="4" t="str">
        <f t="shared" si="132"/>
        <v/>
      </c>
      <c r="V1027" s="23">
        <f>IFERROR(IF(AND(AB1027&gt;0,B1027&lt;&gt;"Sell"),(AA1027-SUMIF(C$4:C1026,C1027,AC$4:AC1027))/AB1027,0),"")</f>
        <v>0</v>
      </c>
      <c r="W1027" s="24" t="str">
        <f t="shared" si="128"/>
        <v/>
      </c>
      <c r="X1027" s="25" t="str">
        <f t="shared" si="127"/>
        <v/>
      </c>
      <c r="Y1027" s="10">
        <f>IF(S1028&lt;&gt;eRRSP_Tx_Table[[#This Row],[Year]],SUMIFS($W$4:$W1027,$S$4:$S1027,eRRSP_Tx_Table[[#This Row],[Year]],$W$4:$W1027,"&gt;0"),"")</f>
        <v>70.707435897431424</v>
      </c>
      <c r="Z1027" s="10">
        <f>IF(S1028&lt;&gt;eRRSP_Tx_Table[[#This Row],[Year]],SUMIFS($W$4:$W1027,$S$4:$S1027,eRRSP_Tx_Table[[#This Row],[Year]],$W$4:$W1027,"&lt;0"),"")</f>
        <v>0</v>
      </c>
      <c r="AA1027" s="3">
        <f>(SUMIF($U$4:$U1027,CONCATENATE("Buy",$C1027),$N$4:$N1027)+SUMIF($U$4:$U1027,CONCATENATE("ReinvDiv",$C1027),$N$4:$N1027))</f>
        <v>0</v>
      </c>
      <c r="AB1027">
        <f>(SUMIF($U$4:$U1027,CONCATENATE("Buy",$C1027),$F$4:$F1027)+SUMIF($U$4:$U1027,CONCATENATE("ReinvDiv",$C1027),$F$4:$F1027)+SUMIF($U$4:$U1027,CONCATENATE("StkSplit",$C1027),$F$4:$F1027)-SUMIF($U$4:$U1027,CONCATENATE("Sell",$C1027),$F$4:$F1027))</f>
        <v>0</v>
      </c>
      <c r="AC1027" s="3">
        <f>IF(B1027="Sell",F1027*INDEX(V:V,LOOKUP(2,1/(X$4:X1026=CONCATENATE(C1027,"_ACB")),ROW(V$4:V1026))),0)</f>
        <v>0</v>
      </c>
    </row>
    <row r="1028" spans="1:29" ht="13.5" customHeight="1" x14ac:dyDescent="0.25">
      <c r="A1028" s="32">
        <f>A1027+1</f>
        <v>42370</v>
      </c>
      <c r="B1028" s="33"/>
      <c r="C1028" s="33"/>
      <c r="D1028" s="34"/>
      <c r="E1028" s="33"/>
      <c r="F1028" s="34"/>
      <c r="G1028" s="33"/>
      <c r="H1028" s="33"/>
      <c r="I1028" s="33"/>
      <c r="J1028" s="33"/>
      <c r="K1028" s="33"/>
      <c r="L1028" s="33"/>
      <c r="M1028" s="21">
        <f t="shared" si="131"/>
        <v>0</v>
      </c>
      <c r="N1028" s="8">
        <f t="shared" si="129"/>
        <v>0</v>
      </c>
      <c r="O1028" s="25">
        <f t="shared" ref="O1028:O1088" si="134">O1027+IF(OR(B1028="Cash",B1028="Buy",B1028="Sell",B1028="Div",B1028="Rebate",B1028="Fees",B1028="IntInc",B1028="Tax",B1028="Distr"),N1028,0)</f>
        <v>3436.6499999999328</v>
      </c>
      <c r="P1028" s="8">
        <f t="shared" si="133"/>
        <v>0</v>
      </c>
      <c r="Q1028" s="4">
        <f>IF(AND(S1028&gt;=[1]eRRSP_Rpt!$C$6,S1028&lt;=[1]eRRSP_Rpt!$C$7),1,0)</f>
        <v>0</v>
      </c>
      <c r="R1028" s="4"/>
      <c r="S1028" s="4">
        <f t="shared" si="130"/>
        <v>2016</v>
      </c>
      <c r="T1028" s="4"/>
      <c r="U1028" s="4" t="str">
        <f t="shared" si="132"/>
        <v/>
      </c>
      <c r="V1028" s="23">
        <f>IFERROR(IF(AND(AB1028&gt;0,B1028&lt;&gt;"Sell"),(AA1028-SUMIF(C$4:C1027,C1028,AC$4:AC1028))/AB1028,0),"")</f>
        <v>0</v>
      </c>
      <c r="W1028" s="24" t="str">
        <f t="shared" si="128"/>
        <v/>
      </c>
      <c r="X1028" s="25" t="str">
        <f t="shared" ref="X1028:X1088" si="135">IF(V1028,CONCATENATE(C1028,"_ACB"),"")</f>
        <v/>
      </c>
      <c r="Y1028" s="10" t="str">
        <f>IF(S1029&lt;&gt;eRRSP_Tx_Table[[#This Row],[Year]],SUMIFS($W$4:$W1028,$S$4:$S1028,eRRSP_Tx_Table[[#This Row],[Year]],$W$4:$W1028,"&gt;0"),"")</f>
        <v/>
      </c>
      <c r="Z1028" s="10" t="str">
        <f>IF(S1029&lt;&gt;eRRSP_Tx_Table[[#This Row],[Year]],SUMIFS($W$4:$W1028,$S$4:$S1028,eRRSP_Tx_Table[[#This Row],[Year]],$W$4:$W1028,"&lt;0"),"")</f>
        <v/>
      </c>
      <c r="AA1028" s="3">
        <f>(SUMIF($U$4:$U1028,CONCATENATE("Buy",$C1028),$N$4:$N1028)+SUMIF($U$4:$U1028,CONCATENATE("ReinvDiv",$C1028),$N$4:$N1028))</f>
        <v>0</v>
      </c>
      <c r="AB1028">
        <f>(SUMIF($U$4:$U1028,CONCATENATE("Buy",$C1028),$F$4:$F1028)+SUMIF($U$4:$U1028,CONCATENATE("ReinvDiv",$C1028),$F$4:$F1028)+SUMIF($U$4:$U1028,CONCATENATE("StkSplit",$C1028),$F$4:$F1028)-SUMIF($U$4:$U1028,CONCATENATE("Sell",$C1028),$F$4:$F1028))</f>
        <v>0</v>
      </c>
      <c r="AC1028" s="3">
        <f>IF(B1028="Sell",F1028*INDEX(V:V,LOOKUP(2,1/(X$4:X1027=CONCATENATE(C1028,"_ACB")),ROW(V$4:V1027))),0)</f>
        <v>0</v>
      </c>
    </row>
    <row r="1029" spans="1:29" x14ac:dyDescent="0.25">
      <c r="A1029" s="20">
        <v>42374</v>
      </c>
      <c r="B1029" t="s">
        <v>42</v>
      </c>
      <c r="C1029" t="s">
        <v>105</v>
      </c>
      <c r="D1029" s="3">
        <v>42.06</v>
      </c>
      <c r="M1029" s="21">
        <f t="shared" si="131"/>
        <v>42.06</v>
      </c>
      <c r="N1029" s="8">
        <f t="shared" si="129"/>
        <v>42.06</v>
      </c>
      <c r="O1029" s="25">
        <f t="shared" si="134"/>
        <v>3478.7099999999327</v>
      </c>
      <c r="P1029" s="8">
        <f t="shared" si="133"/>
        <v>0</v>
      </c>
      <c r="Q1029" s="4">
        <f>IF(AND(S1029&gt;=[1]eRRSP_Rpt!$C$6,S1029&lt;=[1]eRRSP_Rpt!$C$7),1,0)</f>
        <v>0</v>
      </c>
      <c r="R1029" s="4"/>
      <c r="S1029" s="4">
        <f t="shared" si="130"/>
        <v>2016</v>
      </c>
      <c r="T1029" s="4"/>
      <c r="U1029" s="4" t="str">
        <f t="shared" si="132"/>
        <v>DivVanguard CDN S/T Corp Bond</v>
      </c>
      <c r="V1029" s="23">
        <f>IFERROR(IF(AND(AB1029&gt;0,B1029&lt;&gt;"Sell"),(AA1029-SUMIF(C$4:C1028,C1029,AC$4:AC1029))/AB1029,0),"")</f>
        <v>-25.164273504273503</v>
      </c>
      <c r="W1029" s="24" t="str">
        <f t="shared" ref="W1029:W1088" si="136">IF(B1029="Sell",N1029+AC1029,"")</f>
        <v/>
      </c>
      <c r="X1029" s="25" t="str">
        <f t="shared" si="135"/>
        <v>Vanguard CDN S/T Corp Bond_ACB</v>
      </c>
      <c r="Y1029" s="10" t="str">
        <f>IF(S1030&lt;&gt;eRRSP_Tx_Table[[#This Row],[Year]],SUMIFS($W$4:$W1029,$S$4:$S1029,eRRSP_Tx_Table[[#This Row],[Year]],$W$4:$W1029,"&gt;0"),"")</f>
        <v/>
      </c>
      <c r="Z1029" s="10" t="str">
        <f>IF(S1030&lt;&gt;eRRSP_Tx_Table[[#This Row],[Year]],SUMIFS($W$4:$W1029,$S$4:$S1029,eRRSP_Tx_Table[[#This Row],[Year]],$W$4:$W1029,"&lt;0"),"")</f>
        <v/>
      </c>
      <c r="AA1029" s="3">
        <f>(SUMIF($U$4:$U1029,CONCATENATE("Buy",$C1029),$N$4:$N1029)+SUMIF($U$4:$U1029,CONCATENATE("ReinvDiv",$C1029),$N$4:$N1029))</f>
        <v>-41219.08</v>
      </c>
      <c r="AB1029">
        <f>(SUMIF($U$4:$U1029,CONCATENATE("Buy",$C1029),$F$4:$F1029)+SUMIF($U$4:$U1029,CONCATENATE("ReinvDiv",$C1029),$F$4:$F1029)+SUMIF($U$4:$U1029,CONCATENATE("StkSplit",$C1029),$F$4:$F1029)-SUMIF($U$4:$U1029,CONCATENATE("Sell",$C1029),$F$4:$F1029))</f>
        <v>795</v>
      </c>
      <c r="AC1029" s="3">
        <f>IF(B1029="Sell",F1029*INDEX(V:V,LOOKUP(2,1/(X$4:X1028=CONCATENATE(C1029,"_ACB")),ROW(V$4:V1028))),0)</f>
        <v>0</v>
      </c>
    </row>
    <row r="1030" spans="1:29" x14ac:dyDescent="0.25">
      <c r="A1030" s="20">
        <v>42374</v>
      </c>
      <c r="B1030" t="s">
        <v>42</v>
      </c>
      <c r="C1030" t="s">
        <v>104</v>
      </c>
      <c r="D1030" s="3">
        <v>539.53</v>
      </c>
      <c r="M1030" s="21">
        <f t="shared" si="131"/>
        <v>539.53</v>
      </c>
      <c r="N1030" s="8">
        <f t="shared" si="129"/>
        <v>539.53</v>
      </c>
      <c r="O1030" s="25">
        <f t="shared" si="134"/>
        <v>4018.2399999999325</v>
      </c>
      <c r="P1030" s="8">
        <f t="shared" si="133"/>
        <v>0</v>
      </c>
      <c r="Q1030" s="4">
        <f>IF(AND(S1030&gt;=[1]eRRSP_Rpt!$C$6,S1030&lt;=[1]eRRSP_Rpt!$C$7),1,0)</f>
        <v>0</v>
      </c>
      <c r="R1030" s="4"/>
      <c r="S1030" s="4">
        <f t="shared" si="130"/>
        <v>2016</v>
      </c>
      <c r="T1030" s="4"/>
      <c r="U1030" s="4" t="str">
        <f t="shared" si="132"/>
        <v>DivVanguard US Total Market ETF</v>
      </c>
      <c r="V1030" s="23">
        <f>IFERROR(IF(AND(AB1030&gt;0,B1030&lt;&gt;"Sell"),(AA1030-SUMIF(C$4:C1029,C1030,AC$4:AC1030))/AB1030,0),"")</f>
        <v>-31.343779980812279</v>
      </c>
      <c r="W1030" s="24" t="str">
        <f t="shared" si="136"/>
        <v/>
      </c>
      <c r="X1030" s="25" t="str">
        <f t="shared" si="135"/>
        <v>Vanguard US Total Market ETF_ACB</v>
      </c>
      <c r="Y1030" s="10" t="str">
        <f>IF(S1031&lt;&gt;eRRSP_Tx_Table[[#This Row],[Year]],SUMIFS($W$4:$W1030,$S$4:$S1030,eRRSP_Tx_Table[[#This Row],[Year]],$W$4:$W1030,"&gt;0"),"")</f>
        <v/>
      </c>
      <c r="Z1030" s="10" t="str">
        <f>IF(S1031&lt;&gt;eRRSP_Tx_Table[[#This Row],[Year]],SUMIFS($W$4:$W1030,$S$4:$S1030,eRRSP_Tx_Table[[#This Row],[Year]],$W$4:$W1030,"&lt;0"),"")</f>
        <v/>
      </c>
      <c r="AA1030" s="3">
        <f>(SUMIF($U$4:$U1030,CONCATENATE("Buy",$C1030),$N$4:$N1030)+SUMIF($U$4:$U1030,CONCATENATE("ReinvDiv",$C1030),$N$4:$N1030))</f>
        <v>-98012</v>
      </c>
      <c r="AB1030">
        <f>(SUMIF($U$4:$U1030,CONCATENATE("Buy",$C1030),$F$4:$F1030)+SUMIF($U$4:$U1030,CONCATENATE("ReinvDiv",$C1030),$F$4:$F1030)+SUMIF($U$4:$U1030,CONCATENATE("StkSplit",$C1030),$F$4:$F1030)-SUMIF($U$4:$U1030,CONCATENATE("Sell",$C1030),$F$4:$F1030))</f>
        <v>3127</v>
      </c>
      <c r="AC1030" s="3">
        <f>IF(B1030="Sell",F1030*INDEX(V:V,LOOKUP(2,1/(X$4:X1029=CONCATENATE(C1030,"_ACB")),ROW(V$4:V1029))),0)</f>
        <v>0</v>
      </c>
    </row>
    <row r="1031" spans="1:29" x14ac:dyDescent="0.25">
      <c r="A1031" s="20">
        <v>42375</v>
      </c>
      <c r="B1031" t="s">
        <v>42</v>
      </c>
      <c r="C1031" t="s">
        <v>103</v>
      </c>
      <c r="D1031" s="3">
        <v>490.63</v>
      </c>
      <c r="M1031" s="21">
        <f t="shared" si="131"/>
        <v>490.63</v>
      </c>
      <c r="N1031" s="8">
        <f t="shared" si="129"/>
        <v>490.63</v>
      </c>
      <c r="O1031" s="25">
        <f t="shared" si="134"/>
        <v>4508.8699999999326</v>
      </c>
      <c r="P1031" s="8">
        <f t="shared" si="133"/>
        <v>0</v>
      </c>
      <c r="Q1031" s="4">
        <f>IF(AND(S1031&gt;=[1]eRRSP_Rpt!$C$6,S1031&lt;=[1]eRRSP_Rpt!$C$7),1,0)</f>
        <v>0</v>
      </c>
      <c r="R1031" s="4"/>
      <c r="S1031" s="4">
        <f t="shared" si="130"/>
        <v>2016</v>
      </c>
      <c r="T1031" s="4"/>
      <c r="U1031" s="4" t="str">
        <f t="shared" si="132"/>
        <v>DivIshares Global Real Estate Index</v>
      </c>
      <c r="V1031" s="23">
        <f>IFERROR(IF(AND(AB1031&gt;0,B1031&lt;&gt;"Sell"),(AA1031-SUMIF(C$4:C1030,C1031,AC$4:AC1031))/AB1031,0),"")</f>
        <v>-21.780311149524632</v>
      </c>
      <c r="W1031" s="24" t="str">
        <f t="shared" si="136"/>
        <v/>
      </c>
      <c r="X1031" s="25" t="str">
        <f t="shared" si="135"/>
        <v>Ishares Global Real Estate Index_ACB</v>
      </c>
      <c r="Y1031" s="10" t="str">
        <f>IF(S1032&lt;&gt;eRRSP_Tx_Table[[#This Row],[Year]],SUMIFS($W$4:$W1031,$S$4:$S1031,eRRSP_Tx_Table[[#This Row],[Year]],$W$4:$W1031,"&gt;0"),"")</f>
        <v/>
      </c>
      <c r="Z1031" s="10" t="str">
        <f>IF(S1032&lt;&gt;eRRSP_Tx_Table[[#This Row],[Year]],SUMIFS($W$4:$W1031,$S$4:$S1031,eRRSP_Tx_Table[[#This Row],[Year]],$W$4:$W1031,"&lt;0"),"")</f>
        <v/>
      </c>
      <c r="AA1031" s="3">
        <f>(SUMIF($U$4:$U1031,CONCATENATE("Buy",$C1031),$N$4:$N1031)+SUMIF($U$4:$U1031,CONCATENATE("ReinvDiv",$C1031),$N$4:$N1031))</f>
        <v>-25199.82</v>
      </c>
      <c r="AB1031">
        <f>(SUMIF($U$4:$U1031,CONCATENATE("Buy",$C1031),$F$4:$F1031)+SUMIF($U$4:$U1031,CONCATENATE("ReinvDiv",$C1031),$F$4:$F1031)+SUMIF($U$4:$U1031,CONCATENATE("StkSplit",$C1031),$F$4:$F1031)-SUMIF($U$4:$U1031,CONCATENATE("Sell",$C1031),$F$4:$F1031))</f>
        <v>1157</v>
      </c>
      <c r="AC1031" s="3">
        <f>IF(B1031="Sell",F1031*INDEX(V:V,LOOKUP(2,1/(X$4:X1030=CONCATENATE(C1031,"_ACB")),ROW(V$4:V1030))),0)</f>
        <v>0</v>
      </c>
    </row>
    <row r="1032" spans="1:29" x14ac:dyDescent="0.25">
      <c r="A1032" s="20">
        <v>42377</v>
      </c>
      <c r="B1032" t="s">
        <v>41</v>
      </c>
      <c r="C1032" t="s">
        <v>103</v>
      </c>
      <c r="D1032" s="3">
        <v>540.79999999999995</v>
      </c>
      <c r="H1032" t="s">
        <v>107</v>
      </c>
      <c r="M1032" s="21">
        <f t="shared" si="131"/>
        <v>540.79999999999995</v>
      </c>
      <c r="N1032" s="8">
        <f t="shared" si="129"/>
        <v>-540.79999999999995</v>
      </c>
      <c r="O1032" s="25">
        <f t="shared" si="134"/>
        <v>4508.8699999999326</v>
      </c>
      <c r="P1032" s="8">
        <f t="shared" si="133"/>
        <v>0</v>
      </c>
      <c r="Q1032" s="4">
        <f>IF(AND(S1032&gt;=[1]eRRSP_Rpt!$C$6,S1032&lt;=[1]eRRSP_Rpt!$C$7),1,0)</f>
        <v>0</v>
      </c>
      <c r="R1032" s="4"/>
      <c r="S1032" s="4">
        <f t="shared" si="130"/>
        <v>2016</v>
      </c>
      <c r="T1032" s="4"/>
      <c r="U1032" s="4" t="str">
        <f t="shared" si="132"/>
        <v>ReinvDivIshares Global Real Estate Index</v>
      </c>
      <c r="V1032" s="23">
        <f>IFERROR(IF(AND(AB1032&gt;0,B1032&lt;&gt;"Sell"),(AA1032-SUMIF(C$4:C1031,C1032,AC$4:AC1032))/AB1032,0),"")</f>
        <v>-22.247726879861712</v>
      </c>
      <c r="W1032" s="24" t="str">
        <f t="shared" si="136"/>
        <v/>
      </c>
      <c r="X1032" s="25" t="str">
        <f t="shared" si="135"/>
        <v>Ishares Global Real Estate Index_ACB</v>
      </c>
      <c r="Y1032" s="10" t="str">
        <f>IF(S1033&lt;&gt;eRRSP_Tx_Table[[#This Row],[Year]],SUMIFS($W$4:$W1032,$S$4:$S1032,eRRSP_Tx_Table[[#This Row],[Year]],$W$4:$W1032,"&gt;0"),"")</f>
        <v/>
      </c>
      <c r="Z1032" s="10" t="str">
        <f>IF(S1033&lt;&gt;eRRSP_Tx_Table[[#This Row],[Year]],SUMIFS($W$4:$W1032,$S$4:$S1032,eRRSP_Tx_Table[[#This Row],[Year]],$W$4:$W1032,"&lt;0"),"")</f>
        <v/>
      </c>
      <c r="AA1032" s="3">
        <f>(SUMIF($U$4:$U1032,CONCATENATE("Buy",$C1032),$N$4:$N1032)+SUMIF($U$4:$U1032,CONCATENATE("ReinvDiv",$C1032),$N$4:$N1032))</f>
        <v>-25740.620000000003</v>
      </c>
      <c r="AB1032">
        <f>(SUMIF($U$4:$U1032,CONCATENATE("Buy",$C1032),$F$4:$F1032)+SUMIF($U$4:$U1032,CONCATENATE("ReinvDiv",$C1032),$F$4:$F1032)+SUMIF($U$4:$U1032,CONCATENATE("StkSplit",$C1032),$F$4:$F1032)-SUMIF($U$4:$U1032,CONCATENATE("Sell",$C1032),$F$4:$F1032))</f>
        <v>1157</v>
      </c>
      <c r="AC1032" s="3">
        <f>IF(B1032="Sell",F1032*INDEX(V:V,LOOKUP(2,1/(X$4:X1031=CONCATENATE(C1032,"_ACB")),ROW(V$4:V1031))),0)</f>
        <v>0</v>
      </c>
    </row>
    <row r="1033" spans="1:29" x14ac:dyDescent="0.25">
      <c r="A1033" s="20">
        <v>42385</v>
      </c>
      <c r="B1033" t="s">
        <v>43</v>
      </c>
      <c r="C1033" t="s">
        <v>36</v>
      </c>
      <c r="D1033" s="3">
        <v>0.08</v>
      </c>
      <c r="M1033" s="21">
        <f t="shared" si="131"/>
        <v>0.08</v>
      </c>
      <c r="N1033" s="8">
        <f t="shared" si="129"/>
        <v>0.08</v>
      </c>
      <c r="O1033" s="25">
        <f t="shared" si="134"/>
        <v>4508.9499999999325</v>
      </c>
      <c r="P1033" s="8">
        <f t="shared" si="133"/>
        <v>0</v>
      </c>
      <c r="Q1033" s="4">
        <f>IF(AND(S1033&gt;=[1]eRRSP_Rpt!$C$6,S1033&lt;=[1]eRRSP_Rpt!$C$7),1,0)</f>
        <v>0</v>
      </c>
      <c r="R1033" s="4"/>
      <c r="S1033" s="4">
        <f t="shared" si="130"/>
        <v>2016</v>
      </c>
      <c r="T1033" s="4"/>
      <c r="U1033" s="4" t="str">
        <f t="shared" si="132"/>
        <v>IntIncTDW</v>
      </c>
      <c r="V1033" s="23">
        <f>IFERROR(IF(AND(AB1033&gt;0,B1033&lt;&gt;"Sell"),(AA1033-SUMIF(C$4:C1032,C1033,AC$4:AC1033))/AB1033,0),"")</f>
        <v>0</v>
      </c>
      <c r="W1033" s="24" t="str">
        <f t="shared" si="136"/>
        <v/>
      </c>
      <c r="X1033" s="25" t="str">
        <f t="shared" si="135"/>
        <v/>
      </c>
      <c r="Y1033" s="10" t="str">
        <f>IF(S1034&lt;&gt;eRRSP_Tx_Table[[#This Row],[Year]],SUMIFS($W$4:$W1033,$S$4:$S1033,eRRSP_Tx_Table[[#This Row],[Year]],$W$4:$W1033,"&gt;0"),"")</f>
        <v/>
      </c>
      <c r="Z1033" s="10" t="str">
        <f>IF(S1034&lt;&gt;eRRSP_Tx_Table[[#This Row],[Year]],SUMIFS($W$4:$W1033,$S$4:$S1033,eRRSP_Tx_Table[[#This Row],[Year]],$W$4:$W1033,"&lt;0"),"")</f>
        <v/>
      </c>
      <c r="AA1033" s="3">
        <f>(SUMIF($U$4:$U1033,CONCATENATE("Buy",$C1033),$N$4:$N1033)+SUMIF($U$4:$U1033,CONCATENATE("ReinvDiv",$C1033),$N$4:$N1033))</f>
        <v>0</v>
      </c>
      <c r="AB1033">
        <f>(SUMIF($U$4:$U1033,CONCATENATE("Buy",$C1033),$F$4:$F1033)+SUMIF($U$4:$U1033,CONCATENATE("ReinvDiv",$C1033),$F$4:$F1033)+SUMIF($U$4:$U1033,CONCATENATE("StkSplit",$C1033),$F$4:$F1033)-SUMIF($U$4:$U1033,CONCATENATE("Sell",$C1033),$F$4:$F1033))</f>
        <v>0</v>
      </c>
      <c r="AC1033" s="3">
        <f>IF(B1033="Sell",F1033*INDEX(V:V,LOOKUP(2,1/(X$4:X1032=CONCATENATE(C1033,"_ACB")),ROW(V$4:V1032))),0)</f>
        <v>0</v>
      </c>
    </row>
    <row r="1034" spans="1:29" x14ac:dyDescent="0.25">
      <c r="A1034" s="20">
        <v>42395</v>
      </c>
      <c r="B1034" t="s">
        <v>43</v>
      </c>
      <c r="C1034" t="s">
        <v>94</v>
      </c>
      <c r="D1034" s="3">
        <v>486.5</v>
      </c>
      <c r="M1034" s="21">
        <f t="shared" si="131"/>
        <v>486.5</v>
      </c>
      <c r="N1034" s="8">
        <f t="shared" ref="N1034:N1036" si="137">IF(OR(B1034="Buy",B1034="ReinvDiv"),-M1034-G1034,M1034-G1034)</f>
        <v>486.5</v>
      </c>
      <c r="O1034" s="25">
        <f t="shared" si="134"/>
        <v>4995.4499999999325</v>
      </c>
      <c r="P1034" s="8">
        <f t="shared" si="133"/>
        <v>0</v>
      </c>
      <c r="Q1034" s="4">
        <f>IF(AND(S1034&gt;=[1]eRRSP_Rpt!$C$6,S1034&lt;=[1]eRRSP_Rpt!$C$7),1,0)</f>
        <v>0</v>
      </c>
      <c r="R1034" s="4"/>
      <c r="S1034" s="4">
        <f t="shared" si="130"/>
        <v>2016</v>
      </c>
      <c r="T1034" s="4"/>
      <c r="U1034" s="4" t="str">
        <f t="shared" si="132"/>
        <v>IntIncAIMIA SER-3  6.95% 26JA17</v>
      </c>
      <c r="V1034" s="23">
        <f>IFERROR(IF(AND(AB1034&gt;0,B1034&lt;&gt;"Sell"),(AA1034-SUMIF(C$4:C1033,C1034,AC$4:AC1034))/AB1034,0),"")</f>
        <v>-1.0346899999999999</v>
      </c>
      <c r="W1034" s="24" t="str">
        <f t="shared" si="136"/>
        <v/>
      </c>
      <c r="X1034" s="25" t="str">
        <f t="shared" si="135"/>
        <v>AIMIA SER-3  6.95% 26JA17_ACB</v>
      </c>
      <c r="Y1034" s="10" t="str">
        <f>IF(S1035&lt;&gt;eRRSP_Tx_Table[[#This Row],[Year]],SUMIFS($W$4:$W1034,$S$4:$S1034,eRRSP_Tx_Table[[#This Row],[Year]],$W$4:$W1034,"&gt;0"),"")</f>
        <v/>
      </c>
      <c r="Z1034" s="10" t="str">
        <f>IF(S1035&lt;&gt;eRRSP_Tx_Table[[#This Row],[Year]],SUMIFS($W$4:$W1034,$S$4:$S1034,eRRSP_Tx_Table[[#This Row],[Year]],$W$4:$W1034,"&lt;0"),"")</f>
        <v/>
      </c>
      <c r="AA1034" s="3">
        <f>(SUMIF($U$4:$U1034,CONCATENATE("Buy",$C1034),$N$4:$N1034)+SUMIF($U$4:$U1034,CONCATENATE("ReinvDiv",$C1034),$N$4:$N1034))</f>
        <v>-14485.66</v>
      </c>
      <c r="AB1034">
        <f>(SUMIF($U$4:$U1034,CONCATENATE("Buy",$C1034),$F$4:$F1034)+SUMIF($U$4:$U1034,CONCATENATE("ReinvDiv",$C1034),$F$4:$F1034)+SUMIF($U$4:$U1034,CONCATENATE("StkSplit",$C1034),$F$4:$F1034)-SUMIF($U$4:$U1034,CONCATENATE("Sell",$C1034),$F$4:$F1034))</f>
        <v>14000</v>
      </c>
      <c r="AC1034" s="3">
        <f>IF(B1034="Sell",F1034*INDEX(V:V,LOOKUP(2,1/(X$4:X1033=CONCATENATE(C1034,"_ACB")),ROW(V$4:V1033))),0)</f>
        <v>0</v>
      </c>
    </row>
    <row r="1035" spans="1:29" x14ac:dyDescent="0.25">
      <c r="A1035" s="20">
        <v>42398</v>
      </c>
      <c r="B1035" t="s">
        <v>43</v>
      </c>
      <c r="C1035" t="s">
        <v>99</v>
      </c>
      <c r="D1035" s="3">
        <v>10.27</v>
      </c>
      <c r="M1035" s="21">
        <f t="shared" si="131"/>
        <v>10.27</v>
      </c>
      <c r="N1035" s="8">
        <f t="shared" si="137"/>
        <v>10.27</v>
      </c>
      <c r="O1035" s="25">
        <f t="shared" si="134"/>
        <v>5005.719999999933</v>
      </c>
      <c r="P1035" s="8">
        <f t="shared" si="133"/>
        <v>0</v>
      </c>
      <c r="Q1035" s="4">
        <f>IF(AND(S1035&gt;=[1]eRRSP_Rpt!$C$6,S1035&lt;=[1]eRRSP_Rpt!$C$7),1,0)</f>
        <v>0</v>
      </c>
      <c r="R1035" s="4"/>
      <c r="S1035" s="4">
        <f t="shared" si="130"/>
        <v>2016</v>
      </c>
      <c r="T1035" s="4"/>
      <c r="U1035" s="4" t="str">
        <f t="shared" si="132"/>
        <v>IntIncTD INV SAV ACCT  /NL'FRAC</v>
      </c>
      <c r="V1035" s="23">
        <f>IFERROR(IF(AND(AB1035&gt;0,B1035&lt;&gt;"Sell"),(AA1035-SUMIF(C$4:C1034,C1035,AC$4:AC1035))/AB1035,0),"")</f>
        <v>-10</v>
      </c>
      <c r="W1035" s="24" t="str">
        <f t="shared" si="136"/>
        <v/>
      </c>
      <c r="X1035" s="25" t="str">
        <f t="shared" si="135"/>
        <v>TD INV SAV ACCT  /NL'FRAC_ACB</v>
      </c>
      <c r="Y1035" s="10" t="str">
        <f>IF(S1036&lt;&gt;eRRSP_Tx_Table[[#This Row],[Year]],SUMIFS($W$4:$W1035,$S$4:$S1035,eRRSP_Tx_Table[[#This Row],[Year]],$W$4:$W1035,"&gt;0"),"")</f>
        <v/>
      </c>
      <c r="Z1035" s="10" t="str">
        <f>IF(S1036&lt;&gt;eRRSP_Tx_Table[[#This Row],[Year]],SUMIFS($W$4:$W1035,$S$4:$S1035,eRRSP_Tx_Table[[#This Row],[Year]],$W$4:$W1035,"&lt;0"),"")</f>
        <v/>
      </c>
      <c r="AA1035" s="3">
        <f>(SUMIF($U$4:$U1035,CONCATENATE("Buy",$C1035),$N$4:$N1035)+SUMIF($U$4:$U1035,CONCATENATE("ReinvDiv",$C1035),$N$4:$N1035))</f>
        <v>-30900</v>
      </c>
      <c r="AB1035">
        <f>(SUMIF($U$4:$U1035,CONCATENATE("Buy",$C1035),$F$4:$F1035)+SUMIF($U$4:$U1035,CONCATENATE("ReinvDiv",$C1035),$F$4:$F1035)+SUMIF($U$4:$U1035,CONCATENATE("StkSplit",$C1035),$F$4:$F1035)-SUMIF($U$4:$U1035,CONCATENATE("Sell",$C1035),$F$4:$F1035))</f>
        <v>1790</v>
      </c>
      <c r="AC1035" s="3">
        <f>IF(B1035="Sell",F1035*INDEX(V:V,LOOKUP(2,1/(X$4:X1034=CONCATENATE(C1035,"_ACB")),ROW(V$4:V1034))),0)</f>
        <v>0</v>
      </c>
    </row>
    <row r="1036" spans="1:29" x14ac:dyDescent="0.25">
      <c r="A1036" s="20">
        <v>42405</v>
      </c>
      <c r="B1036" t="s">
        <v>42</v>
      </c>
      <c r="C1036" t="s">
        <v>105</v>
      </c>
      <c r="D1036" s="3">
        <v>58.85</v>
      </c>
      <c r="M1036" s="21">
        <f t="shared" si="131"/>
        <v>58.85</v>
      </c>
      <c r="N1036" s="8">
        <f t="shared" si="137"/>
        <v>58.85</v>
      </c>
      <c r="O1036" s="25">
        <f t="shared" si="134"/>
        <v>5064.5699999999333</v>
      </c>
      <c r="P1036" s="8">
        <f t="shared" si="133"/>
        <v>0</v>
      </c>
      <c r="Q1036" s="4">
        <f>IF(AND(S1036&gt;=[1]eRRSP_Rpt!$C$6,S1036&lt;=[1]eRRSP_Rpt!$C$7),1,0)</f>
        <v>0</v>
      </c>
      <c r="R1036" s="4"/>
      <c r="S1036" s="4">
        <f t="shared" si="130"/>
        <v>2016</v>
      </c>
      <c r="T1036" s="4"/>
      <c r="U1036" s="4" t="str">
        <f t="shared" si="132"/>
        <v>DivVanguard CDN S/T Corp Bond</v>
      </c>
      <c r="V1036" s="23">
        <f>IFERROR(IF(AND(AB1036&gt;0,B1036&lt;&gt;"Sell"),(AA1036-SUMIF(C$4:C1035,C1036,AC$4:AC1036))/AB1036,0),"")</f>
        <v>-25.164273504273503</v>
      </c>
      <c r="W1036" s="24" t="str">
        <f t="shared" si="136"/>
        <v/>
      </c>
      <c r="X1036" s="25" t="str">
        <f t="shared" si="135"/>
        <v>Vanguard CDN S/T Corp Bond_ACB</v>
      </c>
      <c r="Y1036" s="10" t="str">
        <f>IF(S1038&lt;&gt;eRRSP_Tx_Table[[#This Row],[Year]],SUMIFS($W$4:$W1036,$S$4:$S1036,eRRSP_Tx_Table[[#This Row],[Year]],$W$4:$W1036,"&gt;0"),"")</f>
        <v/>
      </c>
      <c r="Z1036" s="10" t="str">
        <f>IF(S1038&lt;&gt;eRRSP_Tx_Table[[#This Row],[Year]],SUMIFS($W$4:$W1036,$S$4:$S1036,eRRSP_Tx_Table[[#This Row],[Year]],$W$4:$W1036,"&lt;0"),"")</f>
        <v/>
      </c>
      <c r="AA1036" s="3">
        <f>(SUMIF($U$4:$U1036,CONCATENATE("Buy",$C1036),$N$4:$N1036)+SUMIF($U$4:$U1036,CONCATENATE("ReinvDiv",$C1036),$N$4:$N1036))</f>
        <v>-41219.08</v>
      </c>
      <c r="AB1036">
        <f>(SUMIF($U$4:$U1036,CONCATENATE("Buy",$C1036),$F$4:$F1036)+SUMIF($U$4:$U1036,CONCATENATE("ReinvDiv",$C1036),$F$4:$F1036)+SUMIF($U$4:$U1036,CONCATENATE("StkSplit",$C1036),$F$4:$F1036)-SUMIF($U$4:$U1036,CONCATENATE("Sell",$C1036),$F$4:$F1036))</f>
        <v>795</v>
      </c>
      <c r="AC1036" s="3">
        <f>IF(B1036="Sell",F1036*INDEX(V:V,LOOKUP(2,1/(X$4:X1035=CONCATENATE(C1036,"_ACB")),ROW(V$4:V1035))),0)</f>
        <v>0</v>
      </c>
    </row>
    <row r="1037" spans="1:29" x14ac:dyDescent="0.25">
      <c r="A1037" s="20">
        <v>42416</v>
      </c>
      <c r="B1037" t="s">
        <v>43</v>
      </c>
      <c r="C1037" t="s">
        <v>36</v>
      </c>
      <c r="D1037" s="3">
        <v>0.1</v>
      </c>
      <c r="M1037" s="21">
        <f t="shared" si="131"/>
        <v>0.1</v>
      </c>
      <c r="N1037" s="8">
        <f>IF(OR(B1037="Buy",B1037="ReinvDiv"),-M1037-G1037,M1037-G1037)</f>
        <v>0.1</v>
      </c>
      <c r="O1037" s="25">
        <f t="shared" si="134"/>
        <v>5064.6699999999337</v>
      </c>
      <c r="P1037" s="8">
        <f t="shared" si="133"/>
        <v>0</v>
      </c>
      <c r="Q1037" s="4">
        <f>IF(AND(S1037&gt;=[1]eRRSP_Rpt!$C$6,S1037&lt;=[1]eRRSP_Rpt!$C$7),1,0)</f>
        <v>0</v>
      </c>
      <c r="R1037" s="4"/>
      <c r="S1037" s="4">
        <f t="shared" si="130"/>
        <v>2016</v>
      </c>
      <c r="T1037" s="4"/>
      <c r="U1037" s="4" t="str">
        <f t="shared" si="132"/>
        <v>IntIncTDW</v>
      </c>
      <c r="V1037" s="23">
        <f>IFERROR(IF(AND(AB1037&gt;0,B1037&lt;&gt;"Sell"),(AA1037-SUMIF(C$4:C1036,C1037,AC$4:AC1037))/AB1037,0),"")</f>
        <v>0</v>
      </c>
      <c r="W1037" s="24" t="str">
        <f t="shared" si="136"/>
        <v/>
      </c>
      <c r="X1037" s="25" t="str">
        <f t="shared" si="135"/>
        <v/>
      </c>
      <c r="Y1037" s="10" t="str">
        <f>IF(S1039&lt;&gt;eRRSP_Tx_Table[[#This Row],[Year]],SUMIFS($W$4:$W1037,$S$4:$S1037,eRRSP_Tx_Table[[#This Row],[Year]],$W$4:$W1037,"&gt;0"),"")</f>
        <v/>
      </c>
      <c r="Z1037" s="10" t="str">
        <f>IF(S1039&lt;&gt;eRRSP_Tx_Table[[#This Row],[Year]],SUMIFS($W$4:$W1037,$S$4:$S1037,eRRSP_Tx_Table[[#This Row],[Year]],$W$4:$W1037,"&lt;0"),"")</f>
        <v/>
      </c>
      <c r="AA1037" s="3">
        <f>(SUMIF($U$4:$U1037,CONCATENATE("Buy",$C1037),$N$4:$N1037)+SUMIF($U$4:$U1037,CONCATENATE("ReinvDiv",$C1037),$N$4:$N1037))</f>
        <v>0</v>
      </c>
      <c r="AB1037">
        <f>(SUMIF($U$4:$U1037,CONCATENATE("Buy",$C1037),$F$4:$F1037)+SUMIF($U$4:$U1037,CONCATENATE("ReinvDiv",$C1037),$F$4:$F1037)+SUMIF($U$4:$U1037,CONCATENATE("StkSplit",$C1037),$F$4:$F1037)-SUMIF($U$4:$U1037,CONCATENATE("Sell",$C1037),$F$4:$F1037))</f>
        <v>0</v>
      </c>
      <c r="AC1037" s="3">
        <f>IF(B1037="Sell",F1037*INDEX(V:V,LOOKUP(2,1/(X$4:X1036=CONCATENATE(C1037,"_ACB")),ROW(V$4:V1036))),0)</f>
        <v>0</v>
      </c>
    </row>
    <row r="1038" spans="1:29" x14ac:dyDescent="0.25">
      <c r="A1038" s="20">
        <v>42429</v>
      </c>
      <c r="B1038" t="s">
        <v>43</v>
      </c>
      <c r="C1038" t="s">
        <v>99</v>
      </c>
      <c r="D1038" s="3">
        <v>10.66</v>
      </c>
      <c r="M1038" s="21">
        <f t="shared" si="131"/>
        <v>10.66</v>
      </c>
      <c r="N1038" s="8">
        <f t="shared" ref="N1038:N1088" si="138">IF(OR(B1038="Buy",B1038="ReinvDiv"),-M1038-G1038,M1038-G1038)</f>
        <v>10.66</v>
      </c>
      <c r="O1038" s="25">
        <f t="shared" si="134"/>
        <v>5075.3299999999335</v>
      </c>
      <c r="P1038" s="8">
        <f t="shared" si="133"/>
        <v>0</v>
      </c>
      <c r="Q1038" s="4">
        <f>IF(AND(S1038&gt;=[1]eRRSP_Rpt!$C$6,S1038&lt;=[1]eRRSP_Rpt!$C$7),1,0)</f>
        <v>0</v>
      </c>
      <c r="R1038" s="4"/>
      <c r="S1038" s="4">
        <f t="shared" si="130"/>
        <v>2016</v>
      </c>
      <c r="T1038" s="4"/>
      <c r="U1038" s="4" t="str">
        <f t="shared" si="132"/>
        <v>IntIncTD INV SAV ACCT  /NL'FRAC</v>
      </c>
      <c r="V1038" s="23">
        <f>IFERROR(IF(AND(AB1038&gt;0,B1038&lt;&gt;"Sell"),(AA1038-SUMIF(C$4:C1037,C1038,AC$4:AC1038))/AB1038,0),"")</f>
        <v>-10</v>
      </c>
      <c r="W1038" s="24" t="str">
        <f t="shared" si="136"/>
        <v/>
      </c>
      <c r="X1038" s="25" t="str">
        <f t="shared" si="135"/>
        <v>TD INV SAV ACCT  /NL'FRAC_ACB</v>
      </c>
      <c r="Y1038" s="10" t="str">
        <f>IF(S1040&lt;&gt;eRRSP_Tx_Table[[#This Row],[Year]],SUMIFS($W$4:$W1038,$S$4:$S1038,eRRSP_Tx_Table[[#This Row],[Year]],$W$4:$W1038,"&gt;0"),"")</f>
        <v/>
      </c>
      <c r="Z1038" s="10" t="str">
        <f>IF(S1040&lt;&gt;eRRSP_Tx_Table[[#This Row],[Year]],SUMIFS($W$4:$W1038,$S$4:$S1038,eRRSP_Tx_Table[[#This Row],[Year]],$W$4:$W1038,"&lt;0"),"")</f>
        <v/>
      </c>
      <c r="AA1038" s="3">
        <f>(SUMIF($U$4:$U1038,CONCATENATE("Buy",$C1038),$N$4:$N1038)+SUMIF($U$4:$U1038,CONCATENATE("ReinvDiv",$C1038),$N$4:$N1038))</f>
        <v>-30900</v>
      </c>
      <c r="AB1038">
        <f>(SUMIF($U$4:$U1038,CONCATENATE("Buy",$C1038),$F$4:$F1038)+SUMIF($U$4:$U1038,CONCATENATE("ReinvDiv",$C1038),$F$4:$F1038)+SUMIF($U$4:$U1038,CONCATENATE("StkSplit",$C1038),$F$4:$F1038)-SUMIF($U$4:$U1038,CONCATENATE("Sell",$C1038),$F$4:$F1038))</f>
        <v>1790</v>
      </c>
      <c r="AC1038" s="3">
        <f>IF(B1038="Sell",F1038*INDEX(V:V,LOOKUP(2,1/(X$4:X1037=CONCATENATE(C1038,"_ACB")),ROW(V$4:V1037))),0)</f>
        <v>0</v>
      </c>
    </row>
    <row r="1039" spans="1:29" x14ac:dyDescent="0.25">
      <c r="A1039" s="20">
        <v>42436</v>
      </c>
      <c r="B1039" t="s">
        <v>42</v>
      </c>
      <c r="C1039" t="s">
        <v>105</v>
      </c>
      <c r="D1039" s="3">
        <v>47.06</v>
      </c>
      <c r="M1039" s="21">
        <f t="shared" si="131"/>
        <v>47.06</v>
      </c>
      <c r="N1039" s="8">
        <f t="shared" si="138"/>
        <v>47.06</v>
      </c>
      <c r="O1039" s="25">
        <f t="shared" si="134"/>
        <v>5122.3899999999339</v>
      </c>
      <c r="P1039" s="8">
        <f t="shared" si="133"/>
        <v>0</v>
      </c>
      <c r="Q1039" s="4">
        <f>IF(AND(S1039&gt;=[1]eRRSP_Rpt!$C$6,S1039&lt;=[1]eRRSP_Rpt!$C$7),1,0)</f>
        <v>0</v>
      </c>
      <c r="R1039" s="4"/>
      <c r="S1039" s="4">
        <f t="shared" si="130"/>
        <v>2016</v>
      </c>
      <c r="T1039" s="4"/>
      <c r="U1039" s="4" t="str">
        <f t="shared" si="132"/>
        <v>DivVanguard CDN S/T Corp Bond</v>
      </c>
      <c r="V1039" s="23">
        <f>IFERROR(IF(AND(AB1039&gt;0,B1039&lt;&gt;"Sell"),(AA1039-SUMIF(C$4:C1038,C1039,AC$4:AC1039))/AB1039,0),"")</f>
        <v>-25.164273504273503</v>
      </c>
      <c r="W1039" s="24" t="str">
        <f t="shared" si="136"/>
        <v/>
      </c>
      <c r="X1039" s="25" t="str">
        <f t="shared" si="135"/>
        <v>Vanguard CDN S/T Corp Bond_ACB</v>
      </c>
      <c r="Y1039" s="10" t="str">
        <f>IF(S1041&lt;&gt;eRRSP_Tx_Table[[#This Row],[Year]],SUMIFS($W$4:$W1039,$S$4:$S1039,eRRSP_Tx_Table[[#This Row],[Year]],$W$4:$W1039,"&gt;0"),"")</f>
        <v/>
      </c>
      <c r="Z1039" s="10" t="str">
        <f>IF(S1041&lt;&gt;eRRSP_Tx_Table[[#This Row],[Year]],SUMIFS($W$4:$W1039,$S$4:$S1039,eRRSP_Tx_Table[[#This Row],[Year]],$W$4:$W1039,"&lt;0"),"")</f>
        <v/>
      </c>
      <c r="AA1039" s="3">
        <f>(SUMIF($U$4:$U1039,CONCATENATE("Buy",$C1039),$N$4:$N1039)+SUMIF($U$4:$U1039,CONCATENATE("ReinvDiv",$C1039),$N$4:$N1039))</f>
        <v>-41219.08</v>
      </c>
      <c r="AB1039">
        <f>(SUMIF($U$4:$U1039,CONCATENATE("Buy",$C1039),$F$4:$F1039)+SUMIF($U$4:$U1039,CONCATENATE("ReinvDiv",$C1039),$F$4:$F1039)+SUMIF($U$4:$U1039,CONCATENATE("StkSplit",$C1039),$F$4:$F1039)-SUMIF($U$4:$U1039,CONCATENATE("Sell",$C1039),$F$4:$F1039))</f>
        <v>795</v>
      </c>
      <c r="AC1039" s="3">
        <f>IF(B1039="Sell",F1039*INDEX(V:V,LOOKUP(2,1/(X$4:X1038=CONCATENATE(C1039,"_ACB")),ROW(V$4:V1038))),0)</f>
        <v>0</v>
      </c>
    </row>
    <row r="1040" spans="1:29" x14ac:dyDescent="0.25">
      <c r="A1040" s="20">
        <v>42445</v>
      </c>
      <c r="B1040" t="s">
        <v>43</v>
      </c>
      <c r="C1040" t="s">
        <v>36</v>
      </c>
      <c r="D1040" s="3">
        <v>0.1</v>
      </c>
      <c r="M1040" s="21">
        <f t="shared" si="131"/>
        <v>0.1</v>
      </c>
      <c r="N1040" s="8">
        <f t="shared" si="138"/>
        <v>0.1</v>
      </c>
      <c r="O1040" s="25">
        <f t="shared" si="134"/>
        <v>5122.4899999999343</v>
      </c>
      <c r="P1040" s="8">
        <f t="shared" si="133"/>
        <v>0</v>
      </c>
      <c r="Q1040" s="4">
        <f>IF(AND(S1040&gt;=[1]eRRSP_Rpt!$C$6,S1040&lt;=[1]eRRSP_Rpt!$C$7),1,0)</f>
        <v>0</v>
      </c>
      <c r="R1040" s="4"/>
      <c r="S1040" s="4">
        <f t="shared" si="130"/>
        <v>2016</v>
      </c>
      <c r="T1040" s="4"/>
      <c r="U1040" s="4" t="str">
        <f t="shared" si="132"/>
        <v>IntIncTDW</v>
      </c>
      <c r="V1040" s="23">
        <f>IFERROR(IF(AND(AB1040&gt;0,B1040&lt;&gt;"Sell"),(AA1040-SUMIF(C$4:C1039,C1040,AC$4:AC1040))/AB1040,0),"")</f>
        <v>0</v>
      </c>
      <c r="W1040" s="24" t="str">
        <f t="shared" si="136"/>
        <v/>
      </c>
      <c r="X1040" s="25" t="str">
        <f t="shared" si="135"/>
        <v/>
      </c>
      <c r="Y1040" s="10" t="str">
        <f>IF(S1042&lt;&gt;eRRSP_Tx_Table[[#This Row],[Year]],SUMIFS($W$4:$W1040,$S$4:$S1040,eRRSP_Tx_Table[[#This Row],[Year]],$W$4:$W1040,"&gt;0"),"")</f>
        <v/>
      </c>
      <c r="Z1040" s="10" t="str">
        <f>IF(S1042&lt;&gt;eRRSP_Tx_Table[[#This Row],[Year]],SUMIFS($W$4:$W1040,$S$4:$S1040,eRRSP_Tx_Table[[#This Row],[Year]],$W$4:$W1040,"&lt;0"),"")</f>
        <v/>
      </c>
      <c r="AA1040" s="3">
        <f>(SUMIF($U$4:$U1040,CONCATENATE("Buy",$C1040),$N$4:$N1040)+SUMIF($U$4:$U1040,CONCATENATE("ReinvDiv",$C1040),$N$4:$N1040))</f>
        <v>0</v>
      </c>
      <c r="AB1040">
        <f>(SUMIF($U$4:$U1040,CONCATENATE("Buy",$C1040),$F$4:$F1040)+SUMIF($U$4:$U1040,CONCATENATE("ReinvDiv",$C1040),$F$4:$F1040)+SUMIF($U$4:$U1040,CONCATENATE("StkSplit",$C1040),$F$4:$F1040)-SUMIF($U$4:$U1040,CONCATENATE("Sell",$C1040),$F$4:$F1040))</f>
        <v>0</v>
      </c>
      <c r="AC1040" s="3">
        <f>IF(B1040="Sell",F1040*INDEX(V:V,LOOKUP(2,1/(X$4:X1039=CONCATENATE(C1040,"_ACB")),ROW(V$4:V1039))),0)</f>
        <v>0</v>
      </c>
    </row>
    <row r="1041" spans="1:29" x14ac:dyDescent="0.25">
      <c r="A1041" s="20">
        <v>42453</v>
      </c>
      <c r="B1041" t="s">
        <v>42</v>
      </c>
      <c r="C1041" t="s">
        <v>105</v>
      </c>
      <c r="D1041" s="3">
        <v>31.86</v>
      </c>
      <c r="M1041" s="21">
        <f t="shared" si="131"/>
        <v>31.86</v>
      </c>
      <c r="N1041" s="8">
        <f t="shared" si="138"/>
        <v>31.86</v>
      </c>
      <c r="O1041" s="25">
        <f t="shared" si="134"/>
        <v>5154.349999999934</v>
      </c>
      <c r="P1041" s="8">
        <f t="shared" si="133"/>
        <v>0</v>
      </c>
      <c r="Q1041" s="4">
        <f>IF(AND(S1041&gt;=[1]eRRSP_Rpt!$C$6,S1041&lt;=[1]eRRSP_Rpt!$C$7),1,0)</f>
        <v>0</v>
      </c>
      <c r="R1041" s="4"/>
      <c r="S1041" s="4">
        <f t="shared" si="130"/>
        <v>2016</v>
      </c>
      <c r="T1041" s="4"/>
      <c r="U1041" s="4" t="str">
        <f t="shared" si="132"/>
        <v>DivVanguard CDN S/T Corp Bond</v>
      </c>
      <c r="V1041" s="23">
        <f>IFERROR(IF(AND(AB1041&gt;0,B1041&lt;&gt;"Sell"),(AA1041-SUMIF(C$4:C1040,C1041,AC$4:AC1041))/AB1041,0),"")</f>
        <v>-25.164273504273503</v>
      </c>
      <c r="W1041" s="24" t="str">
        <f t="shared" si="136"/>
        <v/>
      </c>
      <c r="X1041" s="25" t="str">
        <f t="shared" si="135"/>
        <v>Vanguard CDN S/T Corp Bond_ACB</v>
      </c>
      <c r="Y1041" s="10" t="str">
        <f>IF(S1043&lt;&gt;eRRSP_Tx_Table[[#This Row],[Year]],SUMIFS($W$4:$W1041,$S$4:$S1041,eRRSP_Tx_Table[[#This Row],[Year]],$W$4:$W1041,"&gt;0"),"")</f>
        <v/>
      </c>
      <c r="Z1041" s="10" t="str">
        <f>IF(S1043&lt;&gt;eRRSP_Tx_Table[[#This Row],[Year]],SUMIFS($W$4:$W1041,$S$4:$S1041,eRRSP_Tx_Table[[#This Row],[Year]],$W$4:$W1041,"&lt;0"),"")</f>
        <v/>
      </c>
      <c r="AA1041" s="3">
        <f>(SUMIF($U$4:$U1041,CONCATENATE("Buy",$C1041),$N$4:$N1041)+SUMIF($U$4:$U1041,CONCATENATE("ReinvDiv",$C1041),$N$4:$N1041))</f>
        <v>-41219.08</v>
      </c>
      <c r="AB1041">
        <f>(SUMIF($U$4:$U1041,CONCATENATE("Buy",$C1041),$F$4:$F1041)+SUMIF($U$4:$U1041,CONCATENATE("ReinvDiv",$C1041),$F$4:$F1041)+SUMIF($U$4:$U1041,CONCATENATE("StkSplit",$C1041),$F$4:$F1041)-SUMIF($U$4:$U1041,CONCATENATE("Sell",$C1041),$F$4:$F1041))</f>
        <v>795</v>
      </c>
      <c r="AC1041" s="3">
        <f>IF(B1041="Sell",F1041*INDEX(V:V,LOOKUP(2,1/(X$4:X1040=CONCATENATE(C1041,"_ACB")),ROW(V$4:V1040))),0)</f>
        <v>0</v>
      </c>
    </row>
    <row r="1042" spans="1:29" x14ac:dyDescent="0.25">
      <c r="A1042" s="20">
        <v>42453</v>
      </c>
      <c r="B1042" t="s">
        <v>42</v>
      </c>
      <c r="C1042" t="s">
        <v>104</v>
      </c>
      <c r="D1042" s="3">
        <v>514.63</v>
      </c>
      <c r="M1042" s="21">
        <f t="shared" si="131"/>
        <v>514.63</v>
      </c>
      <c r="N1042" s="8">
        <f t="shared" si="138"/>
        <v>514.63</v>
      </c>
      <c r="O1042" s="25">
        <f t="shared" si="134"/>
        <v>5668.9799999999341</v>
      </c>
      <c r="P1042" s="8">
        <f t="shared" si="133"/>
        <v>0</v>
      </c>
      <c r="Q1042" s="4">
        <f>IF(AND(S1042&gt;=[1]eRRSP_Rpt!$C$6,S1042&lt;=[1]eRRSP_Rpt!$C$7),1,0)</f>
        <v>0</v>
      </c>
      <c r="R1042" s="4"/>
      <c r="S1042" s="4">
        <f t="shared" si="130"/>
        <v>2016</v>
      </c>
      <c r="T1042" s="4"/>
      <c r="U1042" s="4" t="str">
        <f t="shared" si="132"/>
        <v>DivVanguard US Total Market ETF</v>
      </c>
      <c r="V1042" s="23">
        <f>IFERROR(IF(AND(AB1042&gt;0,B1042&lt;&gt;"Sell"),(AA1042-SUMIF(C$4:C1041,C1042,AC$4:AC1042))/AB1042,0),"")</f>
        <v>-31.343779980812279</v>
      </c>
      <c r="W1042" s="24" t="str">
        <f t="shared" si="136"/>
        <v/>
      </c>
      <c r="X1042" s="25" t="str">
        <f t="shared" si="135"/>
        <v>Vanguard US Total Market ETF_ACB</v>
      </c>
      <c r="Y1042" s="10" t="str">
        <f>IF(S1044&lt;&gt;eRRSP_Tx_Table[[#This Row],[Year]],SUMIFS($W$4:$W1042,$S$4:$S1042,eRRSP_Tx_Table[[#This Row],[Year]],$W$4:$W1042,"&gt;0"),"")</f>
        <v/>
      </c>
      <c r="Z1042" s="10" t="str">
        <f>IF(S1044&lt;&gt;eRRSP_Tx_Table[[#This Row],[Year]],SUMIFS($W$4:$W1042,$S$4:$S1042,eRRSP_Tx_Table[[#This Row],[Year]],$W$4:$W1042,"&lt;0"),"")</f>
        <v/>
      </c>
      <c r="AA1042" s="3">
        <f>(SUMIF($U$4:$U1042,CONCATENATE("Buy",$C1042),$N$4:$N1042)+SUMIF($U$4:$U1042,CONCATENATE("ReinvDiv",$C1042),$N$4:$N1042))</f>
        <v>-98012</v>
      </c>
      <c r="AB1042">
        <f>(SUMIF($U$4:$U1042,CONCATENATE("Buy",$C1042),$F$4:$F1042)+SUMIF($U$4:$U1042,CONCATENATE("ReinvDiv",$C1042),$F$4:$F1042)+SUMIF($U$4:$U1042,CONCATENATE("StkSplit",$C1042),$F$4:$F1042)-SUMIF($U$4:$U1042,CONCATENATE("Sell",$C1042),$F$4:$F1042))</f>
        <v>3127</v>
      </c>
      <c r="AC1042" s="3">
        <f>IF(B1042="Sell",F1042*INDEX(V:V,LOOKUP(2,1/(X$4:X1041=CONCATENATE(C1042,"_ACB")),ROW(V$4:V1041))),0)</f>
        <v>0</v>
      </c>
    </row>
    <row r="1043" spans="1:29" x14ac:dyDescent="0.25">
      <c r="A1043" s="20">
        <v>42459</v>
      </c>
      <c r="B1043" t="s">
        <v>41</v>
      </c>
      <c r="C1043" t="s">
        <v>97</v>
      </c>
      <c r="D1043" s="3">
        <v>108.68</v>
      </c>
      <c r="F1043" s="3">
        <v>9.2729999999999997</v>
      </c>
      <c r="M1043" s="21">
        <f t="shared" si="131"/>
        <v>108.68</v>
      </c>
      <c r="N1043" s="8">
        <f t="shared" si="138"/>
        <v>-108.68</v>
      </c>
      <c r="O1043" s="25">
        <f t="shared" si="134"/>
        <v>5668.9799999999341</v>
      </c>
      <c r="P1043" s="8">
        <f t="shared" si="133"/>
        <v>0</v>
      </c>
      <c r="Q1043" s="4">
        <f>IF(AND(S1043&gt;=[1]eRRSP_Rpt!$C$6,S1043&lt;=[1]eRRSP_Rpt!$C$7),1,0)</f>
        <v>0</v>
      </c>
      <c r="R1043" s="4"/>
      <c r="S1043" s="4">
        <f t="shared" si="130"/>
        <v>2016</v>
      </c>
      <c r="T1043" s="4"/>
      <c r="U1043" s="4" t="str">
        <f t="shared" si="132"/>
        <v>ReinvDivTD International Index - e</v>
      </c>
      <c r="V1043" s="23">
        <f>IFERROR(IF(AND(AB1043&gt;0,B1043&lt;&gt;"Sell"),(AA1043-SUMIF(C$4:C1042,C1043,AC$4:AC1043))/AB1043,0),"")</f>
        <v>-11.06321225083545</v>
      </c>
      <c r="W1043" s="24" t="str">
        <f t="shared" si="136"/>
        <v/>
      </c>
      <c r="X1043" s="25" t="str">
        <f t="shared" si="135"/>
        <v>TD International Index - e_ACB</v>
      </c>
      <c r="Y1043" s="10" t="str">
        <f>IF(S1045&lt;&gt;eRRSP_Tx_Table[[#This Row],[Year]],SUMIFS($W$4:$W1043,$S$4:$S1043,eRRSP_Tx_Table[[#This Row],[Year]],$W$4:$W1043,"&gt;0"),"")</f>
        <v/>
      </c>
      <c r="Z1043" s="10" t="str">
        <f>IF(S1045&lt;&gt;eRRSP_Tx_Table[[#This Row],[Year]],SUMIFS($W$4:$W1043,$S$4:$S1043,eRRSP_Tx_Table[[#This Row],[Year]],$W$4:$W1043,"&lt;0"),"")</f>
        <v/>
      </c>
      <c r="AA1043" s="3">
        <f>(SUMIF($U$4:$U1043,CONCATENATE("Buy",$C1043),$N$4:$N1043)+SUMIF($U$4:$U1043,CONCATENATE("ReinvDiv",$C1043),$N$4:$N1043))</f>
        <v>-51635.149999999994</v>
      </c>
      <c r="AB1043">
        <f>(SUMIF($U$4:$U1043,CONCATENATE("Buy",$C1043),$F$4:$F1043)+SUMIF($U$4:$U1043,CONCATENATE("ReinvDiv",$C1043),$F$4:$F1043)+SUMIF($U$4:$U1043,CONCATENATE("StkSplit",$C1043),$F$4:$F1043)-SUMIF($U$4:$U1043,CONCATENATE("Sell",$C1043),$F$4:$F1043))</f>
        <v>2800.9249999999997</v>
      </c>
      <c r="AC1043" s="3">
        <f>IF(B1043="Sell",F1043*INDEX(V:V,LOOKUP(2,1/(X$4:X1042=CONCATENATE(C1043,"_ACB")),ROW(V$4:V1042))),0)</f>
        <v>0</v>
      </c>
    </row>
    <row r="1044" spans="1:29" x14ac:dyDescent="0.25">
      <c r="A1044" s="20">
        <v>42460</v>
      </c>
      <c r="B1044" t="s">
        <v>42</v>
      </c>
      <c r="C1044" t="s">
        <v>103</v>
      </c>
      <c r="D1044" s="3">
        <v>155.71</v>
      </c>
      <c r="M1044" s="21">
        <f t="shared" si="131"/>
        <v>155.71</v>
      </c>
      <c r="N1044" s="8">
        <f t="shared" si="138"/>
        <v>155.71</v>
      </c>
      <c r="O1044" s="25">
        <f t="shared" si="134"/>
        <v>5824.6899999999341</v>
      </c>
      <c r="P1044" s="8">
        <f t="shared" si="133"/>
        <v>0</v>
      </c>
      <c r="Q1044" s="4">
        <f>IF(AND(S1044&gt;=[1]eRRSP_Rpt!$C$6,S1044&lt;=[1]eRRSP_Rpt!$C$7),1,0)</f>
        <v>0</v>
      </c>
      <c r="R1044" s="4"/>
      <c r="S1044" s="4">
        <f t="shared" si="130"/>
        <v>2016</v>
      </c>
      <c r="T1044" s="4"/>
      <c r="U1044" s="4" t="str">
        <f t="shared" si="132"/>
        <v>DivIshares Global Real Estate Index</v>
      </c>
      <c r="V1044" s="23">
        <f>IFERROR(IF(AND(AB1044&gt;0,B1044&lt;&gt;"Sell"),(AA1044-SUMIF(C$4:C1043,C1044,AC$4:AC1044))/AB1044,0),"")</f>
        <v>-22.247726879861712</v>
      </c>
      <c r="W1044" s="24" t="str">
        <f t="shared" si="136"/>
        <v/>
      </c>
      <c r="X1044" s="25" t="str">
        <f t="shared" si="135"/>
        <v>Ishares Global Real Estate Index_ACB</v>
      </c>
      <c r="Y1044" s="10" t="str">
        <f>IF(S1046&lt;&gt;eRRSP_Tx_Table[[#This Row],[Year]],SUMIFS($W$4:$W1044,$S$4:$S1044,eRRSP_Tx_Table[[#This Row],[Year]],$W$4:$W1044,"&gt;0"),"")</f>
        <v/>
      </c>
      <c r="Z1044" s="10" t="str">
        <f>IF(S1046&lt;&gt;eRRSP_Tx_Table[[#This Row],[Year]],SUMIFS($W$4:$W1044,$S$4:$S1044,eRRSP_Tx_Table[[#This Row],[Year]],$W$4:$W1044,"&lt;0"),"")</f>
        <v/>
      </c>
      <c r="AA1044" s="3">
        <f>(SUMIF($U$4:$U1044,CONCATENATE("Buy",$C1044),$N$4:$N1044)+SUMIF($U$4:$U1044,CONCATENATE("ReinvDiv",$C1044),$N$4:$N1044))</f>
        <v>-25740.620000000003</v>
      </c>
      <c r="AB1044">
        <f>(SUMIF($U$4:$U1044,CONCATENATE("Buy",$C1044),$F$4:$F1044)+SUMIF($U$4:$U1044,CONCATENATE("ReinvDiv",$C1044),$F$4:$F1044)+SUMIF($U$4:$U1044,CONCATENATE("StkSplit",$C1044),$F$4:$F1044)-SUMIF($U$4:$U1044,CONCATENATE("Sell",$C1044),$F$4:$F1044))</f>
        <v>1157</v>
      </c>
      <c r="AC1044" s="3">
        <f>IF(B1044="Sell",F1044*INDEX(V:V,LOOKUP(2,1/(X$4:X1043=CONCATENATE(C1044,"_ACB")),ROW(V$4:V1043))),0)</f>
        <v>0</v>
      </c>
    </row>
    <row r="1045" spans="1:29" x14ac:dyDescent="0.25">
      <c r="A1045" s="20">
        <v>42460</v>
      </c>
      <c r="B1045" t="s">
        <v>43</v>
      </c>
      <c r="C1045" t="s">
        <v>99</v>
      </c>
      <c r="D1045" s="3">
        <v>11.4</v>
      </c>
      <c r="M1045" s="21">
        <f t="shared" si="131"/>
        <v>11.4</v>
      </c>
      <c r="N1045" s="8">
        <f t="shared" si="138"/>
        <v>11.4</v>
      </c>
      <c r="O1045" s="25">
        <f t="shared" si="134"/>
        <v>5836.0899999999338</v>
      </c>
      <c r="P1045" s="8">
        <f t="shared" si="133"/>
        <v>0</v>
      </c>
      <c r="Q1045" s="4">
        <f>IF(AND(S1045&gt;=[1]eRRSP_Rpt!$C$6,S1045&lt;=[1]eRRSP_Rpt!$C$7),1,0)</f>
        <v>0</v>
      </c>
      <c r="R1045" s="4"/>
      <c r="S1045" s="4">
        <f t="shared" si="130"/>
        <v>2016</v>
      </c>
      <c r="T1045" s="4"/>
      <c r="U1045" s="4" t="str">
        <f t="shared" si="132"/>
        <v>IntIncTD INV SAV ACCT  /NL'FRAC</v>
      </c>
      <c r="V1045" s="23">
        <f>IFERROR(IF(AND(AB1045&gt;0,B1045&lt;&gt;"Sell"),(AA1045-SUMIF(C$4:C1044,C1045,AC$4:AC1045))/AB1045,0),"")</f>
        <v>-10</v>
      </c>
      <c r="W1045" s="24" t="str">
        <f t="shared" si="136"/>
        <v/>
      </c>
      <c r="X1045" s="25" t="str">
        <f t="shared" si="135"/>
        <v>TD INV SAV ACCT  /NL'FRAC_ACB</v>
      </c>
      <c r="Y1045" s="10" t="str">
        <f>IF(S1047&lt;&gt;eRRSP_Tx_Table[[#This Row],[Year]],SUMIFS($W$4:$W1045,$S$4:$S1045,eRRSP_Tx_Table[[#This Row],[Year]],$W$4:$W1045,"&gt;0"),"")</f>
        <v/>
      </c>
      <c r="Z1045" s="10" t="str">
        <f>IF(S1047&lt;&gt;eRRSP_Tx_Table[[#This Row],[Year]],SUMIFS($W$4:$W1045,$S$4:$S1045,eRRSP_Tx_Table[[#This Row],[Year]],$W$4:$W1045,"&lt;0"),"")</f>
        <v/>
      </c>
      <c r="AA1045" s="3">
        <f>(SUMIF($U$4:$U1045,CONCATENATE("Buy",$C1045),$N$4:$N1045)+SUMIF($U$4:$U1045,CONCATENATE("ReinvDiv",$C1045),$N$4:$N1045))</f>
        <v>-30900</v>
      </c>
      <c r="AB1045">
        <f>(SUMIF($U$4:$U1045,CONCATENATE("Buy",$C1045),$F$4:$F1045)+SUMIF($U$4:$U1045,CONCATENATE("ReinvDiv",$C1045),$F$4:$F1045)+SUMIF($U$4:$U1045,CONCATENATE("StkSplit",$C1045),$F$4:$F1045)-SUMIF($U$4:$U1045,CONCATENATE("Sell",$C1045),$F$4:$F1045))</f>
        <v>1790</v>
      </c>
      <c r="AC1045" s="3">
        <f>IF(B1045="Sell",F1045*INDEX(V:V,LOOKUP(2,1/(X$4:X1044=CONCATENATE(C1045,"_ACB")),ROW(V$4:V1044))),0)</f>
        <v>0</v>
      </c>
    </row>
    <row r="1046" spans="1:29" x14ac:dyDescent="0.25">
      <c r="A1046" s="20">
        <v>42476</v>
      </c>
      <c r="B1046" t="s">
        <v>43</v>
      </c>
      <c r="C1046" t="s">
        <v>36</v>
      </c>
      <c r="D1046" s="3">
        <v>0.11</v>
      </c>
      <c r="M1046" s="21">
        <f t="shared" si="131"/>
        <v>0.11</v>
      </c>
      <c r="N1046" s="8">
        <f t="shared" si="138"/>
        <v>0.11</v>
      </c>
      <c r="O1046" s="25">
        <f t="shared" si="134"/>
        <v>5836.1999999999334</v>
      </c>
      <c r="P1046" s="8">
        <f t="shared" si="133"/>
        <v>0</v>
      </c>
      <c r="Q1046" s="4">
        <f>IF(AND(S1046&gt;=[1]eRRSP_Rpt!$C$6,S1046&lt;=[1]eRRSP_Rpt!$C$7),1,0)</f>
        <v>0</v>
      </c>
      <c r="R1046" s="4"/>
      <c r="S1046" s="4">
        <f t="shared" si="130"/>
        <v>2016</v>
      </c>
      <c r="T1046" s="4"/>
      <c r="U1046" s="4" t="str">
        <f t="shared" si="132"/>
        <v>IntIncTDW</v>
      </c>
      <c r="V1046" s="23">
        <f>IFERROR(IF(AND(AB1046&gt;0,B1046&lt;&gt;"Sell"),(AA1046-SUMIF(C$4:C1045,C1046,AC$4:AC1046))/AB1046,0),"")</f>
        <v>0</v>
      </c>
      <c r="W1046" s="24" t="str">
        <f t="shared" si="136"/>
        <v/>
      </c>
      <c r="X1046" s="25" t="str">
        <f t="shared" si="135"/>
        <v/>
      </c>
      <c r="Y1046" s="10" t="str">
        <f>IF(S1048&lt;&gt;eRRSP_Tx_Table[[#This Row],[Year]],SUMIFS($W$4:$W1046,$S$4:$S1046,eRRSP_Tx_Table[[#This Row],[Year]],$W$4:$W1046,"&gt;0"),"")</f>
        <v/>
      </c>
      <c r="Z1046" s="10" t="str">
        <f>IF(S1048&lt;&gt;eRRSP_Tx_Table[[#This Row],[Year]],SUMIFS($W$4:$W1046,$S$4:$S1046,eRRSP_Tx_Table[[#This Row],[Year]],$W$4:$W1046,"&lt;0"),"")</f>
        <v/>
      </c>
      <c r="AA1046" s="3">
        <f>(SUMIF($U$4:$U1046,CONCATENATE("Buy",$C1046),$N$4:$N1046)+SUMIF($U$4:$U1046,CONCATENATE("ReinvDiv",$C1046),$N$4:$N1046))</f>
        <v>0</v>
      </c>
      <c r="AB1046">
        <f>(SUMIF($U$4:$U1046,CONCATENATE("Buy",$C1046),$F$4:$F1046)+SUMIF($U$4:$U1046,CONCATENATE("ReinvDiv",$C1046),$F$4:$F1046)+SUMIF($U$4:$U1046,CONCATENATE("StkSplit",$C1046),$F$4:$F1046)-SUMIF($U$4:$U1046,CONCATENATE("Sell",$C1046),$F$4:$F1046))</f>
        <v>0</v>
      </c>
      <c r="AC1046" s="3">
        <f>IF(B1046="Sell",F1046*INDEX(V:V,LOOKUP(2,1/(X$4:X1045=CONCATENATE(C1046,"_ACB")),ROW(V$4:V1045))),0)</f>
        <v>0</v>
      </c>
    </row>
    <row r="1047" spans="1:29" x14ac:dyDescent="0.25">
      <c r="A1047" s="20">
        <v>42489</v>
      </c>
      <c r="B1047" t="s">
        <v>43</v>
      </c>
      <c r="C1047" t="s">
        <v>99</v>
      </c>
      <c r="D1047" s="3">
        <v>11.4</v>
      </c>
      <c r="M1047" s="21">
        <f t="shared" si="131"/>
        <v>11.4</v>
      </c>
      <c r="N1047" s="8">
        <f t="shared" si="138"/>
        <v>11.4</v>
      </c>
      <c r="O1047" s="25">
        <f t="shared" si="134"/>
        <v>5847.5999999999331</v>
      </c>
      <c r="P1047" s="8">
        <f t="shared" si="133"/>
        <v>0</v>
      </c>
      <c r="Q1047" s="4">
        <f>IF(AND(S1047&gt;=[1]eRRSP_Rpt!$C$6,S1047&lt;=[1]eRRSP_Rpt!$C$7),1,0)</f>
        <v>0</v>
      </c>
      <c r="R1047" s="4"/>
      <c r="S1047" s="4">
        <f t="shared" si="130"/>
        <v>2016</v>
      </c>
      <c r="T1047" s="4"/>
      <c r="U1047" s="4" t="str">
        <f t="shared" si="132"/>
        <v>IntIncTD INV SAV ACCT  /NL'FRAC</v>
      </c>
      <c r="V1047" s="23">
        <f>IFERROR(IF(AND(AB1047&gt;0,B1047&lt;&gt;"Sell"),(AA1047-SUMIF(C$4:C1046,C1047,AC$4:AC1047))/AB1047,0),"")</f>
        <v>-10</v>
      </c>
      <c r="W1047" s="24" t="str">
        <f t="shared" si="136"/>
        <v/>
      </c>
      <c r="X1047" s="25" t="str">
        <f t="shared" si="135"/>
        <v>TD INV SAV ACCT  /NL'FRAC_ACB</v>
      </c>
      <c r="Y1047" s="10" t="str">
        <f>IF(S1049&lt;&gt;eRRSP_Tx_Table[[#This Row],[Year]],SUMIFS($W$4:$W1047,$S$4:$S1047,eRRSP_Tx_Table[[#This Row],[Year]],$W$4:$W1047,"&gt;0"),"")</f>
        <v/>
      </c>
      <c r="Z1047" s="10" t="str">
        <f>IF(S1049&lt;&gt;eRRSP_Tx_Table[[#This Row],[Year]],SUMIFS($W$4:$W1047,$S$4:$S1047,eRRSP_Tx_Table[[#This Row],[Year]],$W$4:$W1047,"&lt;0"),"")</f>
        <v/>
      </c>
      <c r="AA1047" s="3">
        <f>(SUMIF($U$4:$U1047,CONCATENATE("Buy",$C1047),$N$4:$N1047)+SUMIF($U$4:$U1047,CONCATENATE("ReinvDiv",$C1047),$N$4:$N1047))</f>
        <v>-30900</v>
      </c>
      <c r="AB1047">
        <f>(SUMIF($U$4:$U1047,CONCATENATE("Buy",$C1047),$F$4:$F1047)+SUMIF($U$4:$U1047,CONCATENATE("ReinvDiv",$C1047),$F$4:$F1047)+SUMIF($U$4:$U1047,CONCATENATE("StkSplit",$C1047),$F$4:$F1047)-SUMIF($U$4:$U1047,CONCATENATE("Sell",$C1047),$F$4:$F1047))</f>
        <v>1790</v>
      </c>
      <c r="AC1047" s="3">
        <f>IF(B1047="Sell",F1047*INDEX(V:V,LOOKUP(2,1/(X$4:X1046=CONCATENATE(C1047,"_ACB")),ROW(V$4:V1046))),0)</f>
        <v>0</v>
      </c>
    </row>
    <row r="1048" spans="1:29" x14ac:dyDescent="0.25">
      <c r="A1048" s="20">
        <v>42496</v>
      </c>
      <c r="B1048" t="s">
        <v>42</v>
      </c>
      <c r="C1048" t="s">
        <v>105</v>
      </c>
      <c r="D1048" s="3">
        <v>66.06</v>
      </c>
      <c r="M1048" s="21">
        <f t="shared" si="131"/>
        <v>66.06</v>
      </c>
      <c r="N1048" s="8">
        <f t="shared" si="138"/>
        <v>66.06</v>
      </c>
      <c r="O1048" s="25">
        <f t="shared" si="134"/>
        <v>5913.6599999999335</v>
      </c>
      <c r="P1048" s="8">
        <f t="shared" si="133"/>
        <v>0</v>
      </c>
      <c r="Q1048" s="4">
        <f>IF(AND(S1048&gt;=[1]eRRSP_Rpt!$C$6,S1048&lt;=[1]eRRSP_Rpt!$C$7),1,0)</f>
        <v>0</v>
      </c>
      <c r="R1048" s="4"/>
      <c r="S1048" s="4">
        <f t="shared" si="130"/>
        <v>2016</v>
      </c>
      <c r="T1048" s="4"/>
      <c r="U1048" s="4" t="str">
        <f t="shared" si="132"/>
        <v>DivVanguard CDN S/T Corp Bond</v>
      </c>
      <c r="V1048" s="23">
        <f>IFERROR(IF(AND(AB1048&gt;0,B1048&lt;&gt;"Sell"),(AA1048-SUMIF(C$4:C1047,C1048,AC$4:AC1048))/AB1048,0),"")</f>
        <v>-25.164273504273503</v>
      </c>
      <c r="W1048" s="24" t="str">
        <f t="shared" si="136"/>
        <v/>
      </c>
      <c r="X1048" s="25" t="str">
        <f t="shared" si="135"/>
        <v>Vanguard CDN S/T Corp Bond_ACB</v>
      </c>
      <c r="Y1048" s="10" t="str">
        <f>IF(S1050&lt;&gt;eRRSP_Tx_Table[[#This Row],[Year]],SUMIFS($W$4:$W1048,$S$4:$S1048,eRRSP_Tx_Table[[#This Row],[Year]],$W$4:$W1048,"&gt;0"),"")</f>
        <v/>
      </c>
      <c r="Z1048" s="10" t="str">
        <f>IF(S1050&lt;&gt;eRRSP_Tx_Table[[#This Row],[Year]],SUMIFS($W$4:$W1048,$S$4:$S1048,eRRSP_Tx_Table[[#This Row],[Year]],$W$4:$W1048,"&lt;0"),"")</f>
        <v/>
      </c>
      <c r="AA1048" s="3">
        <f>(SUMIF($U$4:$U1048,CONCATENATE("Buy",$C1048),$N$4:$N1048)+SUMIF($U$4:$U1048,CONCATENATE("ReinvDiv",$C1048),$N$4:$N1048))</f>
        <v>-41219.08</v>
      </c>
      <c r="AB1048">
        <f>(SUMIF($U$4:$U1048,CONCATENATE("Buy",$C1048),$F$4:$F1048)+SUMIF($U$4:$U1048,CONCATENATE("ReinvDiv",$C1048),$F$4:$F1048)+SUMIF($U$4:$U1048,CONCATENATE("StkSplit",$C1048),$F$4:$F1048)-SUMIF($U$4:$U1048,CONCATENATE("Sell",$C1048),$F$4:$F1048))</f>
        <v>795</v>
      </c>
      <c r="AC1048" s="3">
        <f>IF(B1048="Sell",F1048*INDEX(V:V,LOOKUP(2,1/(X$4:X1047=CONCATENATE(C1048,"_ACB")),ROW(V$4:V1047))),0)</f>
        <v>0</v>
      </c>
    </row>
    <row r="1049" spans="1:29" x14ac:dyDescent="0.25">
      <c r="A1049" s="20">
        <v>42506</v>
      </c>
      <c r="B1049" t="s">
        <v>43</v>
      </c>
      <c r="C1049" t="s">
        <v>36</v>
      </c>
      <c r="D1049" s="3">
        <v>0.12</v>
      </c>
      <c r="M1049" s="21">
        <f t="shared" si="131"/>
        <v>0.12</v>
      </c>
      <c r="N1049" s="8">
        <f t="shared" si="138"/>
        <v>0.12</v>
      </c>
      <c r="O1049" s="25">
        <f t="shared" si="134"/>
        <v>5913.7799999999334</v>
      </c>
      <c r="P1049" s="8">
        <f t="shared" si="133"/>
        <v>0</v>
      </c>
      <c r="Q1049" s="4">
        <f>IF(AND(S1049&gt;=[1]eRRSP_Rpt!$C$6,S1049&lt;=[1]eRRSP_Rpt!$C$7),1,0)</f>
        <v>0</v>
      </c>
      <c r="R1049" s="4"/>
      <c r="S1049" s="4">
        <f t="shared" si="130"/>
        <v>2016</v>
      </c>
      <c r="T1049" s="4"/>
      <c r="U1049" s="4" t="str">
        <f t="shared" si="132"/>
        <v>IntIncTDW</v>
      </c>
      <c r="V1049" s="23">
        <f>IFERROR(IF(AND(AB1049&gt;0,B1049&lt;&gt;"Sell"),(AA1049-SUMIF(C$4:C1048,C1049,AC$4:AC1049))/AB1049,0),"")</f>
        <v>0</v>
      </c>
      <c r="W1049" s="24" t="str">
        <f t="shared" si="136"/>
        <v/>
      </c>
      <c r="X1049" s="25" t="str">
        <f t="shared" si="135"/>
        <v/>
      </c>
      <c r="Y1049" s="10" t="str">
        <f>IF(S1051&lt;&gt;eRRSP_Tx_Table[[#This Row],[Year]],SUMIFS($W$4:$W1049,$S$4:$S1049,eRRSP_Tx_Table[[#This Row],[Year]],$W$4:$W1049,"&gt;0"),"")</f>
        <v/>
      </c>
      <c r="Z1049" s="10" t="str">
        <f>IF(S1051&lt;&gt;eRRSP_Tx_Table[[#This Row],[Year]],SUMIFS($W$4:$W1049,$S$4:$S1049,eRRSP_Tx_Table[[#This Row],[Year]],$W$4:$W1049,"&lt;0"),"")</f>
        <v/>
      </c>
      <c r="AA1049" s="3">
        <f>(SUMIF($U$4:$U1049,CONCATENATE("Buy",$C1049),$N$4:$N1049)+SUMIF($U$4:$U1049,CONCATENATE("ReinvDiv",$C1049),$N$4:$N1049))</f>
        <v>0</v>
      </c>
      <c r="AB1049">
        <f>(SUMIF($U$4:$U1049,CONCATENATE("Buy",$C1049),$F$4:$F1049)+SUMIF($U$4:$U1049,CONCATENATE("ReinvDiv",$C1049),$F$4:$F1049)+SUMIF($U$4:$U1049,CONCATENATE("StkSplit",$C1049),$F$4:$F1049)-SUMIF($U$4:$U1049,CONCATENATE("Sell",$C1049),$F$4:$F1049))</f>
        <v>0</v>
      </c>
      <c r="AC1049" s="3">
        <f>IF(B1049="Sell",F1049*INDEX(V:V,LOOKUP(2,1/(X$4:X1048=CONCATENATE(C1049,"_ACB")),ROW(V$4:V1048))),0)</f>
        <v>0</v>
      </c>
    </row>
    <row r="1050" spans="1:29" x14ac:dyDescent="0.25">
      <c r="A1050" s="20">
        <v>42521</v>
      </c>
      <c r="B1050" t="s">
        <v>43</v>
      </c>
      <c r="C1050" t="s">
        <v>99</v>
      </c>
      <c r="D1050" s="3">
        <v>11.03</v>
      </c>
      <c r="M1050" s="21">
        <f t="shared" si="131"/>
        <v>11.03</v>
      </c>
      <c r="N1050" s="8">
        <f t="shared" si="138"/>
        <v>11.03</v>
      </c>
      <c r="O1050" s="25">
        <f t="shared" si="134"/>
        <v>5924.8099999999331</v>
      </c>
      <c r="P1050" s="8">
        <f t="shared" si="133"/>
        <v>0</v>
      </c>
      <c r="Q1050" s="4">
        <f>IF(AND(S1050&gt;=[1]eRRSP_Rpt!$C$6,S1050&lt;=[1]eRRSP_Rpt!$C$7),1,0)</f>
        <v>0</v>
      </c>
      <c r="R1050" s="4"/>
      <c r="S1050" s="4">
        <f t="shared" si="130"/>
        <v>2016</v>
      </c>
      <c r="T1050" s="4"/>
      <c r="U1050" s="4" t="str">
        <f t="shared" si="132"/>
        <v>IntIncTD INV SAV ACCT  /NL'FRAC</v>
      </c>
      <c r="V1050" s="23">
        <f>IFERROR(IF(AND(AB1050&gt;0,B1050&lt;&gt;"Sell"),(AA1050-SUMIF(C$4:C1049,C1050,AC$4:AC1050))/AB1050,0),"")</f>
        <v>-10</v>
      </c>
      <c r="W1050" s="24" t="str">
        <f t="shared" si="136"/>
        <v/>
      </c>
      <c r="X1050" s="25" t="str">
        <f t="shared" si="135"/>
        <v>TD INV SAV ACCT  /NL'FRAC_ACB</v>
      </c>
      <c r="Y1050" s="10" t="str">
        <f>IF(S1052&lt;&gt;eRRSP_Tx_Table[[#This Row],[Year]],SUMIFS($W$4:$W1050,$S$4:$S1050,eRRSP_Tx_Table[[#This Row],[Year]],$W$4:$W1050,"&gt;0"),"")</f>
        <v/>
      </c>
      <c r="Z1050" s="10" t="str">
        <f>IF(S1052&lt;&gt;eRRSP_Tx_Table[[#This Row],[Year]],SUMIFS($W$4:$W1050,$S$4:$S1050,eRRSP_Tx_Table[[#This Row],[Year]],$W$4:$W1050,"&lt;0"),"")</f>
        <v/>
      </c>
      <c r="AA1050" s="3">
        <f>(SUMIF($U$4:$U1050,CONCATENATE("Buy",$C1050),$N$4:$N1050)+SUMIF($U$4:$U1050,CONCATENATE("ReinvDiv",$C1050),$N$4:$N1050))</f>
        <v>-30900</v>
      </c>
      <c r="AB1050">
        <f>(SUMIF($U$4:$U1050,CONCATENATE("Buy",$C1050),$F$4:$F1050)+SUMIF($U$4:$U1050,CONCATENATE("ReinvDiv",$C1050),$F$4:$F1050)+SUMIF($U$4:$U1050,CONCATENATE("StkSplit",$C1050),$F$4:$F1050)-SUMIF($U$4:$U1050,CONCATENATE("Sell",$C1050),$F$4:$F1050))</f>
        <v>1790</v>
      </c>
      <c r="AC1050" s="3">
        <f>IF(B1050="Sell",F1050*INDEX(V:V,LOOKUP(2,1/(X$4:X1049=CONCATENATE(C1050,"_ACB")),ROW(V$4:V1049))),0)</f>
        <v>0</v>
      </c>
    </row>
    <row r="1051" spans="1:29" x14ac:dyDescent="0.25">
      <c r="A1051" s="20">
        <v>42528</v>
      </c>
      <c r="B1051" t="s">
        <v>42</v>
      </c>
      <c r="C1051" t="s">
        <v>105</v>
      </c>
      <c r="D1051" s="3">
        <v>45.72</v>
      </c>
      <c r="M1051" s="21">
        <f t="shared" si="131"/>
        <v>45.72</v>
      </c>
      <c r="N1051" s="8">
        <f t="shared" si="138"/>
        <v>45.72</v>
      </c>
      <c r="O1051" s="25">
        <f t="shared" si="134"/>
        <v>5970.5299999999334</v>
      </c>
      <c r="P1051" s="8">
        <f t="shared" si="133"/>
        <v>0</v>
      </c>
      <c r="Q1051" s="4">
        <f>IF(AND(S1051&gt;=[1]eRRSP_Rpt!$C$6,S1051&lt;=[1]eRRSP_Rpt!$C$7),1,0)</f>
        <v>0</v>
      </c>
      <c r="R1051" s="4"/>
      <c r="S1051" s="4">
        <f t="shared" si="130"/>
        <v>2016</v>
      </c>
      <c r="T1051" s="4"/>
      <c r="U1051" s="4" t="str">
        <f t="shared" si="132"/>
        <v>DivVanguard CDN S/T Corp Bond</v>
      </c>
      <c r="V1051" s="23">
        <f>IFERROR(IF(AND(AB1051&gt;0,B1051&lt;&gt;"Sell"),(AA1051-SUMIF(C$4:C1050,C1051,AC$4:AC1051))/AB1051,0),"")</f>
        <v>-25.164273504273503</v>
      </c>
      <c r="W1051" s="24" t="str">
        <f t="shared" si="136"/>
        <v/>
      </c>
      <c r="X1051" s="25" t="str">
        <f t="shared" si="135"/>
        <v>Vanguard CDN S/T Corp Bond_ACB</v>
      </c>
      <c r="Y1051" s="10" t="str">
        <f>IF(S1053&lt;&gt;eRRSP_Tx_Table[[#This Row],[Year]],SUMIFS($W$4:$W1051,$S$4:$S1051,eRRSP_Tx_Table[[#This Row],[Year]],$W$4:$W1051,"&gt;0"),"")</f>
        <v/>
      </c>
      <c r="Z1051" s="10" t="str">
        <f>IF(S1053&lt;&gt;eRRSP_Tx_Table[[#This Row],[Year]],SUMIFS($W$4:$W1051,$S$4:$S1051,eRRSP_Tx_Table[[#This Row],[Year]],$W$4:$W1051,"&lt;0"),"")</f>
        <v/>
      </c>
      <c r="AA1051" s="3">
        <f>(SUMIF($U$4:$U1051,CONCATENATE("Buy",$C1051),$N$4:$N1051)+SUMIF($U$4:$U1051,CONCATENATE("ReinvDiv",$C1051),$N$4:$N1051))</f>
        <v>-41219.08</v>
      </c>
      <c r="AB1051">
        <f>(SUMIF($U$4:$U1051,CONCATENATE("Buy",$C1051),$F$4:$F1051)+SUMIF($U$4:$U1051,CONCATENATE("ReinvDiv",$C1051),$F$4:$F1051)+SUMIF($U$4:$U1051,CONCATENATE("StkSplit",$C1051),$F$4:$F1051)-SUMIF($U$4:$U1051,CONCATENATE("Sell",$C1051),$F$4:$F1051))</f>
        <v>795</v>
      </c>
      <c r="AC1051" s="3">
        <f>IF(B1051="Sell",F1051*INDEX(V:V,LOOKUP(2,1/(X$4:X1050=CONCATENATE(C1051,"_ACB")),ROW(V$4:V1050))),0)</f>
        <v>0</v>
      </c>
    </row>
    <row r="1052" spans="1:29" x14ac:dyDescent="0.25">
      <c r="A1052" s="20">
        <v>42537</v>
      </c>
      <c r="B1052" t="s">
        <v>43</v>
      </c>
      <c r="C1052" t="s">
        <v>36</v>
      </c>
      <c r="D1052" s="3">
        <v>0.12</v>
      </c>
      <c r="M1052" s="21">
        <f t="shared" si="131"/>
        <v>0.12</v>
      </c>
      <c r="N1052" s="8">
        <f t="shared" si="138"/>
        <v>0.12</v>
      </c>
      <c r="O1052" s="25">
        <f t="shared" si="134"/>
        <v>5970.6499999999332</v>
      </c>
      <c r="P1052" s="8">
        <f t="shared" si="133"/>
        <v>0</v>
      </c>
      <c r="Q1052" s="4">
        <f>IF(AND(S1052&gt;=[1]eRRSP_Rpt!$C$6,S1052&lt;=[1]eRRSP_Rpt!$C$7),1,0)</f>
        <v>0</v>
      </c>
      <c r="R1052" s="4"/>
      <c r="S1052" s="4">
        <f t="shared" si="130"/>
        <v>2016</v>
      </c>
      <c r="T1052" s="4"/>
      <c r="U1052" s="4" t="str">
        <f t="shared" si="132"/>
        <v>IntIncTDW</v>
      </c>
      <c r="V1052" s="23">
        <f>IFERROR(IF(AND(AB1052&gt;0,B1052&lt;&gt;"Sell"),(AA1052-SUMIF(C$4:C1051,C1052,AC$4:AC1052))/AB1052,0),"")</f>
        <v>0</v>
      </c>
      <c r="W1052" s="24" t="str">
        <f t="shared" si="136"/>
        <v/>
      </c>
      <c r="X1052" s="25" t="str">
        <f t="shared" si="135"/>
        <v/>
      </c>
      <c r="Y1052" s="10" t="str">
        <f>IF(S1054&lt;&gt;eRRSP_Tx_Table[[#This Row],[Year]],SUMIFS($W$4:$W1052,$S$4:$S1052,eRRSP_Tx_Table[[#This Row],[Year]],$W$4:$W1052,"&gt;0"),"")</f>
        <v/>
      </c>
      <c r="Z1052" s="10" t="str">
        <f>IF(S1054&lt;&gt;eRRSP_Tx_Table[[#This Row],[Year]],SUMIFS($W$4:$W1052,$S$4:$S1052,eRRSP_Tx_Table[[#This Row],[Year]],$W$4:$W1052,"&lt;0"),"")</f>
        <v/>
      </c>
      <c r="AA1052" s="3">
        <f>(SUMIF($U$4:$U1052,CONCATENATE("Buy",$C1052),$N$4:$N1052)+SUMIF($U$4:$U1052,CONCATENATE("ReinvDiv",$C1052),$N$4:$N1052))</f>
        <v>0</v>
      </c>
      <c r="AB1052">
        <f>(SUMIF($U$4:$U1052,CONCATENATE("Buy",$C1052),$F$4:$F1052)+SUMIF($U$4:$U1052,CONCATENATE("ReinvDiv",$C1052),$F$4:$F1052)+SUMIF($U$4:$U1052,CONCATENATE("StkSplit",$C1052),$F$4:$F1052)-SUMIF($U$4:$U1052,CONCATENATE("Sell",$C1052),$F$4:$F1052))</f>
        <v>0</v>
      </c>
      <c r="AC1052" s="3">
        <f>IF(B1052="Sell",F1052*INDEX(V:V,LOOKUP(2,1/(X$4:X1051=CONCATENATE(C1052,"_ACB")),ROW(V$4:V1051))),0)</f>
        <v>0</v>
      </c>
    </row>
    <row r="1053" spans="1:29" x14ac:dyDescent="0.25">
      <c r="A1053" s="20">
        <v>42544</v>
      </c>
      <c r="B1053" t="s">
        <v>42</v>
      </c>
      <c r="C1053" t="s">
        <v>105</v>
      </c>
      <c r="D1053" s="3">
        <v>30.73</v>
      </c>
      <c r="M1053" s="21">
        <f t="shared" si="131"/>
        <v>30.73</v>
      </c>
      <c r="N1053" s="8">
        <f t="shared" si="138"/>
        <v>30.73</v>
      </c>
      <c r="O1053" s="25">
        <f t="shared" si="134"/>
        <v>6001.3799999999328</v>
      </c>
      <c r="P1053" s="8">
        <f t="shared" si="133"/>
        <v>0</v>
      </c>
      <c r="Q1053" s="4">
        <f>IF(AND(S1053&gt;=[1]eRRSP_Rpt!$C$6,S1053&lt;=[1]eRRSP_Rpt!$C$7),1,0)</f>
        <v>0</v>
      </c>
      <c r="R1053" s="4"/>
      <c r="S1053" s="4">
        <f t="shared" ref="S1053:S1088" si="139">YEAR(A1053)</f>
        <v>2016</v>
      </c>
      <c r="T1053" s="4"/>
      <c r="U1053" s="4" t="str">
        <f t="shared" si="132"/>
        <v>DivVanguard CDN S/T Corp Bond</v>
      </c>
      <c r="V1053" s="23">
        <f>IFERROR(IF(AND(AB1053&gt;0,B1053&lt;&gt;"Sell"),(AA1053-SUMIF(C$4:C1052,C1053,AC$4:AC1053))/AB1053,0),"")</f>
        <v>-25.164273504273503</v>
      </c>
      <c r="W1053" s="24" t="str">
        <f t="shared" si="136"/>
        <v/>
      </c>
      <c r="X1053" s="25" t="str">
        <f t="shared" si="135"/>
        <v>Vanguard CDN S/T Corp Bond_ACB</v>
      </c>
      <c r="Y1053" s="10" t="str">
        <f>IF(S1055&lt;&gt;eRRSP_Tx_Table[[#This Row],[Year]],SUMIFS($W$4:$W1053,$S$4:$S1053,eRRSP_Tx_Table[[#This Row],[Year]],$W$4:$W1053,"&gt;0"),"")</f>
        <v/>
      </c>
      <c r="Z1053" s="10" t="str">
        <f>IF(S1055&lt;&gt;eRRSP_Tx_Table[[#This Row],[Year]],SUMIFS($W$4:$W1053,$S$4:$S1053,eRRSP_Tx_Table[[#This Row],[Year]],$W$4:$W1053,"&lt;0"),"")</f>
        <v/>
      </c>
      <c r="AA1053" s="3">
        <f>(SUMIF($U$4:$U1053,CONCATENATE("Buy",$C1053),$N$4:$N1053)+SUMIF($U$4:$U1053,CONCATENATE("ReinvDiv",$C1053),$N$4:$N1053))</f>
        <v>-41219.08</v>
      </c>
      <c r="AB1053">
        <f>(SUMIF($U$4:$U1053,CONCATENATE("Buy",$C1053),$F$4:$F1053)+SUMIF($U$4:$U1053,CONCATENATE("ReinvDiv",$C1053),$F$4:$F1053)+SUMIF($U$4:$U1053,CONCATENATE("StkSplit",$C1053),$F$4:$F1053)-SUMIF($U$4:$U1053,CONCATENATE("Sell",$C1053),$F$4:$F1053))</f>
        <v>795</v>
      </c>
      <c r="AC1053" s="3">
        <f>IF(B1053="Sell",F1053*INDEX(V:V,LOOKUP(2,1/(X$4:X1052=CONCATENATE(C1053,"_ACB")),ROW(V$4:V1052))),0)</f>
        <v>0</v>
      </c>
    </row>
    <row r="1054" spans="1:29" x14ac:dyDescent="0.25">
      <c r="A1054" s="20">
        <v>42544</v>
      </c>
      <c r="B1054" t="s">
        <v>42</v>
      </c>
      <c r="C1054" t="s">
        <v>104</v>
      </c>
      <c r="D1054" s="3">
        <v>350.5</v>
      </c>
      <c r="M1054" s="21">
        <f t="shared" si="131"/>
        <v>350.5</v>
      </c>
      <c r="N1054" s="8">
        <f t="shared" si="138"/>
        <v>350.5</v>
      </c>
      <c r="O1054" s="25">
        <f t="shared" si="134"/>
        <v>6351.8799999999328</v>
      </c>
      <c r="P1054" s="8">
        <f t="shared" si="133"/>
        <v>0</v>
      </c>
      <c r="Q1054" s="4">
        <f>IF(AND(S1054&gt;=[1]eRRSP_Rpt!$C$6,S1054&lt;=[1]eRRSP_Rpt!$C$7),1,0)</f>
        <v>0</v>
      </c>
      <c r="R1054" s="4"/>
      <c r="S1054" s="4">
        <f t="shared" si="139"/>
        <v>2016</v>
      </c>
      <c r="T1054" s="4"/>
      <c r="U1054" s="4" t="str">
        <f t="shared" si="132"/>
        <v>DivVanguard US Total Market ETF</v>
      </c>
      <c r="V1054" s="23">
        <f>IFERROR(IF(AND(AB1054&gt;0,B1054&lt;&gt;"Sell"),(AA1054-SUMIF(C$4:C1053,C1054,AC$4:AC1054))/AB1054,0),"")</f>
        <v>-31.343779980812279</v>
      </c>
      <c r="W1054" s="24" t="str">
        <f t="shared" si="136"/>
        <v/>
      </c>
      <c r="X1054" s="25" t="str">
        <f t="shared" si="135"/>
        <v>Vanguard US Total Market ETF_ACB</v>
      </c>
      <c r="Y1054" s="10" t="str">
        <f>IF(S1056&lt;&gt;eRRSP_Tx_Table[[#This Row],[Year]],SUMIFS($W$4:$W1054,$S$4:$S1054,eRRSP_Tx_Table[[#This Row],[Year]],$W$4:$W1054,"&gt;0"),"")</f>
        <v/>
      </c>
      <c r="Z1054" s="10" t="str">
        <f>IF(S1056&lt;&gt;eRRSP_Tx_Table[[#This Row],[Year]],SUMIFS($W$4:$W1054,$S$4:$S1054,eRRSP_Tx_Table[[#This Row],[Year]],$W$4:$W1054,"&lt;0"),"")</f>
        <v/>
      </c>
      <c r="AA1054" s="3">
        <f>(SUMIF($U$4:$U1054,CONCATENATE("Buy",$C1054),$N$4:$N1054)+SUMIF($U$4:$U1054,CONCATENATE("ReinvDiv",$C1054),$N$4:$N1054))</f>
        <v>-98012</v>
      </c>
      <c r="AB1054">
        <f>(SUMIF($U$4:$U1054,CONCATENATE("Buy",$C1054),$F$4:$F1054)+SUMIF($U$4:$U1054,CONCATENATE("ReinvDiv",$C1054),$F$4:$F1054)+SUMIF($U$4:$U1054,CONCATENATE("StkSplit",$C1054),$F$4:$F1054)-SUMIF($U$4:$U1054,CONCATENATE("Sell",$C1054),$F$4:$F1054))</f>
        <v>3127</v>
      </c>
      <c r="AC1054" s="3">
        <f>IF(B1054="Sell",F1054*INDEX(V:V,LOOKUP(2,1/(X$4:X1053=CONCATENATE(C1054,"_ACB")),ROW(V$4:V1053))),0)</f>
        <v>0</v>
      </c>
    </row>
    <row r="1055" spans="1:29" x14ac:dyDescent="0.25">
      <c r="A1055" s="20">
        <v>42550</v>
      </c>
      <c r="B1055" t="s">
        <v>41</v>
      </c>
      <c r="C1055" t="s">
        <v>97</v>
      </c>
      <c r="D1055" s="3">
        <v>406.7</v>
      </c>
      <c r="F1055" s="3">
        <v>35.643999999999998</v>
      </c>
      <c r="M1055" s="21">
        <f t="shared" si="131"/>
        <v>406.7</v>
      </c>
      <c r="N1055" s="8">
        <f t="shared" si="138"/>
        <v>-406.7</v>
      </c>
      <c r="O1055" s="25">
        <f t="shared" si="134"/>
        <v>6351.8799999999328</v>
      </c>
      <c r="P1055" s="8">
        <f t="shared" si="133"/>
        <v>0</v>
      </c>
      <c r="Q1055" s="4">
        <f>IF(AND(S1055&gt;=[1]eRRSP_Rpt!$C$6,S1055&lt;=[1]eRRSP_Rpt!$C$7),1,0)</f>
        <v>0</v>
      </c>
      <c r="R1055" s="4"/>
      <c r="S1055" s="4">
        <f t="shared" si="139"/>
        <v>2016</v>
      </c>
      <c r="T1055" s="4"/>
      <c r="U1055" s="4" t="str">
        <f t="shared" si="132"/>
        <v>ReinvDivTD International Index - e</v>
      </c>
      <c r="V1055" s="23">
        <f>IFERROR(IF(AND(AB1055&gt;0,B1055&lt;&gt;"Sell"),(AA1055-SUMIF(C$4:C1054,C1055,AC$4:AC1055))/AB1055,0),"")</f>
        <v>-11.067570636804987</v>
      </c>
      <c r="W1055" s="24" t="str">
        <f t="shared" si="136"/>
        <v/>
      </c>
      <c r="X1055" s="25" t="str">
        <f t="shared" si="135"/>
        <v>TD International Index - e_ACB</v>
      </c>
      <c r="Y1055" s="10" t="str">
        <f>IF(S1057&lt;&gt;eRRSP_Tx_Table[[#This Row],[Year]],SUMIFS($W$4:$W1055,$S$4:$S1055,eRRSP_Tx_Table[[#This Row],[Year]],$W$4:$W1055,"&gt;0"),"")</f>
        <v/>
      </c>
      <c r="Z1055" s="10" t="str">
        <f>IF(S1057&lt;&gt;eRRSP_Tx_Table[[#This Row],[Year]],SUMIFS($W$4:$W1055,$S$4:$S1055,eRRSP_Tx_Table[[#This Row],[Year]],$W$4:$W1055,"&lt;0"),"")</f>
        <v/>
      </c>
      <c r="AA1055" s="3">
        <f>(SUMIF($U$4:$U1055,CONCATENATE("Buy",$C1055),$N$4:$N1055)+SUMIF($U$4:$U1055,CONCATENATE("ReinvDiv",$C1055),$N$4:$N1055))</f>
        <v>-52041.85</v>
      </c>
      <c r="AB1055">
        <f>(SUMIF($U$4:$U1055,CONCATENATE("Buy",$C1055),$F$4:$F1055)+SUMIF($U$4:$U1055,CONCATENATE("ReinvDiv",$C1055),$F$4:$F1055)+SUMIF($U$4:$U1055,CONCATENATE("StkSplit",$C1055),$F$4:$F1055)-SUMIF($U$4:$U1055,CONCATENATE("Sell",$C1055),$F$4:$F1055))</f>
        <v>2836.569</v>
      </c>
      <c r="AC1055" s="3">
        <f>IF(B1055="Sell",F1055*INDEX(V:V,LOOKUP(2,1/(X$4:X1054=CONCATENATE(C1055,"_ACB")),ROW(V$4:V1054))),0)</f>
        <v>0</v>
      </c>
    </row>
    <row r="1056" spans="1:29" x14ac:dyDescent="0.25">
      <c r="A1056" s="20">
        <v>42551</v>
      </c>
      <c r="B1056" t="s">
        <v>42</v>
      </c>
      <c r="C1056" t="s">
        <v>103</v>
      </c>
      <c r="D1056" s="3">
        <v>247.33</v>
      </c>
      <c r="M1056" s="21">
        <f t="shared" si="131"/>
        <v>247.33</v>
      </c>
      <c r="N1056" s="8">
        <f t="shared" si="138"/>
        <v>247.33</v>
      </c>
      <c r="O1056" s="25">
        <f t="shared" si="134"/>
        <v>6599.2099999999327</v>
      </c>
      <c r="P1056" s="8">
        <f t="shared" si="133"/>
        <v>0</v>
      </c>
      <c r="Q1056" s="4">
        <f>IF(AND(S1056&gt;=[1]eRRSP_Rpt!$C$6,S1056&lt;=[1]eRRSP_Rpt!$C$7),1,0)</f>
        <v>0</v>
      </c>
      <c r="R1056" s="4"/>
      <c r="S1056" s="4">
        <f t="shared" si="139"/>
        <v>2016</v>
      </c>
      <c r="T1056" s="4"/>
      <c r="U1056" s="4" t="str">
        <f t="shared" si="132"/>
        <v>DivIshares Global Real Estate Index</v>
      </c>
      <c r="V1056" s="23">
        <f>IFERROR(IF(AND(AB1056&gt;0,B1056&lt;&gt;"Sell"),(AA1056-SUMIF(C$4:C1055,C1056,AC$4:AC1056))/AB1056,0),"")</f>
        <v>-22.247726879861712</v>
      </c>
      <c r="W1056" s="24" t="str">
        <f t="shared" si="136"/>
        <v/>
      </c>
      <c r="X1056" s="25" t="str">
        <f t="shared" si="135"/>
        <v>Ishares Global Real Estate Index_ACB</v>
      </c>
      <c r="Y1056" s="10" t="str">
        <f>IF(S1058&lt;&gt;eRRSP_Tx_Table[[#This Row],[Year]],SUMIFS($W$4:$W1056,$S$4:$S1056,eRRSP_Tx_Table[[#This Row],[Year]],$W$4:$W1056,"&gt;0"),"")</f>
        <v/>
      </c>
      <c r="Z1056" s="10" t="str">
        <f>IF(S1058&lt;&gt;eRRSP_Tx_Table[[#This Row],[Year]],SUMIFS($W$4:$W1056,$S$4:$S1056,eRRSP_Tx_Table[[#This Row],[Year]],$W$4:$W1056,"&lt;0"),"")</f>
        <v/>
      </c>
      <c r="AA1056" s="3">
        <f>(SUMIF($U$4:$U1056,CONCATENATE("Buy",$C1056),$N$4:$N1056)+SUMIF($U$4:$U1056,CONCATENATE("ReinvDiv",$C1056),$N$4:$N1056))</f>
        <v>-25740.620000000003</v>
      </c>
      <c r="AB1056">
        <f>(SUMIF($U$4:$U1056,CONCATENATE("Buy",$C1056),$F$4:$F1056)+SUMIF($U$4:$U1056,CONCATENATE("ReinvDiv",$C1056),$F$4:$F1056)+SUMIF($U$4:$U1056,CONCATENATE("StkSplit",$C1056),$F$4:$F1056)-SUMIF($U$4:$U1056,CONCATENATE("Sell",$C1056),$F$4:$F1056))</f>
        <v>1157</v>
      </c>
      <c r="AC1056" s="3">
        <f>IF(B1056="Sell",F1056*INDEX(V:V,LOOKUP(2,1/(X$4:X1055=CONCATENATE(C1056,"_ACB")),ROW(V$4:V1055))),0)</f>
        <v>0</v>
      </c>
    </row>
    <row r="1057" spans="1:29" x14ac:dyDescent="0.25">
      <c r="A1057" s="20">
        <v>42551</v>
      </c>
      <c r="B1057" t="s">
        <v>43</v>
      </c>
      <c r="C1057" t="s">
        <v>99</v>
      </c>
      <c r="D1057" s="3">
        <v>12.14</v>
      </c>
      <c r="M1057" s="21">
        <f t="shared" si="131"/>
        <v>12.14</v>
      </c>
      <c r="N1057" s="8">
        <f t="shared" si="138"/>
        <v>12.14</v>
      </c>
      <c r="O1057" s="25">
        <f t="shared" si="134"/>
        <v>6611.3499999999331</v>
      </c>
      <c r="P1057" s="8">
        <f t="shared" si="133"/>
        <v>0</v>
      </c>
      <c r="Q1057" s="4">
        <f>IF(AND(S1057&gt;=[1]eRRSP_Rpt!$C$6,S1057&lt;=[1]eRRSP_Rpt!$C$7),1,0)</f>
        <v>0</v>
      </c>
      <c r="R1057" s="4"/>
      <c r="S1057" s="4">
        <f t="shared" si="139"/>
        <v>2016</v>
      </c>
      <c r="T1057" s="4"/>
      <c r="U1057" s="4" t="str">
        <f t="shared" ref="U1057:U1088" si="140">CONCATENATE(B1057,C1057)</f>
        <v>IntIncTD INV SAV ACCT  /NL'FRAC</v>
      </c>
      <c r="V1057" s="23">
        <f>IFERROR(IF(AND(AB1057&gt;0,B1057&lt;&gt;"Sell"),(AA1057-SUMIF(C$4:C1056,C1057,AC$4:AC1057))/AB1057,0),"")</f>
        <v>-10</v>
      </c>
      <c r="W1057" s="24" t="str">
        <f t="shared" si="136"/>
        <v/>
      </c>
      <c r="X1057" s="25" t="str">
        <f t="shared" si="135"/>
        <v>TD INV SAV ACCT  /NL'FRAC_ACB</v>
      </c>
      <c r="Y1057" s="10" t="str">
        <f>IF(S1059&lt;&gt;eRRSP_Tx_Table[[#This Row],[Year]],SUMIFS($W$4:$W1057,$S$4:$S1057,eRRSP_Tx_Table[[#This Row],[Year]],$W$4:$W1057,"&gt;0"),"")</f>
        <v/>
      </c>
      <c r="Z1057" s="10" t="str">
        <f>IF(S1059&lt;&gt;eRRSP_Tx_Table[[#This Row],[Year]],SUMIFS($W$4:$W1057,$S$4:$S1057,eRRSP_Tx_Table[[#This Row],[Year]],$W$4:$W1057,"&lt;0"),"")</f>
        <v/>
      </c>
      <c r="AA1057" s="3">
        <f>(SUMIF($U$4:$U1057,CONCATENATE("Buy",$C1057),$N$4:$N1057)+SUMIF($U$4:$U1057,CONCATENATE("ReinvDiv",$C1057),$N$4:$N1057))</f>
        <v>-30900</v>
      </c>
      <c r="AB1057">
        <f>(SUMIF($U$4:$U1057,CONCATENATE("Buy",$C1057),$F$4:$F1057)+SUMIF($U$4:$U1057,CONCATENATE("ReinvDiv",$C1057),$F$4:$F1057)+SUMIF($U$4:$U1057,CONCATENATE("StkSplit",$C1057),$F$4:$F1057)-SUMIF($U$4:$U1057,CONCATENATE("Sell",$C1057),$F$4:$F1057))</f>
        <v>1790</v>
      </c>
      <c r="AC1057" s="3">
        <f>IF(B1057="Sell",F1057*INDEX(V:V,LOOKUP(2,1/(X$4:X1056=CONCATENATE(C1057,"_ACB")),ROW(V$4:V1056))),0)</f>
        <v>0</v>
      </c>
    </row>
    <row r="1058" spans="1:29" x14ac:dyDescent="0.25">
      <c r="A1058" s="20">
        <v>42567</v>
      </c>
      <c r="B1058" t="s">
        <v>43</v>
      </c>
      <c r="C1058" t="s">
        <v>36</v>
      </c>
      <c r="D1058" s="3">
        <v>0.13</v>
      </c>
      <c r="M1058" s="21">
        <f t="shared" ref="M1058:M1088" si="141">ROUND(IF(OR(B1058="Buy",B1058="Sell"),E1058*F1058,D1058),2)</f>
        <v>0.13</v>
      </c>
      <c r="N1058" s="8">
        <f t="shared" si="138"/>
        <v>0.13</v>
      </c>
      <c r="O1058" s="25">
        <f t="shared" si="134"/>
        <v>6611.4799999999332</v>
      </c>
      <c r="P1058" s="8">
        <f t="shared" si="133"/>
        <v>0</v>
      </c>
      <c r="Q1058" s="4">
        <f>IF(AND(S1058&gt;=[1]eRRSP_Rpt!$C$6,S1058&lt;=[1]eRRSP_Rpt!$C$7),1,0)</f>
        <v>0</v>
      </c>
      <c r="R1058" s="4"/>
      <c r="S1058" s="4">
        <f t="shared" si="139"/>
        <v>2016</v>
      </c>
      <c r="T1058" s="4"/>
      <c r="U1058" s="4" t="str">
        <f t="shared" si="140"/>
        <v>IntIncTDW</v>
      </c>
      <c r="V1058" s="23">
        <f>IFERROR(IF(AND(AB1058&gt;0,B1058&lt;&gt;"Sell"),(AA1058-SUMIF(C$4:C1057,C1058,AC$4:AC1058))/AB1058,0),"")</f>
        <v>0</v>
      </c>
      <c r="W1058" s="24" t="str">
        <f t="shared" si="136"/>
        <v/>
      </c>
      <c r="X1058" s="25" t="str">
        <f t="shared" si="135"/>
        <v/>
      </c>
      <c r="Y1058" s="10" t="str">
        <f>IF(S1060&lt;&gt;eRRSP_Tx_Table[[#This Row],[Year]],SUMIFS($W$4:$W1058,$S$4:$S1058,eRRSP_Tx_Table[[#This Row],[Year]],$W$4:$W1058,"&gt;0"),"")</f>
        <v/>
      </c>
      <c r="Z1058" s="10" t="str">
        <f>IF(S1060&lt;&gt;eRRSP_Tx_Table[[#This Row],[Year]],SUMIFS($W$4:$W1058,$S$4:$S1058,eRRSP_Tx_Table[[#This Row],[Year]],$W$4:$W1058,"&lt;0"),"")</f>
        <v/>
      </c>
      <c r="AA1058" s="3">
        <f>(SUMIF($U$4:$U1058,CONCATENATE("Buy",$C1058),$N$4:$N1058)+SUMIF($U$4:$U1058,CONCATENATE("ReinvDiv",$C1058),$N$4:$N1058))</f>
        <v>0</v>
      </c>
      <c r="AB1058">
        <f>(SUMIF($U$4:$U1058,CONCATENATE("Buy",$C1058),$F$4:$F1058)+SUMIF($U$4:$U1058,CONCATENATE("ReinvDiv",$C1058),$F$4:$F1058)+SUMIF($U$4:$U1058,CONCATENATE("StkSplit",$C1058),$F$4:$F1058)-SUMIF($U$4:$U1058,CONCATENATE("Sell",$C1058),$F$4:$F1058))</f>
        <v>0</v>
      </c>
      <c r="AC1058" s="3">
        <f>IF(B1058="Sell",F1058*INDEX(V:V,LOOKUP(2,1/(X$4:X1057=CONCATENATE(C1058,"_ACB")),ROW(V$4:V1057))),0)</f>
        <v>0</v>
      </c>
    </row>
    <row r="1059" spans="1:29" x14ac:dyDescent="0.25">
      <c r="A1059" s="20">
        <v>42577</v>
      </c>
      <c r="B1059" t="s">
        <v>43</v>
      </c>
      <c r="C1059" t="s">
        <v>94</v>
      </c>
      <c r="D1059" s="3">
        <v>486.5</v>
      </c>
      <c r="M1059" s="21">
        <f t="shared" si="141"/>
        <v>486.5</v>
      </c>
      <c r="N1059" s="8">
        <f t="shared" si="138"/>
        <v>486.5</v>
      </c>
      <c r="O1059" s="25">
        <f t="shared" si="134"/>
        <v>7097.9799999999332</v>
      </c>
      <c r="P1059" s="8">
        <f t="shared" si="133"/>
        <v>0</v>
      </c>
      <c r="Q1059" s="4">
        <f>IF(AND(S1059&gt;=[1]eRRSP_Rpt!$C$6,S1059&lt;=[1]eRRSP_Rpt!$C$7),1,0)</f>
        <v>0</v>
      </c>
      <c r="R1059" s="4"/>
      <c r="S1059" s="4">
        <f t="shared" si="139"/>
        <v>2016</v>
      </c>
      <c r="T1059" s="4"/>
      <c r="U1059" s="4" t="str">
        <f t="shared" si="140"/>
        <v>IntIncAIMIA SER-3  6.95% 26JA17</v>
      </c>
      <c r="V1059" s="23">
        <f>IFERROR(IF(AND(AB1059&gt;0,B1059&lt;&gt;"Sell"),(AA1059-SUMIF(C$4:C1058,C1059,AC$4:AC1059))/AB1059,0),"")</f>
        <v>-1.0346899999999999</v>
      </c>
      <c r="W1059" s="24" t="str">
        <f t="shared" si="136"/>
        <v/>
      </c>
      <c r="X1059" s="25" t="str">
        <f t="shared" si="135"/>
        <v>AIMIA SER-3  6.95% 26JA17_ACB</v>
      </c>
      <c r="Y1059" s="10" t="str">
        <f>IF(S1061&lt;&gt;eRRSP_Tx_Table[[#This Row],[Year]],SUMIFS($W$4:$W1059,$S$4:$S1059,eRRSP_Tx_Table[[#This Row],[Year]],$W$4:$W1059,"&gt;0"),"")</f>
        <v/>
      </c>
      <c r="Z1059" s="10" t="str">
        <f>IF(S1061&lt;&gt;eRRSP_Tx_Table[[#This Row],[Year]],SUMIFS($W$4:$W1059,$S$4:$S1059,eRRSP_Tx_Table[[#This Row],[Year]],$W$4:$W1059,"&lt;0"),"")</f>
        <v/>
      </c>
      <c r="AA1059" s="3">
        <f>(SUMIF($U$4:$U1059,CONCATENATE("Buy",$C1059),$N$4:$N1059)+SUMIF($U$4:$U1059,CONCATENATE("ReinvDiv",$C1059),$N$4:$N1059))</f>
        <v>-14485.66</v>
      </c>
      <c r="AB1059">
        <f>(SUMIF($U$4:$U1059,CONCATENATE("Buy",$C1059),$F$4:$F1059)+SUMIF($U$4:$U1059,CONCATENATE("ReinvDiv",$C1059),$F$4:$F1059)+SUMIF($U$4:$U1059,CONCATENATE("StkSplit",$C1059),$F$4:$F1059)-SUMIF($U$4:$U1059,CONCATENATE("Sell",$C1059),$F$4:$F1059))</f>
        <v>14000</v>
      </c>
      <c r="AC1059" s="3">
        <f>IF(B1059="Sell",F1059*INDEX(V:V,LOOKUP(2,1/(X$4:X1058=CONCATENATE(C1059,"_ACB")),ROW(V$4:V1058))),0)</f>
        <v>0</v>
      </c>
    </row>
    <row r="1060" spans="1:29" x14ac:dyDescent="0.25">
      <c r="A1060" s="20">
        <v>42580</v>
      </c>
      <c r="B1060" t="s">
        <v>43</v>
      </c>
      <c r="C1060" t="s">
        <v>99</v>
      </c>
      <c r="D1060" s="3">
        <v>10.67</v>
      </c>
      <c r="M1060" s="21">
        <f t="shared" si="141"/>
        <v>10.67</v>
      </c>
      <c r="N1060" s="8">
        <f t="shared" si="138"/>
        <v>10.67</v>
      </c>
      <c r="O1060" s="25">
        <f t="shared" si="134"/>
        <v>7108.6499999999332</v>
      </c>
      <c r="P1060" s="8">
        <f t="shared" ref="P1060:P1088" si="142">IF(OR($B1060="Cash"),$N1060,0)</f>
        <v>0</v>
      </c>
      <c r="Q1060" s="4">
        <f>IF(AND(S1060&gt;=[1]eRRSP_Rpt!$C$6,S1060&lt;=[1]eRRSP_Rpt!$C$7),1,0)</f>
        <v>0</v>
      </c>
      <c r="R1060" s="4"/>
      <c r="S1060" s="4">
        <f t="shared" si="139"/>
        <v>2016</v>
      </c>
      <c r="T1060" s="4"/>
      <c r="U1060" s="4" t="str">
        <f t="shared" si="140"/>
        <v>IntIncTD INV SAV ACCT  /NL'FRAC</v>
      </c>
      <c r="V1060" s="23">
        <f>IFERROR(IF(AND(AB1060&gt;0,B1060&lt;&gt;"Sell"),(AA1060-SUMIF(C$4:C1059,C1060,AC$4:AC1060))/AB1060,0),"")</f>
        <v>-10</v>
      </c>
      <c r="W1060" s="24" t="str">
        <f t="shared" si="136"/>
        <v/>
      </c>
      <c r="X1060" s="25" t="str">
        <f t="shared" si="135"/>
        <v>TD INV SAV ACCT  /NL'FRAC_ACB</v>
      </c>
      <c r="Y1060" s="10" t="str">
        <f>IF(S1062&lt;&gt;eRRSP_Tx_Table[[#This Row],[Year]],SUMIFS($W$4:$W1060,$S$4:$S1060,eRRSP_Tx_Table[[#This Row],[Year]],$W$4:$W1060,"&gt;0"),"")</f>
        <v/>
      </c>
      <c r="Z1060" s="10" t="str">
        <f>IF(S1062&lt;&gt;eRRSP_Tx_Table[[#This Row],[Year]],SUMIFS($W$4:$W1060,$S$4:$S1060,eRRSP_Tx_Table[[#This Row],[Year]],$W$4:$W1060,"&lt;0"),"")</f>
        <v/>
      </c>
      <c r="AA1060" s="3">
        <f>(SUMIF($U$4:$U1060,CONCATENATE("Buy",$C1060),$N$4:$N1060)+SUMIF($U$4:$U1060,CONCATENATE("ReinvDiv",$C1060),$N$4:$N1060))</f>
        <v>-30900</v>
      </c>
      <c r="AB1060">
        <f>(SUMIF($U$4:$U1060,CONCATENATE("Buy",$C1060),$F$4:$F1060)+SUMIF($U$4:$U1060,CONCATENATE("ReinvDiv",$C1060),$F$4:$F1060)+SUMIF($U$4:$U1060,CONCATENATE("StkSplit",$C1060),$F$4:$F1060)-SUMIF($U$4:$U1060,CONCATENATE("Sell",$C1060),$F$4:$F1060))</f>
        <v>1790</v>
      </c>
      <c r="AC1060" s="3">
        <f>IF(B1060="Sell",F1060*INDEX(V:V,LOOKUP(2,1/(X$4:X1059=CONCATENATE(C1060,"_ACB")),ROW(V$4:V1059))),0)</f>
        <v>0</v>
      </c>
    </row>
    <row r="1061" spans="1:29" x14ac:dyDescent="0.25">
      <c r="A1061" s="20">
        <v>42590</v>
      </c>
      <c r="B1061" t="s">
        <v>42</v>
      </c>
      <c r="C1061" t="s">
        <v>105</v>
      </c>
      <c r="D1061" s="3">
        <v>64.989999999999995</v>
      </c>
      <c r="M1061" s="21">
        <f t="shared" si="141"/>
        <v>64.989999999999995</v>
      </c>
      <c r="N1061" s="8">
        <f t="shared" si="138"/>
        <v>64.989999999999995</v>
      </c>
      <c r="O1061" s="25">
        <f t="shared" si="134"/>
        <v>7173.639999999933</v>
      </c>
      <c r="P1061" s="8">
        <f t="shared" si="142"/>
        <v>0</v>
      </c>
      <c r="Q1061" s="4">
        <f>IF(AND(S1061&gt;=[1]eRRSP_Rpt!$C$6,S1061&lt;=[1]eRRSP_Rpt!$C$7),1,0)</f>
        <v>0</v>
      </c>
      <c r="R1061" s="4"/>
      <c r="S1061" s="4">
        <f t="shared" si="139"/>
        <v>2016</v>
      </c>
      <c r="T1061" s="4"/>
      <c r="U1061" s="4" t="str">
        <f t="shared" si="140"/>
        <v>DivVanguard CDN S/T Corp Bond</v>
      </c>
      <c r="V1061" s="23">
        <f>IFERROR(IF(AND(AB1061&gt;0,B1061&lt;&gt;"Sell"),(AA1061-SUMIF(C$4:C1060,C1061,AC$4:AC1061))/AB1061,0),"")</f>
        <v>-25.164273504273503</v>
      </c>
      <c r="W1061" s="24" t="str">
        <f t="shared" si="136"/>
        <v/>
      </c>
      <c r="X1061" s="25" t="str">
        <f t="shared" si="135"/>
        <v>Vanguard CDN S/T Corp Bond_ACB</v>
      </c>
      <c r="Y1061" s="10" t="str">
        <f>IF(S1063&lt;&gt;eRRSP_Tx_Table[[#This Row],[Year]],SUMIFS($W$4:$W1061,$S$4:$S1061,eRRSP_Tx_Table[[#This Row],[Year]],$W$4:$W1061,"&gt;0"),"")</f>
        <v/>
      </c>
      <c r="Z1061" s="10" t="str">
        <f>IF(S1063&lt;&gt;eRRSP_Tx_Table[[#This Row],[Year]],SUMIFS($W$4:$W1061,$S$4:$S1061,eRRSP_Tx_Table[[#This Row],[Year]],$W$4:$W1061,"&lt;0"),"")</f>
        <v/>
      </c>
      <c r="AA1061" s="3">
        <f>(SUMIF($U$4:$U1061,CONCATENATE("Buy",$C1061),$N$4:$N1061)+SUMIF($U$4:$U1061,CONCATENATE("ReinvDiv",$C1061),$N$4:$N1061))</f>
        <v>-41219.08</v>
      </c>
      <c r="AB1061">
        <f>(SUMIF($U$4:$U1061,CONCATENATE("Buy",$C1061),$F$4:$F1061)+SUMIF($U$4:$U1061,CONCATENATE("ReinvDiv",$C1061),$F$4:$F1061)+SUMIF($U$4:$U1061,CONCATENATE("StkSplit",$C1061),$F$4:$F1061)-SUMIF($U$4:$U1061,CONCATENATE("Sell",$C1061),$F$4:$F1061))</f>
        <v>795</v>
      </c>
      <c r="AC1061" s="3">
        <f>IF(B1061="Sell",F1061*INDEX(V:V,LOOKUP(2,1/(X$4:X1060=CONCATENATE(C1061,"_ACB")),ROW(V$4:V1060))),0)</f>
        <v>0</v>
      </c>
    </row>
    <row r="1062" spans="1:29" x14ac:dyDescent="0.25">
      <c r="A1062" s="20">
        <v>42598</v>
      </c>
      <c r="B1062" t="s">
        <v>43</v>
      </c>
      <c r="C1062" t="s">
        <v>36</v>
      </c>
      <c r="D1062" s="3">
        <v>0.14000000000000001</v>
      </c>
      <c r="M1062" s="21">
        <f t="shared" si="141"/>
        <v>0.14000000000000001</v>
      </c>
      <c r="N1062" s="8">
        <f t="shared" si="138"/>
        <v>0.14000000000000001</v>
      </c>
      <c r="O1062" s="25">
        <f t="shared" si="134"/>
        <v>7173.7799999999334</v>
      </c>
      <c r="P1062" s="8">
        <f t="shared" si="142"/>
        <v>0</v>
      </c>
      <c r="Q1062" s="4">
        <f>IF(AND(S1062&gt;=[1]eRRSP_Rpt!$C$6,S1062&lt;=[1]eRRSP_Rpt!$C$7),1,0)</f>
        <v>0</v>
      </c>
      <c r="R1062" s="4"/>
      <c r="S1062" s="4">
        <f t="shared" si="139"/>
        <v>2016</v>
      </c>
      <c r="T1062" s="4"/>
      <c r="U1062" s="4" t="str">
        <f t="shared" si="140"/>
        <v>IntIncTDW</v>
      </c>
      <c r="V1062" s="23">
        <f>IFERROR(IF(AND(AB1062&gt;0,B1062&lt;&gt;"Sell"),(AA1062-SUMIF(C$4:C1061,C1062,AC$4:AC1062))/AB1062,0),"")</f>
        <v>0</v>
      </c>
      <c r="W1062" s="24" t="str">
        <f t="shared" si="136"/>
        <v/>
      </c>
      <c r="X1062" s="25" t="str">
        <f t="shared" si="135"/>
        <v/>
      </c>
      <c r="Y1062" s="10" t="str">
        <f>IF(S1064&lt;&gt;eRRSP_Tx_Table[[#This Row],[Year]],SUMIFS($W$4:$W1062,$S$4:$S1062,eRRSP_Tx_Table[[#This Row],[Year]],$W$4:$W1062,"&gt;0"),"")</f>
        <v/>
      </c>
      <c r="Z1062" s="10" t="str">
        <f>IF(S1064&lt;&gt;eRRSP_Tx_Table[[#This Row],[Year]],SUMIFS($W$4:$W1062,$S$4:$S1062,eRRSP_Tx_Table[[#This Row],[Year]],$W$4:$W1062,"&lt;0"),"")</f>
        <v/>
      </c>
      <c r="AA1062" s="3">
        <f>(SUMIF($U$4:$U1062,CONCATENATE("Buy",$C1062),$N$4:$N1062)+SUMIF($U$4:$U1062,CONCATENATE("ReinvDiv",$C1062),$N$4:$N1062))</f>
        <v>0</v>
      </c>
      <c r="AB1062">
        <f>(SUMIF($U$4:$U1062,CONCATENATE("Buy",$C1062),$F$4:$F1062)+SUMIF($U$4:$U1062,CONCATENATE("ReinvDiv",$C1062),$F$4:$F1062)+SUMIF($U$4:$U1062,CONCATENATE("StkSplit",$C1062),$F$4:$F1062)-SUMIF($U$4:$U1062,CONCATENATE("Sell",$C1062),$F$4:$F1062))</f>
        <v>0</v>
      </c>
      <c r="AC1062" s="3">
        <f>IF(B1062="Sell",F1062*INDEX(V:V,LOOKUP(2,1/(X$4:X1061=CONCATENATE(C1062,"_ACB")),ROW(V$4:V1061))),0)</f>
        <v>0</v>
      </c>
    </row>
    <row r="1063" spans="1:29" x14ac:dyDescent="0.25">
      <c r="A1063" s="20">
        <v>42613</v>
      </c>
      <c r="B1063" t="s">
        <v>43</v>
      </c>
      <c r="C1063" t="s">
        <v>99</v>
      </c>
      <c r="D1063" s="3">
        <v>11.03</v>
      </c>
      <c r="M1063" s="21">
        <f t="shared" si="141"/>
        <v>11.03</v>
      </c>
      <c r="N1063" s="8">
        <f t="shared" si="138"/>
        <v>11.03</v>
      </c>
      <c r="O1063" s="25">
        <f t="shared" si="134"/>
        <v>7184.8099999999331</v>
      </c>
      <c r="P1063" s="8">
        <f t="shared" si="142"/>
        <v>0</v>
      </c>
      <c r="Q1063" s="4">
        <f>IF(AND(S1063&gt;=[1]eRRSP_Rpt!$C$6,S1063&lt;=[1]eRRSP_Rpt!$C$7),1,0)</f>
        <v>0</v>
      </c>
      <c r="R1063" s="4"/>
      <c r="S1063" s="4">
        <f t="shared" si="139"/>
        <v>2016</v>
      </c>
      <c r="T1063" s="4"/>
      <c r="U1063" s="4" t="str">
        <f t="shared" si="140"/>
        <v>IntIncTD INV SAV ACCT  /NL'FRAC</v>
      </c>
      <c r="V1063" s="23">
        <f>IFERROR(IF(AND(AB1063&gt;0,B1063&lt;&gt;"Sell"),(AA1063-SUMIF(C$4:C1062,C1063,AC$4:AC1063))/AB1063,0),"")</f>
        <v>-10</v>
      </c>
      <c r="W1063" s="24" t="str">
        <f t="shared" si="136"/>
        <v/>
      </c>
      <c r="X1063" s="25" t="str">
        <f t="shared" si="135"/>
        <v>TD INV SAV ACCT  /NL'FRAC_ACB</v>
      </c>
      <c r="Y1063" s="10" t="str">
        <f>IF(S1065&lt;&gt;eRRSP_Tx_Table[[#This Row],[Year]],SUMIFS($W$4:$W1063,$S$4:$S1063,eRRSP_Tx_Table[[#This Row],[Year]],$W$4:$W1063,"&gt;0"),"")</f>
        <v/>
      </c>
      <c r="Z1063" s="10" t="str">
        <f>IF(S1065&lt;&gt;eRRSP_Tx_Table[[#This Row],[Year]],SUMIFS($W$4:$W1063,$S$4:$S1063,eRRSP_Tx_Table[[#This Row],[Year]],$W$4:$W1063,"&lt;0"),"")</f>
        <v/>
      </c>
      <c r="AA1063" s="3">
        <f>(SUMIF($U$4:$U1063,CONCATENATE("Buy",$C1063),$N$4:$N1063)+SUMIF($U$4:$U1063,CONCATENATE("ReinvDiv",$C1063),$N$4:$N1063))</f>
        <v>-30900</v>
      </c>
      <c r="AB1063">
        <f>(SUMIF($U$4:$U1063,CONCATENATE("Buy",$C1063),$F$4:$F1063)+SUMIF($U$4:$U1063,CONCATENATE("ReinvDiv",$C1063),$F$4:$F1063)+SUMIF($U$4:$U1063,CONCATENATE("StkSplit",$C1063),$F$4:$F1063)-SUMIF($U$4:$U1063,CONCATENATE("Sell",$C1063),$F$4:$F1063))</f>
        <v>1790</v>
      </c>
      <c r="AC1063" s="3">
        <f>IF(B1063="Sell",F1063*INDEX(V:V,LOOKUP(2,1/(X$4:X1062=CONCATENATE(C1063,"_ACB")),ROW(V$4:V1062))),0)</f>
        <v>0</v>
      </c>
    </row>
    <row r="1064" spans="1:29" x14ac:dyDescent="0.25">
      <c r="A1064" s="20">
        <v>42621</v>
      </c>
      <c r="B1064" t="s">
        <v>42</v>
      </c>
      <c r="C1064" t="s">
        <v>105</v>
      </c>
      <c r="D1064" s="3">
        <v>48.09</v>
      </c>
      <c r="M1064" s="21">
        <f t="shared" si="141"/>
        <v>48.09</v>
      </c>
      <c r="N1064" s="8">
        <f t="shared" si="138"/>
        <v>48.09</v>
      </c>
      <c r="O1064" s="25">
        <f t="shared" si="134"/>
        <v>7232.8999999999332</v>
      </c>
      <c r="P1064" s="8">
        <f t="shared" si="142"/>
        <v>0</v>
      </c>
      <c r="Q1064" s="4">
        <f>IF(AND(S1064&gt;=[1]eRRSP_Rpt!$C$6,S1064&lt;=[1]eRRSP_Rpt!$C$7),1,0)</f>
        <v>0</v>
      </c>
      <c r="R1064" s="4"/>
      <c r="S1064" s="4">
        <f t="shared" si="139"/>
        <v>2016</v>
      </c>
      <c r="T1064" s="4"/>
      <c r="U1064" s="4" t="str">
        <f t="shared" si="140"/>
        <v>DivVanguard CDN S/T Corp Bond</v>
      </c>
      <c r="V1064" s="23">
        <f>IFERROR(IF(AND(AB1064&gt;0,B1064&lt;&gt;"Sell"),(AA1064-SUMIF(C$4:C1063,C1064,AC$4:AC1064))/AB1064,0),"")</f>
        <v>-25.164273504273503</v>
      </c>
      <c r="W1064" s="24" t="str">
        <f t="shared" si="136"/>
        <v/>
      </c>
      <c r="X1064" s="25" t="str">
        <f t="shared" si="135"/>
        <v>Vanguard CDN S/T Corp Bond_ACB</v>
      </c>
      <c r="Y1064" s="10" t="str">
        <f>IF(S1066&lt;&gt;eRRSP_Tx_Table[[#This Row],[Year]],SUMIFS($W$4:$W1064,$S$4:$S1064,eRRSP_Tx_Table[[#This Row],[Year]],$W$4:$W1064,"&gt;0"),"")</f>
        <v/>
      </c>
      <c r="Z1064" s="10" t="str">
        <f>IF(S1066&lt;&gt;eRRSP_Tx_Table[[#This Row],[Year]],SUMIFS($W$4:$W1064,$S$4:$S1064,eRRSP_Tx_Table[[#This Row],[Year]],$W$4:$W1064,"&lt;0"),"")</f>
        <v/>
      </c>
      <c r="AA1064" s="3">
        <f>(SUMIF($U$4:$U1064,CONCATENATE("Buy",$C1064),$N$4:$N1064)+SUMIF($U$4:$U1064,CONCATENATE("ReinvDiv",$C1064),$N$4:$N1064))</f>
        <v>-41219.08</v>
      </c>
      <c r="AB1064">
        <f>(SUMIF($U$4:$U1064,CONCATENATE("Buy",$C1064),$F$4:$F1064)+SUMIF($U$4:$U1064,CONCATENATE("ReinvDiv",$C1064),$F$4:$F1064)+SUMIF($U$4:$U1064,CONCATENATE("StkSplit",$C1064),$F$4:$F1064)-SUMIF($U$4:$U1064,CONCATENATE("Sell",$C1064),$F$4:$F1064))</f>
        <v>795</v>
      </c>
      <c r="AC1064" s="3">
        <f>IF(B1064="Sell",F1064*INDEX(V:V,LOOKUP(2,1/(X$4:X1063=CONCATENATE(C1064,"_ACB")),ROW(V$4:V1063))),0)</f>
        <v>0</v>
      </c>
    </row>
    <row r="1065" spans="1:29" x14ac:dyDescent="0.25">
      <c r="A1065" s="20">
        <v>42629</v>
      </c>
      <c r="B1065" t="s">
        <v>43</v>
      </c>
      <c r="C1065" t="s">
        <v>36</v>
      </c>
      <c r="D1065" s="3">
        <v>0.15</v>
      </c>
      <c r="M1065" s="21">
        <f t="shared" si="141"/>
        <v>0.15</v>
      </c>
      <c r="N1065" s="8">
        <f t="shared" si="138"/>
        <v>0.15</v>
      </c>
      <c r="O1065" s="25">
        <f t="shared" si="134"/>
        <v>7233.0499999999329</v>
      </c>
      <c r="P1065" s="8">
        <f t="shared" si="142"/>
        <v>0</v>
      </c>
      <c r="Q1065" s="4">
        <f>IF(AND(S1065&gt;=[1]eRRSP_Rpt!$C$6,S1065&lt;=[1]eRRSP_Rpt!$C$7),1,0)</f>
        <v>0</v>
      </c>
      <c r="R1065" s="4"/>
      <c r="S1065" s="4">
        <f t="shared" si="139"/>
        <v>2016</v>
      </c>
      <c r="T1065" s="4"/>
      <c r="U1065" s="4" t="str">
        <f t="shared" si="140"/>
        <v>IntIncTDW</v>
      </c>
      <c r="V1065" s="23">
        <f>IFERROR(IF(AND(AB1065&gt;0,B1065&lt;&gt;"Sell"),(AA1065-SUMIF(C$4:C1064,C1065,AC$4:AC1065))/AB1065,0),"")</f>
        <v>0</v>
      </c>
      <c r="W1065" s="24" t="str">
        <f t="shared" si="136"/>
        <v/>
      </c>
      <c r="X1065" s="25" t="str">
        <f t="shared" si="135"/>
        <v/>
      </c>
      <c r="Y1065" s="10" t="str">
        <f>IF(S1067&lt;&gt;eRRSP_Tx_Table[[#This Row],[Year]],SUMIFS($W$4:$W1065,$S$4:$S1065,eRRSP_Tx_Table[[#This Row],[Year]],$W$4:$W1065,"&gt;0"),"")</f>
        <v/>
      </c>
      <c r="Z1065" s="10" t="str">
        <f>IF(S1067&lt;&gt;eRRSP_Tx_Table[[#This Row],[Year]],SUMIFS($W$4:$W1065,$S$4:$S1065,eRRSP_Tx_Table[[#This Row],[Year]],$W$4:$W1065,"&lt;0"),"")</f>
        <v/>
      </c>
      <c r="AA1065" s="3">
        <f>(SUMIF($U$4:$U1065,CONCATENATE("Buy",$C1065),$N$4:$N1065)+SUMIF($U$4:$U1065,CONCATENATE("ReinvDiv",$C1065),$N$4:$N1065))</f>
        <v>0</v>
      </c>
      <c r="AB1065">
        <f>(SUMIF($U$4:$U1065,CONCATENATE("Buy",$C1065),$F$4:$F1065)+SUMIF($U$4:$U1065,CONCATENATE("ReinvDiv",$C1065),$F$4:$F1065)+SUMIF($U$4:$U1065,CONCATENATE("StkSplit",$C1065),$F$4:$F1065)-SUMIF($U$4:$U1065,CONCATENATE("Sell",$C1065),$F$4:$F1065))</f>
        <v>0</v>
      </c>
      <c r="AC1065" s="3">
        <f>IF(B1065="Sell",F1065*INDEX(V:V,LOOKUP(2,1/(X$4:X1064=CONCATENATE(C1065,"_ACB")),ROW(V$4:V1064))),0)</f>
        <v>0</v>
      </c>
    </row>
    <row r="1066" spans="1:29" x14ac:dyDescent="0.25">
      <c r="A1066" s="20">
        <v>42635</v>
      </c>
      <c r="B1066" t="s">
        <v>42</v>
      </c>
      <c r="C1066" t="s">
        <v>105</v>
      </c>
      <c r="D1066" s="3">
        <v>22.16</v>
      </c>
      <c r="M1066" s="21">
        <f t="shared" si="141"/>
        <v>22.16</v>
      </c>
      <c r="N1066" s="8">
        <f t="shared" si="138"/>
        <v>22.16</v>
      </c>
      <c r="O1066" s="25">
        <f t="shared" si="134"/>
        <v>7255.2099999999327</v>
      </c>
      <c r="P1066" s="8">
        <f t="shared" si="142"/>
        <v>0</v>
      </c>
      <c r="Q1066" s="4">
        <f>IF(AND(S1066&gt;=[1]eRRSP_Rpt!$C$6,S1066&lt;=[1]eRRSP_Rpt!$C$7),1,0)</f>
        <v>0</v>
      </c>
      <c r="R1066" s="4"/>
      <c r="S1066" s="4">
        <f t="shared" si="139"/>
        <v>2016</v>
      </c>
      <c r="T1066" s="4"/>
      <c r="U1066" s="4" t="str">
        <f t="shared" si="140"/>
        <v>DivVanguard CDN S/T Corp Bond</v>
      </c>
      <c r="V1066" s="23">
        <f>IFERROR(IF(AND(AB1066&gt;0,B1066&lt;&gt;"Sell"),(AA1066-SUMIF(C$4:C1065,C1066,AC$4:AC1066))/AB1066,0),"")</f>
        <v>-25.164273504273503</v>
      </c>
      <c r="W1066" s="24" t="str">
        <f t="shared" si="136"/>
        <v/>
      </c>
      <c r="X1066" s="25" t="str">
        <f t="shared" si="135"/>
        <v>Vanguard CDN S/T Corp Bond_ACB</v>
      </c>
      <c r="Y1066" s="10" t="str">
        <f>IF(S1068&lt;&gt;eRRSP_Tx_Table[[#This Row],[Year]],SUMIFS($W$4:$W1066,$S$4:$S1066,eRRSP_Tx_Table[[#This Row],[Year]],$W$4:$W1066,"&gt;0"),"")</f>
        <v/>
      </c>
      <c r="Z1066" s="10" t="str">
        <f>IF(S1068&lt;&gt;eRRSP_Tx_Table[[#This Row],[Year]],SUMIFS($W$4:$W1066,$S$4:$S1066,eRRSP_Tx_Table[[#This Row],[Year]],$W$4:$W1066,"&lt;0"),"")</f>
        <v/>
      </c>
      <c r="AA1066" s="3">
        <f>(SUMIF($U$4:$U1066,CONCATENATE("Buy",$C1066),$N$4:$N1066)+SUMIF($U$4:$U1066,CONCATENATE("ReinvDiv",$C1066),$N$4:$N1066))</f>
        <v>-41219.08</v>
      </c>
      <c r="AB1066">
        <f>(SUMIF($U$4:$U1066,CONCATENATE("Buy",$C1066),$F$4:$F1066)+SUMIF($U$4:$U1066,CONCATENATE("ReinvDiv",$C1066),$F$4:$F1066)+SUMIF($U$4:$U1066,CONCATENATE("StkSplit",$C1066),$F$4:$F1066)-SUMIF($U$4:$U1066,CONCATENATE("Sell",$C1066),$F$4:$F1066))</f>
        <v>795</v>
      </c>
      <c r="AC1066" s="3">
        <f>IF(B1066="Sell",F1066*INDEX(V:V,LOOKUP(2,1/(X$4:X1065=CONCATENATE(C1066,"_ACB")),ROW(V$4:V1065))),0)</f>
        <v>0</v>
      </c>
    </row>
    <row r="1067" spans="1:29" x14ac:dyDescent="0.25">
      <c r="A1067" s="20">
        <v>42635</v>
      </c>
      <c r="B1067" t="s">
        <v>42</v>
      </c>
      <c r="C1067" t="s">
        <v>104</v>
      </c>
      <c r="D1067" s="3">
        <v>510.33</v>
      </c>
      <c r="M1067" s="21">
        <f t="shared" si="141"/>
        <v>510.33</v>
      </c>
      <c r="N1067" s="8">
        <f t="shared" si="138"/>
        <v>510.33</v>
      </c>
      <c r="O1067" s="25">
        <f t="shared" si="134"/>
        <v>7765.5399999999327</v>
      </c>
      <c r="P1067" s="8">
        <f t="shared" si="142"/>
        <v>0</v>
      </c>
      <c r="Q1067" s="4">
        <f>IF(AND(S1067&gt;=[1]eRRSP_Rpt!$C$6,S1067&lt;=[1]eRRSP_Rpt!$C$7),1,0)</f>
        <v>0</v>
      </c>
      <c r="R1067" s="4"/>
      <c r="S1067" s="4">
        <f t="shared" si="139"/>
        <v>2016</v>
      </c>
      <c r="T1067" s="4"/>
      <c r="U1067" s="4" t="str">
        <f t="shared" si="140"/>
        <v>DivVanguard US Total Market ETF</v>
      </c>
      <c r="V1067" s="23">
        <f>IFERROR(IF(AND(AB1067&gt;0,B1067&lt;&gt;"Sell"),(AA1067-SUMIF(C$4:C1066,C1067,AC$4:AC1067))/AB1067,0),"")</f>
        <v>-31.343779980812279</v>
      </c>
      <c r="W1067" s="24" t="str">
        <f t="shared" si="136"/>
        <v/>
      </c>
      <c r="X1067" s="25" t="str">
        <f t="shared" si="135"/>
        <v>Vanguard US Total Market ETF_ACB</v>
      </c>
      <c r="Y1067" s="10" t="str">
        <f>IF(S1069&lt;&gt;eRRSP_Tx_Table[[#This Row],[Year]],SUMIFS($W$4:$W1067,$S$4:$S1067,eRRSP_Tx_Table[[#This Row],[Year]],$W$4:$W1067,"&gt;0"),"")</f>
        <v/>
      </c>
      <c r="Z1067" s="10" t="str">
        <f>IF(S1069&lt;&gt;eRRSP_Tx_Table[[#This Row],[Year]],SUMIFS($W$4:$W1067,$S$4:$S1067,eRRSP_Tx_Table[[#This Row],[Year]],$W$4:$W1067,"&lt;0"),"")</f>
        <v/>
      </c>
      <c r="AA1067" s="3">
        <f>(SUMIF($U$4:$U1067,CONCATENATE("Buy",$C1067),$N$4:$N1067)+SUMIF($U$4:$U1067,CONCATENATE("ReinvDiv",$C1067),$N$4:$N1067))</f>
        <v>-98012</v>
      </c>
      <c r="AB1067">
        <f>(SUMIF($U$4:$U1067,CONCATENATE("Buy",$C1067),$F$4:$F1067)+SUMIF($U$4:$U1067,CONCATENATE("ReinvDiv",$C1067),$F$4:$F1067)+SUMIF($U$4:$U1067,CONCATENATE("StkSplit",$C1067),$F$4:$F1067)-SUMIF($U$4:$U1067,CONCATENATE("Sell",$C1067),$F$4:$F1067))</f>
        <v>3127</v>
      </c>
      <c r="AC1067" s="3">
        <f>IF(B1067="Sell",F1067*INDEX(V:V,LOOKUP(2,1/(X$4:X1066=CONCATENATE(C1067,"_ACB")),ROW(V$4:V1066))),0)</f>
        <v>0</v>
      </c>
    </row>
    <row r="1068" spans="1:29" x14ac:dyDescent="0.25">
      <c r="A1068" s="20">
        <v>42642</v>
      </c>
      <c r="B1068" t="s">
        <v>41</v>
      </c>
      <c r="C1068" t="s">
        <v>97</v>
      </c>
      <c r="D1068" s="3">
        <v>173.81</v>
      </c>
      <c r="F1068" s="3">
        <v>14.212</v>
      </c>
      <c r="M1068" s="21">
        <f t="shared" si="141"/>
        <v>173.81</v>
      </c>
      <c r="N1068" s="8">
        <f t="shared" si="138"/>
        <v>-173.81</v>
      </c>
      <c r="O1068" s="25">
        <f t="shared" si="134"/>
        <v>7765.5399999999327</v>
      </c>
      <c r="P1068" s="8">
        <f t="shared" si="142"/>
        <v>0</v>
      </c>
      <c r="Q1068" s="4">
        <f>IF(AND(S1068&gt;=[1]eRRSP_Rpt!$C$6,S1068&lt;=[1]eRRSP_Rpt!$C$7),1,0)</f>
        <v>0</v>
      </c>
      <c r="R1068" s="4"/>
      <c r="S1068" s="4">
        <f t="shared" si="139"/>
        <v>2016</v>
      </c>
      <c r="T1068" s="4"/>
      <c r="U1068" s="4" t="str">
        <f t="shared" si="140"/>
        <v>ReinvDivTD International Index - e</v>
      </c>
      <c r="V1068" s="23">
        <f>IFERROR(IF(AND(AB1068&gt;0,B1068&lt;&gt;"Sell"),(AA1068-SUMIF(C$4:C1067,C1068,AC$4:AC1068))/AB1068,0),"")</f>
        <v>-11.073364728357348</v>
      </c>
      <c r="W1068" s="24" t="str">
        <f t="shared" si="136"/>
        <v/>
      </c>
      <c r="X1068" s="25" t="str">
        <f t="shared" si="135"/>
        <v>TD International Index - e_ACB</v>
      </c>
      <c r="Y1068" s="10" t="str">
        <f>IF(S1070&lt;&gt;eRRSP_Tx_Table[[#This Row],[Year]],SUMIFS($W$4:$W1068,$S$4:$S1068,eRRSP_Tx_Table[[#This Row],[Year]],$W$4:$W1068,"&gt;0"),"")</f>
        <v/>
      </c>
      <c r="Z1068" s="10" t="str">
        <f>IF(S1070&lt;&gt;eRRSP_Tx_Table[[#This Row],[Year]],SUMIFS($W$4:$W1068,$S$4:$S1068,eRRSP_Tx_Table[[#This Row],[Year]],$W$4:$W1068,"&lt;0"),"")</f>
        <v/>
      </c>
      <c r="AA1068" s="3">
        <f>(SUMIF($U$4:$U1068,CONCATENATE("Buy",$C1068),$N$4:$N1068)+SUMIF($U$4:$U1068,CONCATENATE("ReinvDiv",$C1068),$N$4:$N1068))</f>
        <v>-52215.659999999996</v>
      </c>
      <c r="AB1068">
        <f>(SUMIF($U$4:$U1068,CONCATENATE("Buy",$C1068),$F$4:$F1068)+SUMIF($U$4:$U1068,CONCATENATE("ReinvDiv",$C1068),$F$4:$F1068)+SUMIF($U$4:$U1068,CONCATENATE("StkSplit",$C1068),$F$4:$F1068)-SUMIF($U$4:$U1068,CONCATENATE("Sell",$C1068),$F$4:$F1068))</f>
        <v>2850.7809999999995</v>
      </c>
      <c r="AC1068" s="3">
        <f>IF(B1068="Sell",F1068*INDEX(V:V,LOOKUP(2,1/(X$4:X1067=CONCATENATE(C1068,"_ACB")),ROW(V$4:V1067))),0)</f>
        <v>0</v>
      </c>
    </row>
    <row r="1069" spans="1:29" x14ac:dyDescent="0.25">
      <c r="A1069" s="20">
        <v>42643</v>
      </c>
      <c r="B1069" t="s">
        <v>42</v>
      </c>
      <c r="C1069" t="s">
        <v>103</v>
      </c>
      <c r="D1069" s="3">
        <v>177.73</v>
      </c>
      <c r="M1069" s="21">
        <f t="shared" si="141"/>
        <v>177.73</v>
      </c>
      <c r="N1069" s="8">
        <f t="shared" si="138"/>
        <v>177.73</v>
      </c>
      <c r="O1069" s="25">
        <f t="shared" si="134"/>
        <v>7943.2699999999322</v>
      </c>
      <c r="P1069" s="8">
        <f t="shared" si="142"/>
        <v>0</v>
      </c>
      <c r="Q1069" s="4">
        <f>IF(AND(S1069&gt;=[1]eRRSP_Rpt!$C$6,S1069&lt;=[1]eRRSP_Rpt!$C$7),1,0)</f>
        <v>0</v>
      </c>
      <c r="R1069" s="4"/>
      <c r="S1069" s="4">
        <f t="shared" si="139"/>
        <v>2016</v>
      </c>
      <c r="T1069" s="4"/>
      <c r="U1069" s="4" t="str">
        <f t="shared" si="140"/>
        <v>DivIshares Global Real Estate Index</v>
      </c>
      <c r="V1069" s="23">
        <f>IFERROR(IF(AND(AB1069&gt;0,B1069&lt;&gt;"Sell"),(AA1069-SUMIF(C$4:C1068,C1069,AC$4:AC1069))/AB1069,0),"")</f>
        <v>-22.247726879861712</v>
      </c>
      <c r="W1069" s="24" t="str">
        <f t="shared" si="136"/>
        <v/>
      </c>
      <c r="X1069" s="25" t="str">
        <f t="shared" si="135"/>
        <v>Ishares Global Real Estate Index_ACB</v>
      </c>
      <c r="Y1069" s="10" t="str">
        <f>IF(S1071&lt;&gt;eRRSP_Tx_Table[[#This Row],[Year]],SUMIFS($W$4:$W1069,$S$4:$S1069,eRRSP_Tx_Table[[#This Row],[Year]],$W$4:$W1069,"&gt;0"),"")</f>
        <v/>
      </c>
      <c r="Z1069" s="10" t="str">
        <f>IF(S1071&lt;&gt;eRRSP_Tx_Table[[#This Row],[Year]],SUMIFS($W$4:$W1069,$S$4:$S1069,eRRSP_Tx_Table[[#This Row],[Year]],$W$4:$W1069,"&lt;0"),"")</f>
        <v/>
      </c>
      <c r="AA1069" s="3">
        <f>(SUMIF($U$4:$U1069,CONCATENATE("Buy",$C1069),$N$4:$N1069)+SUMIF($U$4:$U1069,CONCATENATE("ReinvDiv",$C1069),$N$4:$N1069))</f>
        <v>-25740.620000000003</v>
      </c>
      <c r="AB1069">
        <f>(SUMIF($U$4:$U1069,CONCATENATE("Buy",$C1069),$F$4:$F1069)+SUMIF($U$4:$U1069,CONCATENATE("ReinvDiv",$C1069),$F$4:$F1069)+SUMIF($U$4:$U1069,CONCATENATE("StkSplit",$C1069),$F$4:$F1069)-SUMIF($U$4:$U1069,CONCATENATE("Sell",$C1069),$F$4:$F1069))</f>
        <v>1157</v>
      </c>
      <c r="AC1069" s="3">
        <f>IF(B1069="Sell",F1069*INDEX(V:V,LOOKUP(2,1/(X$4:X1068=CONCATENATE(C1069,"_ACB")),ROW(V$4:V1068))),0)</f>
        <v>0</v>
      </c>
    </row>
    <row r="1070" spans="1:29" x14ac:dyDescent="0.25">
      <c r="A1070" s="39">
        <v>42643</v>
      </c>
      <c r="B1070" t="s">
        <v>43</v>
      </c>
      <c r="C1070" t="s">
        <v>99</v>
      </c>
      <c r="D1070" s="3">
        <v>11.77</v>
      </c>
      <c r="M1070" s="21">
        <f t="shared" si="141"/>
        <v>11.77</v>
      </c>
      <c r="N1070" s="8">
        <f t="shared" si="138"/>
        <v>11.77</v>
      </c>
      <c r="O1070" s="25">
        <f t="shared" si="134"/>
        <v>7955.0399999999327</v>
      </c>
      <c r="P1070" s="8">
        <f t="shared" si="142"/>
        <v>0</v>
      </c>
      <c r="Q1070" s="4">
        <f>IF(AND(S1070&gt;=[1]eRRSP_Rpt!$C$6,S1070&lt;=[1]eRRSP_Rpt!$C$7),1,0)</f>
        <v>0</v>
      </c>
      <c r="R1070" s="4"/>
      <c r="S1070" s="4">
        <f t="shared" si="139"/>
        <v>2016</v>
      </c>
      <c r="T1070" s="4"/>
      <c r="U1070" s="4" t="str">
        <f t="shared" si="140"/>
        <v>IntIncTD INV SAV ACCT  /NL'FRAC</v>
      </c>
      <c r="V1070" s="23">
        <f>IFERROR(IF(AND(AB1070&gt;0,B1070&lt;&gt;"Sell"),(AA1070-SUMIF(C$4:C1069,C1070,AC$4:AC1070))/AB1070,0),"")</f>
        <v>-10</v>
      </c>
      <c r="W1070" s="24" t="str">
        <f t="shared" si="136"/>
        <v/>
      </c>
      <c r="X1070" s="25" t="str">
        <f t="shared" si="135"/>
        <v>TD INV SAV ACCT  /NL'FRAC_ACB</v>
      </c>
      <c r="Y1070" s="10" t="str">
        <f>IF(S1072&lt;&gt;eRRSP_Tx_Table[[#This Row],[Year]],SUMIFS($W$4:$W1070,$S$4:$S1070,eRRSP_Tx_Table[[#This Row],[Year]],$W$4:$W1070,"&gt;0"),"")</f>
        <v/>
      </c>
      <c r="Z1070" s="10" t="str">
        <f>IF(S1072&lt;&gt;eRRSP_Tx_Table[[#This Row],[Year]],SUMIFS($W$4:$W1070,$S$4:$S1070,eRRSP_Tx_Table[[#This Row],[Year]],$W$4:$W1070,"&lt;0"),"")</f>
        <v/>
      </c>
      <c r="AA1070" s="3">
        <f>(SUMIF($U$4:$U1070,CONCATENATE("Buy",$C1070),$N$4:$N1070)+SUMIF($U$4:$U1070,CONCATENATE("ReinvDiv",$C1070),$N$4:$N1070))</f>
        <v>-30900</v>
      </c>
      <c r="AB1070">
        <f>(SUMIF($U$4:$U1070,CONCATENATE("Buy",$C1070),$F$4:$F1070)+SUMIF($U$4:$U1070,CONCATENATE("ReinvDiv",$C1070),$F$4:$F1070)+SUMIF($U$4:$U1070,CONCATENATE("StkSplit",$C1070),$F$4:$F1070)-SUMIF($U$4:$U1070,CONCATENATE("Sell",$C1070),$F$4:$F1070))</f>
        <v>1790</v>
      </c>
      <c r="AC1070" s="3">
        <f>IF(B1070="Sell",F1070*INDEX(V:V,LOOKUP(2,1/(X$4:X1069=CONCATENATE(C1070,"_ACB")),ROW(V$4:V1069))),0)</f>
        <v>0</v>
      </c>
    </row>
    <row r="1071" spans="1:29" x14ac:dyDescent="0.25">
      <c r="A1071" s="39">
        <v>42659</v>
      </c>
      <c r="B1071" t="s">
        <v>43</v>
      </c>
      <c r="C1071" t="s">
        <v>36</v>
      </c>
      <c r="D1071" s="3">
        <v>0.15</v>
      </c>
      <c r="M1071" s="21">
        <f t="shared" si="141"/>
        <v>0.15</v>
      </c>
      <c r="N1071" s="8">
        <f t="shared" si="138"/>
        <v>0.15</v>
      </c>
      <c r="O1071" s="25">
        <f t="shared" si="134"/>
        <v>7955.1899999999323</v>
      </c>
      <c r="P1071" s="8">
        <f t="shared" si="142"/>
        <v>0</v>
      </c>
      <c r="Q1071" s="4">
        <f>IF(AND(S1071&gt;=[1]eRRSP_Rpt!$C$6,S1071&lt;=[1]eRRSP_Rpt!$C$7),1,0)</f>
        <v>0</v>
      </c>
      <c r="R1071" s="4"/>
      <c r="S1071" s="4">
        <f t="shared" si="139"/>
        <v>2016</v>
      </c>
      <c r="T1071" s="4"/>
      <c r="U1071" s="4" t="str">
        <f t="shared" si="140"/>
        <v>IntIncTDW</v>
      </c>
      <c r="V1071" s="23">
        <f>IFERROR(IF(AND(AB1071&gt;0,B1071&lt;&gt;"Sell"),(AA1071-SUMIF(C$4:C1070,C1071,AC$4:AC1071))/AB1071,0),"")</f>
        <v>0</v>
      </c>
      <c r="W1071" s="24" t="str">
        <f t="shared" si="136"/>
        <v/>
      </c>
      <c r="X1071" s="25" t="str">
        <f t="shared" si="135"/>
        <v/>
      </c>
      <c r="Y1071" s="10" t="str">
        <f>IF(S1073&lt;&gt;eRRSP_Tx_Table[[#This Row],[Year]],SUMIFS($W$4:$W1071,$S$4:$S1071,eRRSP_Tx_Table[[#This Row],[Year]],$W$4:$W1071,"&gt;0"),"")</f>
        <v/>
      </c>
      <c r="Z1071" s="10" t="str">
        <f>IF(S1073&lt;&gt;eRRSP_Tx_Table[[#This Row],[Year]],SUMIFS($W$4:$W1071,$S$4:$S1071,eRRSP_Tx_Table[[#This Row],[Year]],$W$4:$W1071,"&lt;0"),"")</f>
        <v/>
      </c>
      <c r="AA1071" s="3">
        <f>(SUMIF($U$4:$U1071,CONCATENATE("Buy",$C1071),$N$4:$N1071)+SUMIF($U$4:$U1071,CONCATENATE("ReinvDiv",$C1071),$N$4:$N1071))</f>
        <v>0</v>
      </c>
      <c r="AB1071">
        <f>(SUMIF($U$4:$U1071,CONCATENATE("Buy",$C1071),$F$4:$F1071)+SUMIF($U$4:$U1071,CONCATENATE("ReinvDiv",$C1071),$F$4:$F1071)+SUMIF($U$4:$U1071,CONCATENATE("StkSplit",$C1071),$F$4:$F1071)-SUMIF($U$4:$U1071,CONCATENATE("Sell",$C1071),$F$4:$F1071))</f>
        <v>0</v>
      </c>
      <c r="AC1071" s="3">
        <f>IF(B1071="Sell",F1071*INDEX(V:V,LOOKUP(2,1/(X$4:X1070=CONCATENATE(C1071,"_ACB")),ROW(V$4:V1070))),0)</f>
        <v>0</v>
      </c>
    </row>
    <row r="1072" spans="1:29" x14ac:dyDescent="0.25">
      <c r="A1072" s="39">
        <v>42674</v>
      </c>
      <c r="B1072" t="s">
        <v>43</v>
      </c>
      <c r="C1072" s="40" t="s">
        <v>99</v>
      </c>
      <c r="D1072" s="3">
        <v>10.67</v>
      </c>
      <c r="F1072" s="3">
        <v>0</v>
      </c>
      <c r="M1072" s="21">
        <f t="shared" si="141"/>
        <v>10.67</v>
      </c>
      <c r="N1072" s="8">
        <f t="shared" si="138"/>
        <v>10.67</v>
      </c>
      <c r="O1072" s="25">
        <f t="shared" si="134"/>
        <v>7965.8599999999324</v>
      </c>
      <c r="P1072" s="8">
        <f t="shared" si="142"/>
        <v>0</v>
      </c>
      <c r="Q1072" s="4">
        <f>IF(AND(S1072&gt;=[1]eRRSP_Rpt!$C$6,S1072&lt;=[1]eRRSP_Rpt!$C$7),1,0)</f>
        <v>0</v>
      </c>
      <c r="R1072" s="4"/>
      <c r="S1072" s="4">
        <f t="shared" si="139"/>
        <v>2016</v>
      </c>
      <c r="T1072" s="4"/>
      <c r="U1072" s="4" t="str">
        <f t="shared" si="140"/>
        <v>IntIncTD INV SAV ACCT  /NL'FRAC</v>
      </c>
      <c r="V1072" s="23">
        <f>IFERROR(IF(AND(AB1072&gt;0,B1072&lt;&gt;"Sell"),(AA1072-SUMIF(C$4:C1071,C1072,AC$4:AC1072))/AB1072,0),"")</f>
        <v>-10</v>
      </c>
      <c r="W1072" s="24" t="str">
        <f t="shared" si="136"/>
        <v/>
      </c>
      <c r="X1072" s="25" t="str">
        <f t="shared" si="135"/>
        <v>TD INV SAV ACCT  /NL'FRAC_ACB</v>
      </c>
      <c r="Y1072" s="10" t="str">
        <f>IF(S1074&lt;&gt;eRRSP_Tx_Table[[#This Row],[Year]],SUMIFS($W$4:$W1072,$S$4:$S1072,eRRSP_Tx_Table[[#This Row],[Year]],$W$4:$W1072,"&gt;0"),"")</f>
        <v/>
      </c>
      <c r="Z1072" s="10" t="str">
        <f>IF(S1074&lt;&gt;eRRSP_Tx_Table[[#This Row],[Year]],SUMIFS($W$4:$W1072,$S$4:$S1072,eRRSP_Tx_Table[[#This Row],[Year]],$W$4:$W1072,"&lt;0"),"")</f>
        <v/>
      </c>
      <c r="AA1072" s="3">
        <f>(SUMIF($U$4:$U1072,CONCATENATE("Buy",$C1072),$N$4:$N1072)+SUMIF($U$4:$U1072,CONCATENATE("ReinvDiv",$C1072),$N$4:$N1072))</f>
        <v>-30900</v>
      </c>
      <c r="AB1072">
        <f>(SUMIF($U$4:$U1072,CONCATENATE("Buy",$C1072),$F$4:$F1072)+SUMIF($U$4:$U1072,CONCATENATE("ReinvDiv",$C1072),$F$4:$F1072)+SUMIF($U$4:$U1072,CONCATENATE("StkSplit",$C1072),$F$4:$F1072)-SUMIF($U$4:$U1072,CONCATENATE("Sell",$C1072),$F$4:$F1072))</f>
        <v>1790</v>
      </c>
      <c r="AC1072" s="3">
        <f>IF(B1072="Sell",F1072*INDEX(V:V,LOOKUP(2,1/(X$4:X1071=CONCATENATE(C1072,"_ACB")),ROW(V$4:V1071))),0)</f>
        <v>0</v>
      </c>
    </row>
    <row r="1073" spans="1:29" x14ac:dyDescent="0.25">
      <c r="A1073" s="39">
        <v>42681</v>
      </c>
      <c r="B1073" t="s">
        <v>42</v>
      </c>
      <c r="C1073" s="40" t="s">
        <v>105</v>
      </c>
      <c r="D1073" s="3">
        <v>69.25</v>
      </c>
      <c r="F1073" s="3">
        <v>795</v>
      </c>
      <c r="M1073" s="21">
        <f t="shared" si="141"/>
        <v>69.25</v>
      </c>
      <c r="N1073" s="8">
        <f t="shared" si="138"/>
        <v>69.25</v>
      </c>
      <c r="O1073" s="25">
        <f t="shared" si="134"/>
        <v>8035.1099999999324</v>
      </c>
      <c r="P1073" s="8">
        <f t="shared" si="142"/>
        <v>0</v>
      </c>
      <c r="Q1073" s="4">
        <f>IF(AND(S1073&gt;=[1]eRRSP_Rpt!$C$6,S1073&lt;=[1]eRRSP_Rpt!$C$7),1,0)</f>
        <v>0</v>
      </c>
      <c r="R1073" s="4"/>
      <c r="S1073" s="4">
        <f t="shared" si="139"/>
        <v>2016</v>
      </c>
      <c r="T1073" s="4"/>
      <c r="U1073" s="4" t="str">
        <f t="shared" si="140"/>
        <v>DivVanguard CDN S/T Corp Bond</v>
      </c>
      <c r="V1073" s="23">
        <f>IFERROR(IF(AND(AB1073&gt;0,B1073&lt;&gt;"Sell"),(AA1073-SUMIF(C$4:C1072,C1073,AC$4:AC1073))/AB1073,0),"")</f>
        <v>-25.164273504273503</v>
      </c>
      <c r="W1073" s="24" t="str">
        <f t="shared" si="136"/>
        <v/>
      </c>
      <c r="X1073" s="25" t="str">
        <f t="shared" si="135"/>
        <v>Vanguard CDN S/T Corp Bond_ACB</v>
      </c>
      <c r="Y1073" s="10" t="str">
        <f>IF(S1075&lt;&gt;eRRSP_Tx_Table[[#This Row],[Year]],SUMIFS($W$4:$W1073,$S$4:$S1073,eRRSP_Tx_Table[[#This Row],[Year]],$W$4:$W1073,"&gt;0"),"")</f>
        <v/>
      </c>
      <c r="Z1073" s="10" t="str">
        <f>IF(S1075&lt;&gt;eRRSP_Tx_Table[[#This Row],[Year]],SUMIFS($W$4:$W1073,$S$4:$S1073,eRRSP_Tx_Table[[#This Row],[Year]],$W$4:$W1073,"&lt;0"),"")</f>
        <v/>
      </c>
      <c r="AA1073" s="3">
        <f>(SUMIF($U$4:$U1073,CONCATENATE("Buy",$C1073),$N$4:$N1073)+SUMIF($U$4:$U1073,CONCATENATE("ReinvDiv",$C1073),$N$4:$N1073))</f>
        <v>-41219.08</v>
      </c>
      <c r="AB1073">
        <f>(SUMIF($U$4:$U1073,CONCATENATE("Buy",$C1073),$F$4:$F1073)+SUMIF($U$4:$U1073,CONCATENATE("ReinvDiv",$C1073),$F$4:$F1073)+SUMIF($U$4:$U1073,CONCATENATE("StkSplit",$C1073),$F$4:$F1073)-SUMIF($U$4:$U1073,CONCATENATE("Sell",$C1073),$F$4:$F1073))</f>
        <v>795</v>
      </c>
      <c r="AC1073" s="3">
        <f>IF(B1073="Sell",F1073*INDEX(V:V,LOOKUP(2,1/(X$4:X1072=CONCATENATE(C1073,"_ACB")),ROW(V$4:V1072))),0)</f>
        <v>0</v>
      </c>
    </row>
    <row r="1074" spans="1:29" x14ac:dyDescent="0.25">
      <c r="A1074" s="39">
        <v>42688</v>
      </c>
      <c r="B1074" t="s">
        <v>42</v>
      </c>
      <c r="C1074" s="41" t="s">
        <v>79</v>
      </c>
      <c r="D1074" s="3">
        <v>3.01</v>
      </c>
      <c r="F1074" s="3">
        <v>225</v>
      </c>
      <c r="M1074" s="21">
        <f t="shared" si="141"/>
        <v>3.01</v>
      </c>
      <c r="N1074" s="8">
        <f t="shared" si="138"/>
        <v>3.01</v>
      </c>
      <c r="O1074" s="25">
        <f t="shared" si="134"/>
        <v>8038.1199999999326</v>
      </c>
      <c r="P1074" s="8">
        <f t="shared" si="142"/>
        <v>0</v>
      </c>
      <c r="Q1074" s="4">
        <f>IF(AND(S1074&gt;=[1]eRRSP_Rpt!$C$6,S1074&lt;=[1]eRRSP_Rpt!$C$7),1,0)</f>
        <v>0</v>
      </c>
      <c r="R1074" s="4"/>
      <c r="S1074" s="4">
        <f t="shared" si="139"/>
        <v>2016</v>
      </c>
      <c r="T1074" s="4"/>
      <c r="U1074" s="4" t="str">
        <f t="shared" si="140"/>
        <v>DivCentral Fund of Canada</v>
      </c>
      <c r="V1074" s="23">
        <f>IFERROR(IF(AND(AB1074&gt;0,B1074&lt;&gt;"Sell"),(AA1074-SUMIF(C$4:C1073,C1074,AC$4:AC1074))/AB1074,0),"")</f>
        <v>-10.243200000000002</v>
      </c>
      <c r="W1074" s="24" t="str">
        <f t="shared" si="136"/>
        <v/>
      </c>
      <c r="X1074" s="25" t="str">
        <f t="shared" si="135"/>
        <v>Central Fund of Canada_ACB</v>
      </c>
      <c r="Y1074" s="10" t="str">
        <f>IF(S1076&lt;&gt;eRRSP_Tx_Table[[#This Row],[Year]],SUMIFS($W$4:$W1074,$S$4:$S1074,eRRSP_Tx_Table[[#This Row],[Year]],$W$4:$W1074,"&gt;0"),"")</f>
        <v/>
      </c>
      <c r="Z1074" s="10" t="str">
        <f>IF(S1076&lt;&gt;eRRSP_Tx_Table[[#This Row],[Year]],SUMIFS($W$4:$W1074,$S$4:$S1074,eRRSP_Tx_Table[[#This Row],[Year]],$W$4:$W1074,"&lt;0"),"")</f>
        <v/>
      </c>
      <c r="AA1074" s="3">
        <f>(SUMIF($U$4:$U1074,CONCATENATE("Buy",$C1074),$N$4:$N1074)+SUMIF($U$4:$U1074,CONCATENATE("ReinvDiv",$C1074),$N$4:$N1074))</f>
        <v>-2304.7200000000003</v>
      </c>
      <c r="AB1074">
        <f>(SUMIF($U$4:$U1074,CONCATENATE("Buy",$C1074),$F$4:$F1074)+SUMIF($U$4:$U1074,CONCATENATE("ReinvDiv",$C1074),$F$4:$F1074)+SUMIF($U$4:$U1074,CONCATENATE("StkSplit",$C1074),$F$4:$F1074)-SUMIF($U$4:$U1074,CONCATENATE("Sell",$C1074),$F$4:$F1074))</f>
        <v>225</v>
      </c>
      <c r="AC1074" s="3">
        <f>IF(B1074="Sell",F1074*INDEX(V:V,LOOKUP(2,1/(X$4:X1073=CONCATENATE(C1074,"_ACB")),ROW(V$4:V1073))),0)</f>
        <v>0</v>
      </c>
    </row>
    <row r="1075" spans="1:29" x14ac:dyDescent="0.25">
      <c r="A1075" s="39">
        <v>42690</v>
      </c>
      <c r="B1075" t="s">
        <v>43</v>
      </c>
      <c r="C1075" s="40" t="s">
        <v>36</v>
      </c>
      <c r="D1075" s="3">
        <v>0.16</v>
      </c>
      <c r="F1075" s="3">
        <v>0</v>
      </c>
      <c r="M1075" s="21">
        <f t="shared" si="141"/>
        <v>0.16</v>
      </c>
      <c r="N1075" s="8">
        <f t="shared" si="138"/>
        <v>0.16</v>
      </c>
      <c r="O1075" s="25">
        <f t="shared" si="134"/>
        <v>8038.2799999999324</v>
      </c>
      <c r="P1075" s="8">
        <f t="shared" si="142"/>
        <v>0</v>
      </c>
      <c r="Q1075" s="4">
        <f>IF(AND(S1075&gt;=[1]eRRSP_Rpt!$C$6,S1075&lt;=[1]eRRSP_Rpt!$C$7),1,0)</f>
        <v>0</v>
      </c>
      <c r="R1075" s="4"/>
      <c r="S1075" s="4">
        <f t="shared" si="139"/>
        <v>2016</v>
      </c>
      <c r="T1075" s="4"/>
      <c r="U1075" s="4" t="str">
        <f t="shared" si="140"/>
        <v>IntIncTDW</v>
      </c>
      <c r="V1075" s="23">
        <f>IFERROR(IF(AND(AB1075&gt;0,B1075&lt;&gt;"Sell"),(AA1075-SUMIF(C$4:C1074,C1075,AC$4:AC1075))/AB1075,0),"")</f>
        <v>0</v>
      </c>
      <c r="W1075" s="24" t="str">
        <f t="shared" si="136"/>
        <v/>
      </c>
      <c r="X1075" s="25" t="str">
        <f t="shared" si="135"/>
        <v/>
      </c>
      <c r="Y1075" s="10" t="str">
        <f>IF(S1077&lt;&gt;eRRSP_Tx_Table[[#This Row],[Year]],SUMIFS($W$4:$W1075,$S$4:$S1075,eRRSP_Tx_Table[[#This Row],[Year]],$W$4:$W1075,"&gt;0"),"")</f>
        <v/>
      </c>
      <c r="Z1075" s="10" t="str">
        <f>IF(S1077&lt;&gt;eRRSP_Tx_Table[[#This Row],[Year]],SUMIFS($W$4:$W1075,$S$4:$S1075,eRRSP_Tx_Table[[#This Row],[Year]],$W$4:$W1075,"&lt;0"),"")</f>
        <v/>
      </c>
      <c r="AA1075" s="3">
        <f>(SUMIF($U$4:$U1075,CONCATENATE("Buy",$C1075),$N$4:$N1075)+SUMIF($U$4:$U1075,CONCATENATE("ReinvDiv",$C1075),$N$4:$N1075))</f>
        <v>0</v>
      </c>
      <c r="AB1075">
        <f>(SUMIF($U$4:$U1075,CONCATENATE("Buy",$C1075),$F$4:$F1075)+SUMIF($U$4:$U1075,CONCATENATE("ReinvDiv",$C1075),$F$4:$F1075)+SUMIF($U$4:$U1075,CONCATENATE("StkSplit",$C1075),$F$4:$F1075)-SUMIF($U$4:$U1075,CONCATENATE("Sell",$C1075),$F$4:$F1075))</f>
        <v>0</v>
      </c>
      <c r="AC1075" s="3">
        <f>IF(B1075="Sell",F1075*INDEX(V:V,LOOKUP(2,1/(X$4:X1074=CONCATENATE(C1075,"_ACB")),ROW(V$4:V1074))),0)</f>
        <v>0</v>
      </c>
    </row>
    <row r="1076" spans="1:29" x14ac:dyDescent="0.25">
      <c r="A1076" s="39">
        <v>42704</v>
      </c>
      <c r="B1076" t="s">
        <v>43</v>
      </c>
      <c r="C1076" s="40" t="s">
        <v>99</v>
      </c>
      <c r="D1076" s="3">
        <v>11.03</v>
      </c>
      <c r="F1076" s="3">
        <v>0</v>
      </c>
      <c r="M1076" s="21">
        <f t="shared" si="141"/>
        <v>11.03</v>
      </c>
      <c r="N1076" s="8">
        <f t="shared" si="138"/>
        <v>11.03</v>
      </c>
      <c r="O1076" s="25">
        <f t="shared" si="134"/>
        <v>8049.3099999999322</v>
      </c>
      <c r="P1076" s="8">
        <f t="shared" si="142"/>
        <v>0</v>
      </c>
      <c r="Q1076" s="4">
        <f>IF(AND(S1076&gt;=[1]eRRSP_Rpt!$C$6,S1076&lt;=[1]eRRSP_Rpt!$C$7),1,0)</f>
        <v>0</v>
      </c>
      <c r="R1076" s="4"/>
      <c r="S1076" s="4">
        <f t="shared" si="139"/>
        <v>2016</v>
      </c>
      <c r="T1076" s="4"/>
      <c r="U1076" s="4" t="str">
        <f t="shared" si="140"/>
        <v>IntIncTD INV SAV ACCT  /NL'FRAC</v>
      </c>
      <c r="V1076" s="23">
        <f>IFERROR(IF(AND(AB1076&gt;0,B1076&lt;&gt;"Sell"),(AA1076-SUMIF(C$4:C1075,C1076,AC$4:AC1076))/AB1076,0),"")</f>
        <v>-10</v>
      </c>
      <c r="W1076" s="24" t="str">
        <f t="shared" si="136"/>
        <v/>
      </c>
      <c r="X1076" s="25" t="str">
        <f t="shared" si="135"/>
        <v>TD INV SAV ACCT  /NL'FRAC_ACB</v>
      </c>
      <c r="Y1076" s="10" t="str">
        <f>IF(S1078&lt;&gt;eRRSP_Tx_Table[[#This Row],[Year]],SUMIFS($W$4:$W1076,$S$4:$S1076,eRRSP_Tx_Table[[#This Row],[Year]],$W$4:$W1076,"&gt;0"),"")</f>
        <v/>
      </c>
      <c r="Z1076" s="10" t="str">
        <f>IF(S1078&lt;&gt;eRRSP_Tx_Table[[#This Row],[Year]],SUMIFS($W$4:$W1076,$S$4:$S1076,eRRSP_Tx_Table[[#This Row],[Year]],$W$4:$W1076,"&lt;0"),"")</f>
        <v/>
      </c>
      <c r="AA1076" s="3">
        <f>(SUMIF($U$4:$U1076,CONCATENATE("Buy",$C1076),$N$4:$N1076)+SUMIF($U$4:$U1076,CONCATENATE("ReinvDiv",$C1076),$N$4:$N1076))</f>
        <v>-30900</v>
      </c>
      <c r="AB1076">
        <f>(SUMIF($U$4:$U1076,CONCATENATE("Buy",$C1076),$F$4:$F1076)+SUMIF($U$4:$U1076,CONCATENATE("ReinvDiv",$C1076),$F$4:$F1076)+SUMIF($U$4:$U1076,CONCATENATE("StkSplit",$C1076),$F$4:$F1076)-SUMIF($U$4:$U1076,CONCATENATE("Sell",$C1076),$F$4:$F1076))</f>
        <v>1790</v>
      </c>
      <c r="AC1076" s="3">
        <f>IF(B1076="Sell",F1076*INDEX(V:V,LOOKUP(2,1/(X$4:X1075=CONCATENATE(C1076,"_ACB")),ROW(V$4:V1075))),0)</f>
        <v>0</v>
      </c>
    </row>
    <row r="1077" spans="1:29" x14ac:dyDescent="0.25">
      <c r="A1077" s="39">
        <v>42711</v>
      </c>
      <c r="B1077" t="s">
        <v>108</v>
      </c>
      <c r="C1077" t="s">
        <v>105</v>
      </c>
      <c r="D1077" s="3">
        <v>43.9</v>
      </c>
      <c r="E1077" s="42"/>
      <c r="F1077" s="3">
        <v>795</v>
      </c>
      <c r="M1077" s="21">
        <f t="shared" si="141"/>
        <v>43.9</v>
      </c>
      <c r="N1077" s="8">
        <f t="shared" si="138"/>
        <v>43.9</v>
      </c>
      <c r="O1077" s="25">
        <f t="shared" si="134"/>
        <v>8093.2099999999318</v>
      </c>
      <c r="P1077" s="8">
        <f t="shared" si="142"/>
        <v>0</v>
      </c>
      <c r="Q1077" s="4">
        <f>IF(AND(S1077&gt;=[1]eRRSP_Rpt!$C$6,S1077&lt;=[1]eRRSP_Rpt!$C$7),1,0)</f>
        <v>0</v>
      </c>
      <c r="R1077" s="4"/>
      <c r="S1077" s="4">
        <f t="shared" si="139"/>
        <v>2016</v>
      </c>
      <c r="T1077" s="4"/>
      <c r="U1077" s="4" t="str">
        <f t="shared" si="140"/>
        <v>DIVVanguard CDN S/T Corp Bond</v>
      </c>
      <c r="V1077" s="23">
        <f>IFERROR(IF(AND(AB1077&gt;0,B1077&lt;&gt;"Sell"),(AA1077-SUMIF(C$4:C1076,C1077,AC$4:AC1077))/AB1077,0),"")</f>
        <v>-25.164273504273503</v>
      </c>
      <c r="W1077" s="24" t="str">
        <f t="shared" si="136"/>
        <v/>
      </c>
      <c r="X1077" s="25" t="str">
        <f t="shared" si="135"/>
        <v>Vanguard CDN S/T Corp Bond_ACB</v>
      </c>
      <c r="Y1077" s="10" t="str">
        <f>IF(S1079&lt;&gt;eRRSP_Tx_Table[[#This Row],[Year]],SUMIFS($W$4:$W1077,$S$4:$S1077,eRRSP_Tx_Table[[#This Row],[Year]],$W$4:$W1077,"&gt;0"),"")</f>
        <v/>
      </c>
      <c r="Z1077" s="10" t="str">
        <f>IF(S1079&lt;&gt;eRRSP_Tx_Table[[#This Row],[Year]],SUMIFS($W$4:$W1077,$S$4:$S1077,eRRSP_Tx_Table[[#This Row],[Year]],$W$4:$W1077,"&lt;0"),"")</f>
        <v/>
      </c>
      <c r="AA1077" s="3">
        <f>(SUMIF($U$4:$U1077,CONCATENATE("Buy",$C1077),$N$4:$N1077)+SUMIF($U$4:$U1077,CONCATENATE("ReinvDiv",$C1077),$N$4:$N1077))</f>
        <v>-41219.08</v>
      </c>
      <c r="AB1077">
        <f>(SUMIF($U$4:$U1077,CONCATENATE("Buy",$C1077),$F$4:$F1077)+SUMIF($U$4:$U1077,CONCATENATE("ReinvDiv",$C1077),$F$4:$F1077)+SUMIF($U$4:$U1077,CONCATENATE("StkSplit",$C1077),$F$4:$F1077)-SUMIF($U$4:$U1077,CONCATENATE("Sell",$C1077),$F$4:$F1077))</f>
        <v>795</v>
      </c>
      <c r="AC1077" s="3">
        <f>IF(B1077="Sell",F1077*INDEX(V:V,LOOKUP(2,1/(X$4:X1076=CONCATENATE(C1077,"_ACB")),ROW(V$4:V1076))),0)</f>
        <v>0</v>
      </c>
    </row>
    <row r="1078" spans="1:29" x14ac:dyDescent="0.25">
      <c r="A1078" s="39">
        <v>42713</v>
      </c>
      <c r="B1078" t="s">
        <v>43</v>
      </c>
      <c r="C1078" t="s">
        <v>94</v>
      </c>
      <c r="D1078" s="3">
        <v>458.04</v>
      </c>
      <c r="E1078" s="42"/>
      <c r="F1078" s="3">
        <v>14000</v>
      </c>
      <c r="M1078" s="21">
        <f t="shared" si="141"/>
        <v>458.04</v>
      </c>
      <c r="N1078" s="8">
        <f t="shared" si="138"/>
        <v>458.04</v>
      </c>
      <c r="O1078" s="25">
        <f t="shared" si="134"/>
        <v>8551.2499999999327</v>
      </c>
      <c r="P1078" s="8">
        <f t="shared" si="142"/>
        <v>0</v>
      </c>
      <c r="Q1078" s="4">
        <f>IF(AND(S1078&gt;=[1]eRRSP_Rpt!$C$6,S1078&lt;=[1]eRRSP_Rpt!$C$7),1,0)</f>
        <v>0</v>
      </c>
      <c r="R1078" s="4"/>
      <c r="S1078" s="4">
        <f t="shared" si="139"/>
        <v>2016</v>
      </c>
      <c r="T1078" s="4"/>
      <c r="U1078" s="4" t="str">
        <f t="shared" si="140"/>
        <v>IntIncAIMIA SER-3  6.95% 26JA17</v>
      </c>
      <c r="V1078" s="23">
        <f>IFERROR(IF(AND(AB1078&gt;0,B1078&lt;&gt;"Sell"),(AA1078-SUMIF(C$4:C1077,C1078,AC$4:AC1078))/AB1078,0),"")</f>
        <v>-1.0346899999999999</v>
      </c>
      <c r="W1078" s="24" t="str">
        <f t="shared" si="136"/>
        <v/>
      </c>
      <c r="X1078" s="25" t="str">
        <f t="shared" si="135"/>
        <v>AIMIA SER-3  6.95% 26JA17_ACB</v>
      </c>
      <c r="Y1078" s="10" t="str">
        <f>IF(S1080&lt;&gt;eRRSP_Tx_Table[[#This Row],[Year]],SUMIFS($W$4:$W1078,$S$4:$S1078,eRRSP_Tx_Table[[#This Row],[Year]],$W$4:$W1078,"&gt;0"),"")</f>
        <v/>
      </c>
      <c r="Z1078" s="10" t="str">
        <f>IF(S1080&lt;&gt;eRRSP_Tx_Table[[#This Row],[Year]],SUMIFS($W$4:$W1078,$S$4:$S1078,eRRSP_Tx_Table[[#This Row],[Year]],$W$4:$W1078,"&lt;0"),"")</f>
        <v/>
      </c>
      <c r="AA1078" s="3">
        <f>(SUMIF($U$4:$U1078,CONCATENATE("Buy",$C1078),$N$4:$N1078)+SUMIF($U$4:$U1078,CONCATENATE("ReinvDiv",$C1078),$N$4:$N1078))</f>
        <v>-14485.66</v>
      </c>
      <c r="AB1078">
        <f>(SUMIF($U$4:$U1078,CONCATENATE("Buy",$C1078),$F$4:$F1078)+SUMIF($U$4:$U1078,CONCATENATE("ReinvDiv",$C1078),$F$4:$F1078)+SUMIF($U$4:$U1078,CONCATENATE("StkSplit",$C1078),$F$4:$F1078)-SUMIF($U$4:$U1078,CONCATENATE("Sell",$C1078),$F$4:$F1078))</f>
        <v>14000</v>
      </c>
      <c r="AC1078" s="3">
        <f>IF(B1078="Sell",F1078*INDEX(V:V,LOOKUP(2,1/(X$4:X1077=CONCATENATE(C1078,"_ACB")),ROW(V$4:V1077))),0)</f>
        <v>0</v>
      </c>
    </row>
    <row r="1079" spans="1:29" x14ac:dyDescent="0.25">
      <c r="A1079" s="39">
        <v>42713</v>
      </c>
      <c r="B1079" t="s">
        <v>40</v>
      </c>
      <c r="C1079" t="s">
        <v>94</v>
      </c>
      <c r="D1079" s="3">
        <v>14000</v>
      </c>
      <c r="E1079" s="42">
        <v>1</v>
      </c>
      <c r="F1079" s="3">
        <v>14000</v>
      </c>
      <c r="M1079" s="21">
        <f t="shared" si="141"/>
        <v>14000</v>
      </c>
      <c r="N1079" s="8">
        <f t="shared" si="138"/>
        <v>14000</v>
      </c>
      <c r="O1079" s="25">
        <f t="shared" si="134"/>
        <v>22551.249999999935</v>
      </c>
      <c r="P1079" s="8">
        <f t="shared" si="142"/>
        <v>0</v>
      </c>
      <c r="Q1079" s="4">
        <f>IF(AND(S1079&gt;=[1]eRRSP_Rpt!$C$6,S1079&lt;=[1]eRRSP_Rpt!$C$7),1,0)</f>
        <v>0</v>
      </c>
      <c r="R1079" s="4"/>
      <c r="S1079" s="4">
        <f t="shared" si="139"/>
        <v>2016</v>
      </c>
      <c r="T1079" s="4"/>
      <c r="U1079" s="4" t="str">
        <f t="shared" si="140"/>
        <v>SellAIMIA SER-3  6.95% 26JA17</v>
      </c>
      <c r="V1079" s="23">
        <f>IFERROR(IF(AND(AB1079&gt;0,B1079&lt;&gt;"Sell"),(AA1079-SUMIF(C$4:C1078,C1079,AC$4:AC1079))/AB1079,0),"")</f>
        <v>0</v>
      </c>
      <c r="W1079" s="24">
        <f t="shared" si="136"/>
        <v>-485.65999999999804</v>
      </c>
      <c r="X1079" s="25" t="str">
        <f t="shared" si="135"/>
        <v/>
      </c>
      <c r="Y1079" s="10" t="str">
        <f>IF(S1081&lt;&gt;eRRSP_Tx_Table[[#This Row],[Year]],SUMIFS($W$4:$W1079,$S$4:$S1079,eRRSP_Tx_Table[[#This Row],[Year]],$W$4:$W1079,"&gt;0"),"")</f>
        <v/>
      </c>
      <c r="Z1079" s="10" t="str">
        <f>IF(S1081&lt;&gt;eRRSP_Tx_Table[[#This Row],[Year]],SUMIFS($W$4:$W1079,$S$4:$S1079,eRRSP_Tx_Table[[#This Row],[Year]],$W$4:$W1079,"&lt;0"),"")</f>
        <v/>
      </c>
      <c r="AA1079" s="3">
        <f>(SUMIF($U$4:$U1079,CONCATENATE("Buy",$C1079),$N$4:$N1079)+SUMIF($U$4:$U1079,CONCATENATE("ReinvDiv",$C1079),$N$4:$N1079))</f>
        <v>-14485.66</v>
      </c>
      <c r="AB1079">
        <f>(SUMIF($U$4:$U1079,CONCATENATE("Buy",$C1079),$F$4:$F1079)+SUMIF($U$4:$U1079,CONCATENATE("ReinvDiv",$C1079),$F$4:$F1079)+SUMIF($U$4:$U1079,CONCATENATE("StkSplit",$C1079),$F$4:$F1079)-SUMIF($U$4:$U1079,CONCATENATE("Sell",$C1079),$F$4:$F1079))</f>
        <v>0</v>
      </c>
      <c r="AC1079" s="3">
        <f>IF(B1079="Sell",F1079*INDEX(V:V,LOOKUP(2,1/(X$4:X1078=CONCATENATE(C1079,"_ACB")),ROW(V$4:V1078))),0)</f>
        <v>-14485.659999999998</v>
      </c>
    </row>
    <row r="1080" spans="1:29" x14ac:dyDescent="0.25">
      <c r="A1080" s="39">
        <v>42719</v>
      </c>
      <c r="B1080" t="s">
        <v>41</v>
      </c>
      <c r="C1080" s="43" t="s">
        <v>96</v>
      </c>
      <c r="D1080" s="3">
        <v>644.13</v>
      </c>
      <c r="E1080" s="42"/>
      <c r="F1080" s="3">
        <v>25.91</v>
      </c>
      <c r="M1080" s="21">
        <f t="shared" si="141"/>
        <v>644.13</v>
      </c>
      <c r="N1080" s="8">
        <f t="shared" si="138"/>
        <v>-644.13</v>
      </c>
      <c r="O1080" s="25">
        <f t="shared" si="134"/>
        <v>22551.249999999935</v>
      </c>
      <c r="P1080" s="8">
        <f t="shared" si="142"/>
        <v>0</v>
      </c>
      <c r="Q1080" s="4">
        <f>IF(AND(S1080&gt;=[1]eRRSP_Rpt!$C$6,S1080&lt;=[1]eRRSP_Rpt!$C$7),1,0)</f>
        <v>0</v>
      </c>
      <c r="R1080" s="4"/>
      <c r="S1080" s="4">
        <f t="shared" si="139"/>
        <v>2016</v>
      </c>
      <c r="T1080" s="4"/>
      <c r="U1080" s="4" t="str">
        <f t="shared" si="140"/>
        <v>ReinvDivTD Canadian Index - e</v>
      </c>
      <c r="V1080" s="23">
        <f>IFERROR(IF(AND(AB1080&gt;0,B1080&lt;&gt;"Sell"),(AA1080-SUMIF(C$4:C1079,C1080,AC$4:AC1080))/AB1080,0),"")</f>
        <v>-22.149571373204267</v>
      </c>
      <c r="W1080" s="24" t="str">
        <f t="shared" si="136"/>
        <v/>
      </c>
      <c r="X1080" s="25" t="str">
        <f t="shared" si="135"/>
        <v>TD Canadian Index - e_ACB</v>
      </c>
      <c r="Y1080" s="10" t="str">
        <f>IF(S1082&lt;&gt;eRRSP_Tx_Table[[#This Row],[Year]],SUMIFS($W$4:$W1080,$S$4:$S1080,eRRSP_Tx_Table[[#This Row],[Year]],$W$4:$W1080,"&gt;0"),"")</f>
        <v/>
      </c>
      <c r="Z1080" s="10" t="str">
        <f>IF(S1082&lt;&gt;eRRSP_Tx_Table[[#This Row],[Year]],SUMIFS($W$4:$W1080,$S$4:$S1080,eRRSP_Tx_Table[[#This Row],[Year]],$W$4:$W1080,"&lt;0"),"")</f>
        <v/>
      </c>
      <c r="AA1080" s="3">
        <f>(SUMIF($U$4:$U1080,CONCATENATE("Buy",$C1080),$N$4:$N1080)+SUMIF($U$4:$U1080,CONCATENATE("ReinvDiv",$C1080),$N$4:$N1080))</f>
        <v>-36060.199999999997</v>
      </c>
      <c r="AB1080">
        <f>(SUMIF($U$4:$U1080,CONCATENATE("Buy",$C1080),$F$4:$F1080)+SUMIF($U$4:$U1080,CONCATENATE("ReinvDiv",$C1080),$F$4:$F1080)+SUMIF($U$4:$U1080,CONCATENATE("StkSplit",$C1080),$F$4:$F1080)-SUMIF($U$4:$U1080,CONCATENATE("Sell",$C1080),$F$4:$F1080))</f>
        <v>1149.3310000000001</v>
      </c>
      <c r="AC1080" s="3">
        <f>IF(B1080="Sell",F1080*INDEX(V:V,LOOKUP(2,1/(X$4:X1079=CONCATENATE(C1080,"_ACB")),ROW(V$4:V1079))),0)</f>
        <v>0</v>
      </c>
    </row>
    <row r="1081" spans="1:29" x14ac:dyDescent="0.25">
      <c r="A1081" s="39">
        <v>42719</v>
      </c>
      <c r="B1081" t="s">
        <v>41</v>
      </c>
      <c r="C1081" s="43" t="s">
        <v>97</v>
      </c>
      <c r="D1081" s="3">
        <v>151.30000000000001</v>
      </c>
      <c r="E1081" s="42"/>
      <c r="F1081" s="3">
        <v>12.432</v>
      </c>
      <c r="M1081" s="21">
        <f t="shared" si="141"/>
        <v>151.30000000000001</v>
      </c>
      <c r="N1081" s="8">
        <f t="shared" si="138"/>
        <v>-151.30000000000001</v>
      </c>
      <c r="O1081" s="25">
        <f t="shared" si="134"/>
        <v>22551.249999999935</v>
      </c>
      <c r="P1081" s="8">
        <f t="shared" si="142"/>
        <v>0</v>
      </c>
      <c r="Q1081" s="4">
        <f>IF(AND(S1081&gt;=[1]eRRSP_Rpt!$C$6,S1081&lt;=[1]eRRSP_Rpt!$C$7),1,0)</f>
        <v>0</v>
      </c>
      <c r="R1081" s="4"/>
      <c r="S1081" s="4">
        <f t="shared" si="139"/>
        <v>2016</v>
      </c>
      <c r="T1081" s="4"/>
      <c r="U1081" s="4" t="str">
        <f t="shared" si="140"/>
        <v>ReinvDivTD International Index - e</v>
      </c>
      <c r="V1081" s="23">
        <f>IFERROR(IF(AND(AB1081&gt;0,B1081&lt;&gt;"Sell"),(AA1081-SUMIF(C$4:C1080,C1081,AC$4:AC1081))/AB1081,0),"")</f>
        <v>-11.07812718567263</v>
      </c>
      <c r="W1081" s="24" t="str">
        <f t="shared" si="136"/>
        <v/>
      </c>
      <c r="X1081" s="25" t="str">
        <f t="shared" si="135"/>
        <v>TD International Index - e_ACB</v>
      </c>
      <c r="Y1081" s="10" t="str">
        <f>IF(S1083&lt;&gt;eRRSP_Tx_Table[[#This Row],[Year]],SUMIFS($W$4:$W1081,$S$4:$S1081,eRRSP_Tx_Table[[#This Row],[Year]],$W$4:$W1081,"&gt;0"),"")</f>
        <v/>
      </c>
      <c r="Z1081" s="10" t="str">
        <f>IF(S1083&lt;&gt;eRRSP_Tx_Table[[#This Row],[Year]],SUMIFS($W$4:$W1081,$S$4:$S1081,eRRSP_Tx_Table[[#This Row],[Year]],$W$4:$W1081,"&lt;0"),"")</f>
        <v/>
      </c>
      <c r="AA1081" s="3">
        <f>(SUMIF($U$4:$U1081,CONCATENATE("Buy",$C1081),$N$4:$N1081)+SUMIF($U$4:$U1081,CONCATENATE("ReinvDiv",$C1081),$N$4:$N1081))</f>
        <v>-52366.96</v>
      </c>
      <c r="AB1081">
        <f>(SUMIF($U$4:$U1081,CONCATENATE("Buy",$C1081),$F$4:$F1081)+SUMIF($U$4:$U1081,CONCATENATE("ReinvDiv",$C1081),$F$4:$F1081)+SUMIF($U$4:$U1081,CONCATENATE("StkSplit",$C1081),$F$4:$F1081)-SUMIF($U$4:$U1081,CONCATENATE("Sell",$C1081),$F$4:$F1081))</f>
        <v>2863.2130000000002</v>
      </c>
      <c r="AC1081" s="3">
        <f>IF(B1081="Sell",F1081*INDEX(V:V,LOOKUP(2,1/(X$4:X1080=CONCATENATE(C1081,"_ACB")),ROW(V$4:V1080))),0)</f>
        <v>0</v>
      </c>
    </row>
    <row r="1082" spans="1:29" x14ac:dyDescent="0.25">
      <c r="A1082" s="39">
        <v>42720</v>
      </c>
      <c r="B1082" t="s">
        <v>43</v>
      </c>
      <c r="C1082" t="s">
        <v>36</v>
      </c>
      <c r="D1082" s="3">
        <v>0.23</v>
      </c>
      <c r="E1082" s="42"/>
      <c r="F1082" s="3">
        <v>0</v>
      </c>
      <c r="M1082" s="21">
        <f t="shared" si="141"/>
        <v>0.23</v>
      </c>
      <c r="N1082" s="8">
        <f t="shared" si="138"/>
        <v>0.23</v>
      </c>
      <c r="O1082" s="25">
        <f t="shared" si="134"/>
        <v>22551.479999999934</v>
      </c>
      <c r="P1082" s="8">
        <f t="shared" si="142"/>
        <v>0</v>
      </c>
      <c r="Q1082" s="4">
        <f>IF(AND(S1082&gt;=[1]eRRSP_Rpt!$C$6,S1082&lt;=[1]eRRSP_Rpt!$C$7),1,0)</f>
        <v>0</v>
      </c>
      <c r="R1082" s="4"/>
      <c r="S1082" s="4">
        <f t="shared" si="139"/>
        <v>2016</v>
      </c>
      <c r="T1082" s="4"/>
      <c r="U1082" s="4" t="str">
        <f t="shared" si="140"/>
        <v>IntIncTDW</v>
      </c>
      <c r="V1082" s="23">
        <f>IFERROR(IF(AND(AB1082&gt;0,B1082&lt;&gt;"Sell"),(AA1082-SUMIF(C$4:C1081,C1082,AC$4:AC1082))/AB1082,0),"")</f>
        <v>0</v>
      </c>
      <c r="W1082" s="24" t="str">
        <f t="shared" si="136"/>
        <v/>
      </c>
      <c r="X1082" s="25" t="str">
        <f t="shared" si="135"/>
        <v/>
      </c>
      <c r="Y1082" s="10">
        <f>IF(S1084&lt;&gt;eRRSP_Tx_Table[[#This Row],[Year]],SUMIFS($W$4:$W1082,$S$4:$S1082,eRRSP_Tx_Table[[#This Row],[Year]],$W$4:$W1082,"&gt;0"),"")</f>
        <v>0</v>
      </c>
      <c r="Z1082" s="10">
        <f>IF(S1084&lt;&gt;eRRSP_Tx_Table[[#This Row],[Year]],SUMIFS($W$4:$W1082,$S$4:$S1082,eRRSP_Tx_Table[[#This Row],[Year]],$W$4:$W1082,"&lt;0"),"")</f>
        <v>-485.65999999999804</v>
      </c>
      <c r="AA1082" s="3">
        <f>(SUMIF($U$4:$U1082,CONCATENATE("Buy",$C1082),$N$4:$N1082)+SUMIF($U$4:$U1082,CONCATENATE("ReinvDiv",$C1082),$N$4:$N1082))</f>
        <v>0</v>
      </c>
      <c r="AB1082">
        <f>(SUMIF($U$4:$U1082,CONCATENATE("Buy",$C1082),$F$4:$F1082)+SUMIF($U$4:$U1082,CONCATENATE("ReinvDiv",$C1082),$F$4:$F1082)+SUMIF($U$4:$U1082,CONCATENATE("StkSplit",$C1082),$F$4:$F1082)-SUMIF($U$4:$U1082,CONCATENATE("Sell",$C1082),$F$4:$F1082))</f>
        <v>0</v>
      </c>
      <c r="AC1082" s="3">
        <f>IF(B1082="Sell",F1082*INDEX(V:V,LOOKUP(2,1/(X$4:X1081=CONCATENATE(C1082,"_ACB")),ROW(V$4:V1081))),0)</f>
        <v>0</v>
      </c>
    </row>
    <row r="1083" spans="1:29" x14ac:dyDescent="0.25">
      <c r="A1083" s="39">
        <v>42734</v>
      </c>
      <c r="B1083" t="s">
        <v>43</v>
      </c>
      <c r="C1083" s="40" t="s">
        <v>99</v>
      </c>
      <c r="D1083" s="3">
        <v>12.14</v>
      </c>
      <c r="E1083" s="42"/>
      <c r="F1083" s="3">
        <v>0</v>
      </c>
      <c r="M1083" s="21">
        <f t="shared" si="141"/>
        <v>12.14</v>
      </c>
      <c r="N1083" s="8">
        <f t="shared" si="138"/>
        <v>12.14</v>
      </c>
      <c r="O1083" s="25">
        <f t="shared" si="134"/>
        <v>22563.619999999933</v>
      </c>
      <c r="P1083" s="8">
        <f t="shared" si="142"/>
        <v>0</v>
      </c>
      <c r="Q1083" s="4">
        <f>IF(AND(S1083&gt;=[1]eRRSP_Rpt!$C$6,S1083&lt;=[1]eRRSP_Rpt!$C$7),1,0)</f>
        <v>0</v>
      </c>
      <c r="R1083" s="4"/>
      <c r="S1083" s="4">
        <f t="shared" si="139"/>
        <v>2016</v>
      </c>
      <c r="T1083" s="4"/>
      <c r="U1083" s="4" t="str">
        <f t="shared" si="140"/>
        <v>IntIncTD INV SAV ACCT  /NL'FRAC</v>
      </c>
      <c r="V1083" s="23">
        <f>IFERROR(IF(AND(AB1083&gt;0,B1083&lt;&gt;"Sell"),(AA1083-SUMIF(C$4:C1082,C1083,AC$4:AC1083))/AB1083,0),"")</f>
        <v>-10</v>
      </c>
      <c r="W1083" s="24" t="str">
        <f t="shared" si="136"/>
        <v/>
      </c>
      <c r="X1083" s="25" t="str">
        <f t="shared" si="135"/>
        <v>TD INV SAV ACCT  /NL'FRAC_ACB</v>
      </c>
      <c r="Y1083" s="10">
        <f>IF(S1085&lt;&gt;eRRSP_Tx_Table[[#This Row],[Year]],SUMIFS($W$4:$W1083,$S$4:$S1083,eRRSP_Tx_Table[[#This Row],[Year]],$W$4:$W1083,"&gt;0"),"")</f>
        <v>0</v>
      </c>
      <c r="Z1083" s="10">
        <f>IF(S1085&lt;&gt;eRRSP_Tx_Table[[#This Row],[Year]],SUMIFS($W$4:$W1083,$S$4:$S1083,eRRSP_Tx_Table[[#This Row],[Year]],$W$4:$W1083,"&lt;0"),"")</f>
        <v>-485.65999999999804</v>
      </c>
      <c r="AA1083" s="3">
        <f>(SUMIF($U$4:$U1083,CONCATENATE("Buy",$C1083),$N$4:$N1083)+SUMIF($U$4:$U1083,CONCATENATE("ReinvDiv",$C1083),$N$4:$N1083))</f>
        <v>-30900</v>
      </c>
      <c r="AB1083">
        <f>(SUMIF($U$4:$U1083,CONCATENATE("Buy",$C1083),$F$4:$F1083)+SUMIF($U$4:$U1083,CONCATENATE("ReinvDiv",$C1083),$F$4:$F1083)+SUMIF($U$4:$U1083,CONCATENATE("StkSplit",$C1083),$F$4:$F1083)-SUMIF($U$4:$U1083,CONCATENATE("Sell",$C1083),$F$4:$F1083))</f>
        <v>1790</v>
      </c>
      <c r="AC1083" s="3">
        <f>IF(B1083="Sell",F1083*INDEX(V:V,LOOKUP(2,1/(X$4:X1082=CONCATENATE(C1083,"_ACB")),ROW(V$4:V1082))),0)</f>
        <v>0</v>
      </c>
    </row>
    <row r="1084" spans="1:29" x14ac:dyDescent="0.25">
      <c r="A1084" s="39">
        <v>42740</v>
      </c>
      <c r="B1084" t="s">
        <v>108</v>
      </c>
      <c r="C1084" s="43" t="s">
        <v>103</v>
      </c>
      <c r="D1084" s="3">
        <v>340.62</v>
      </c>
      <c r="E1084" s="42"/>
      <c r="F1084" s="3">
        <v>1157</v>
      </c>
      <c r="M1084" s="21">
        <f t="shared" si="141"/>
        <v>340.62</v>
      </c>
      <c r="N1084" s="8">
        <f t="shared" si="138"/>
        <v>340.62</v>
      </c>
      <c r="O1084" s="25">
        <f t="shared" si="134"/>
        <v>22904.239999999932</v>
      </c>
      <c r="P1084" s="8">
        <f t="shared" si="142"/>
        <v>0</v>
      </c>
      <c r="Q1084" s="4">
        <f>IF(AND(S1084&gt;=[1]eRRSP_Rpt!$C$6,S1084&lt;=[1]eRRSP_Rpt!$C$7),1,0)</f>
        <v>0</v>
      </c>
      <c r="R1084" s="4"/>
      <c r="S1084" s="4">
        <f t="shared" si="139"/>
        <v>2017</v>
      </c>
      <c r="T1084" s="4"/>
      <c r="U1084" s="4" t="str">
        <f t="shared" si="140"/>
        <v>DIVIshares Global Real Estate Index</v>
      </c>
      <c r="V1084" s="23">
        <f>IFERROR(IF(AND(AB1084&gt;0,B1084&lt;&gt;"Sell"),(AA1084-SUMIF(C$4:C1083,C1084,AC$4:AC1084))/AB1084,0),"")</f>
        <v>-22.247726879861712</v>
      </c>
      <c r="W1084" s="24" t="str">
        <f t="shared" si="136"/>
        <v/>
      </c>
      <c r="X1084" s="25" t="str">
        <f t="shared" si="135"/>
        <v>Ishares Global Real Estate Index_ACB</v>
      </c>
      <c r="Y1084" s="10" t="str">
        <f>IF(S1086&lt;&gt;eRRSP_Tx_Table[[#This Row],[Year]],SUMIFS($W$4:$W1084,$S$4:$S1084,eRRSP_Tx_Table[[#This Row],[Year]],$W$4:$W1084,"&gt;0"),"")</f>
        <v/>
      </c>
      <c r="Z1084" s="10" t="str">
        <f>IF(S1086&lt;&gt;eRRSP_Tx_Table[[#This Row],[Year]],SUMIFS($W$4:$W1084,$S$4:$S1084,eRRSP_Tx_Table[[#This Row],[Year]],$W$4:$W1084,"&lt;0"),"")</f>
        <v/>
      </c>
      <c r="AA1084" s="3">
        <f>(SUMIF($U$4:$U1084,CONCATENATE("Buy",$C1084),$N$4:$N1084)+SUMIF($U$4:$U1084,CONCATENATE("ReinvDiv",$C1084),$N$4:$N1084))</f>
        <v>-25740.620000000003</v>
      </c>
      <c r="AB1084">
        <f>(SUMIF($U$4:$U1084,CONCATENATE("Buy",$C1084),$F$4:$F1084)+SUMIF($U$4:$U1084,CONCATENATE("ReinvDiv",$C1084),$F$4:$F1084)+SUMIF($U$4:$U1084,CONCATENATE("StkSplit",$C1084),$F$4:$F1084)-SUMIF($U$4:$U1084,CONCATENATE("Sell",$C1084),$F$4:$F1084))</f>
        <v>1157</v>
      </c>
      <c r="AC1084" s="3">
        <f>IF(B1084="Sell",F1084*INDEX(V:V,LOOKUP(2,1/(X$4:X1083=CONCATENATE(C1084,"_ACB")),ROW(V$4:V1083))),0)</f>
        <v>0</v>
      </c>
    </row>
    <row r="1085" spans="1:29" x14ac:dyDescent="0.25">
      <c r="A1085" s="39">
        <v>42744</v>
      </c>
      <c r="B1085" t="s">
        <v>108</v>
      </c>
      <c r="C1085" t="s">
        <v>105</v>
      </c>
      <c r="D1085" s="3">
        <v>39.450000000000003</v>
      </c>
      <c r="E1085" s="42"/>
      <c r="F1085" s="3">
        <v>795</v>
      </c>
      <c r="M1085" s="21">
        <f t="shared" si="141"/>
        <v>39.450000000000003</v>
      </c>
      <c r="N1085" s="8">
        <f t="shared" si="138"/>
        <v>39.450000000000003</v>
      </c>
      <c r="O1085" s="25">
        <f t="shared" si="134"/>
        <v>22943.689999999933</v>
      </c>
      <c r="P1085" s="8">
        <f t="shared" si="142"/>
        <v>0</v>
      </c>
      <c r="Q1085" s="4">
        <f>IF(AND(S1085&gt;=[1]eRRSP_Rpt!$C$6,S1085&lt;=[1]eRRSP_Rpt!$C$7),1,0)</f>
        <v>0</v>
      </c>
      <c r="R1085" s="4"/>
      <c r="S1085" s="4">
        <f t="shared" si="139"/>
        <v>2017</v>
      </c>
      <c r="T1085" s="4"/>
      <c r="U1085" s="4" t="str">
        <f t="shared" si="140"/>
        <v>DIVVanguard CDN S/T Corp Bond</v>
      </c>
      <c r="V1085" s="23">
        <f>IFERROR(IF(AND(AB1085&gt;0,B1085&lt;&gt;"Sell"),(AA1085-SUMIF(C$4:C1084,C1085,AC$4:AC1085))/AB1085,0),"")</f>
        <v>-25.164273504273503</v>
      </c>
      <c r="W1085" s="24" t="str">
        <f t="shared" si="136"/>
        <v/>
      </c>
      <c r="X1085" s="25" t="str">
        <f t="shared" si="135"/>
        <v>Vanguard CDN S/T Corp Bond_ACB</v>
      </c>
      <c r="Y1085" s="10" t="str">
        <f>IF(S1088&lt;&gt;eRRSP_Tx_Table[[#This Row],[Year]],SUMIFS($W$4:$W1085,$S$4:$S1085,eRRSP_Tx_Table[[#This Row],[Year]],$W$4:$W1085,"&gt;0"),"")</f>
        <v/>
      </c>
      <c r="Z1085" s="10" t="str">
        <f>IF(S1088&lt;&gt;eRRSP_Tx_Table[[#This Row],[Year]],SUMIFS($W$4:$W1085,$S$4:$S1085,eRRSP_Tx_Table[[#This Row],[Year]],$W$4:$W1085,"&lt;0"),"")</f>
        <v/>
      </c>
      <c r="AA1085" s="3">
        <f>(SUMIF($U$4:$U1085,CONCATENATE("Buy",$C1085),$N$4:$N1085)+SUMIF($U$4:$U1085,CONCATENATE("ReinvDiv",$C1085),$N$4:$N1085))</f>
        <v>-41219.08</v>
      </c>
      <c r="AB1085">
        <f>(SUMIF($U$4:$U1085,CONCATENATE("Buy",$C1085),$F$4:$F1085)+SUMIF($U$4:$U1085,CONCATENATE("ReinvDiv",$C1085),$F$4:$F1085)+SUMIF($U$4:$U1085,CONCATENATE("StkSplit",$C1085),$F$4:$F1085)-SUMIF($U$4:$U1085,CONCATENATE("Sell",$C1085),$F$4:$F1085))</f>
        <v>795</v>
      </c>
      <c r="AC1085" s="3">
        <f>IF(B1085="Sell",F1085*INDEX(V:V,LOOKUP(2,1/(X$4:X1084=CONCATENATE(C1085,"_ACB")),ROW(V$4:V1084))),0)</f>
        <v>0</v>
      </c>
    </row>
    <row r="1086" spans="1:29" x14ac:dyDescent="0.25">
      <c r="A1086" s="39">
        <v>42744</v>
      </c>
      <c r="B1086" t="s">
        <v>108</v>
      </c>
      <c r="C1086" s="40" t="s">
        <v>104</v>
      </c>
      <c r="D1086" s="3">
        <v>592.66999999999996</v>
      </c>
      <c r="E1086" s="42"/>
      <c r="F1086" s="3">
        <v>3127</v>
      </c>
      <c r="M1086" s="21">
        <f t="shared" si="141"/>
        <v>592.66999999999996</v>
      </c>
      <c r="N1086" s="8">
        <f t="shared" si="138"/>
        <v>592.66999999999996</v>
      </c>
      <c r="O1086" s="25">
        <f t="shared" si="134"/>
        <v>23536.359999999931</v>
      </c>
      <c r="P1086" s="8">
        <f t="shared" si="142"/>
        <v>0</v>
      </c>
      <c r="Q1086" s="4">
        <f>IF(AND(S1086&gt;=[1]eRRSP_Rpt!$C$6,S1086&lt;=[1]eRRSP_Rpt!$C$7),1,0)</f>
        <v>0</v>
      </c>
      <c r="R1086" s="4"/>
      <c r="S1086" s="4">
        <f t="shared" si="139"/>
        <v>2017</v>
      </c>
      <c r="T1086" s="4"/>
      <c r="U1086" s="4" t="str">
        <f t="shared" si="140"/>
        <v>DIVVanguard US Total Market ETF</v>
      </c>
      <c r="V1086" s="23">
        <f>IFERROR(IF(AND(AB1086&gt;0,B1086&lt;&gt;"Sell"),(AA1086-SUMIF(C$4:C1085,C1086,AC$4:AC1086))/AB1086,0),"")</f>
        <v>-31.343779980812279</v>
      </c>
      <c r="W1086" s="24" t="str">
        <f t="shared" si="136"/>
        <v/>
      </c>
      <c r="X1086" s="25" t="str">
        <f t="shared" si="135"/>
        <v>Vanguard US Total Market ETF_ACB</v>
      </c>
      <c r="Y1086" s="10" t="e">
        <f>IF(#REF!&lt;&gt;eRRSP_Tx_Table[[#This Row],[Year]],SUMIFS($W$4:$W1086,$S$4:$S1086,eRRSP_Tx_Table[[#This Row],[Year]],$W$4:$W1086,"&gt;0"),"")</f>
        <v>#REF!</v>
      </c>
      <c r="Z1086" s="10" t="e">
        <f>IF(#REF!&lt;&gt;eRRSP_Tx_Table[[#This Row],[Year]],SUMIFS($W$4:$W1086,$S$4:$S1086,eRRSP_Tx_Table[[#This Row],[Year]],$W$4:$W1086,"&lt;0"),"")</f>
        <v>#REF!</v>
      </c>
      <c r="AA1086" s="3">
        <f>(SUMIF($U$4:$U1086,CONCATENATE("Buy",$C1086),$N$4:$N1086)+SUMIF($U$4:$U1086,CONCATENATE("ReinvDiv",$C1086),$N$4:$N1086))</f>
        <v>-98012</v>
      </c>
      <c r="AB1086">
        <f>(SUMIF($U$4:$U1086,CONCATENATE("Buy",$C1086),$F$4:$F1086)+SUMIF($U$4:$U1086,CONCATENATE("ReinvDiv",$C1086),$F$4:$F1086)+SUMIF($U$4:$U1086,CONCATENATE("StkSplit",$C1086),$F$4:$F1086)-SUMIF($U$4:$U1086,CONCATENATE("Sell",$C1086),$F$4:$F1086))</f>
        <v>3127</v>
      </c>
      <c r="AC1086" s="3">
        <f>IF(B1086="Sell",F1086*INDEX(V:V,LOOKUP(2,1/(X$4:X1085=CONCATENATE(C1086,"_ACB")),ROW(V$4:V1085))),0)</f>
        <v>0</v>
      </c>
    </row>
    <row r="1087" spans="1:29" x14ac:dyDescent="0.25">
      <c r="A1087" s="39">
        <v>42745</v>
      </c>
      <c r="B1087" t="s">
        <v>41</v>
      </c>
      <c r="C1087" s="43" t="s">
        <v>103</v>
      </c>
      <c r="D1087" s="3">
        <v>540.02</v>
      </c>
      <c r="E1087" s="42"/>
      <c r="J1087" t="s">
        <v>107</v>
      </c>
      <c r="M1087" s="21">
        <f t="shared" si="141"/>
        <v>540.02</v>
      </c>
      <c r="N1087" s="8">
        <f t="shared" si="138"/>
        <v>-540.02</v>
      </c>
      <c r="O1087" s="25">
        <f t="shared" si="134"/>
        <v>23536.359999999931</v>
      </c>
      <c r="P1087" s="8">
        <f t="shared" si="142"/>
        <v>0</v>
      </c>
      <c r="Q1087" s="4">
        <f>IF(AND(S1087&gt;=[1]eRRSP_Rpt!$C$6,S1087&lt;=[1]eRRSP_Rpt!$C$7),1,0)</f>
        <v>0</v>
      </c>
      <c r="R1087" s="4"/>
      <c r="S1087" s="4">
        <f t="shared" si="139"/>
        <v>2017</v>
      </c>
      <c r="T1087" s="4"/>
      <c r="U1087" s="4" t="str">
        <f t="shared" si="140"/>
        <v>ReinvDivIshares Global Real Estate Index</v>
      </c>
      <c r="V1087" s="23">
        <f>IFERROR(IF(AND(AB1087&gt;0,B1087&lt;&gt;"Sell"),(AA1087-SUMIF(C$4:C1086,C1087,AC$4:AC1087))/AB1087,0),"")</f>
        <v>-22.714468452895417</v>
      </c>
      <c r="W1087" s="24" t="str">
        <f t="shared" si="136"/>
        <v/>
      </c>
      <c r="X1087" s="25" t="str">
        <f t="shared" si="135"/>
        <v>Ishares Global Real Estate Index_ACB</v>
      </c>
      <c r="Y1087" s="10" t="e">
        <f>IF(#REF!&lt;&gt;eRRSP_Tx_Table[[#This Row],[Year]],SUMIFS($W$4:$W1087,$S$4:$S1087,eRRSP_Tx_Table[[#This Row],[Year]],$W$4:$W1087,"&gt;0"),"")</f>
        <v>#REF!</v>
      </c>
      <c r="Z1087" s="10" t="e">
        <f>IF(#REF!&lt;&gt;eRRSP_Tx_Table[[#This Row],[Year]],SUMIFS($W$4:$W1087,$S$4:$S1087,eRRSP_Tx_Table[[#This Row],[Year]],$W$4:$W1087,"&lt;0"),"")</f>
        <v>#REF!</v>
      </c>
      <c r="AA1087" s="3">
        <f>(SUMIF($U$4:$U1087,CONCATENATE("Buy",$C1087),$N$4:$N1087)+SUMIF($U$4:$U1087,CONCATENATE("ReinvDiv",$C1087),$N$4:$N1087))</f>
        <v>-26280.639999999999</v>
      </c>
      <c r="AB1087">
        <f>(SUMIF($U$4:$U1087,CONCATENATE("Buy",$C1087),$F$4:$F1087)+SUMIF($U$4:$U1087,CONCATENATE("ReinvDiv",$C1087),$F$4:$F1087)+SUMIF($U$4:$U1087,CONCATENATE("StkSplit",$C1087),$F$4:$F1087)-SUMIF($U$4:$U1087,CONCATENATE("Sell",$C1087),$F$4:$F1087))</f>
        <v>1157</v>
      </c>
      <c r="AC1087" s="3">
        <f>IF(B1087="Sell",F1087*INDEX(V:V,LOOKUP(2,1/(X$4:X1086=CONCATENATE(C1087,"_ACB")),ROW(V$4:V1086))),0)</f>
        <v>0</v>
      </c>
    </row>
    <row r="1088" spans="1:29" x14ac:dyDescent="0.25">
      <c r="A1088" s="39">
        <v>42751</v>
      </c>
      <c r="B1088" t="s">
        <v>43</v>
      </c>
      <c r="C1088" t="s">
        <v>36</v>
      </c>
      <c r="D1088" s="3">
        <v>0.48</v>
      </c>
      <c r="E1088" s="42"/>
      <c r="F1088" s="3">
        <v>0</v>
      </c>
      <c r="M1088" s="21">
        <f t="shared" si="141"/>
        <v>0.48</v>
      </c>
      <c r="N1088" s="8">
        <f t="shared" si="138"/>
        <v>0.48</v>
      </c>
      <c r="O1088" s="25">
        <f t="shared" si="134"/>
        <v>23536.839999999931</v>
      </c>
      <c r="P1088" s="8">
        <f t="shared" si="142"/>
        <v>0</v>
      </c>
      <c r="Q1088" s="4">
        <f>IF(AND(S1088&gt;=[1]eRRSP_Rpt!$C$6,S1088&lt;=[1]eRRSP_Rpt!$C$7),1,0)</f>
        <v>0</v>
      </c>
      <c r="R1088" s="4"/>
      <c r="S1088" s="4">
        <f t="shared" si="139"/>
        <v>2017</v>
      </c>
      <c r="T1088" s="4"/>
      <c r="U1088" s="4" t="str">
        <f t="shared" si="140"/>
        <v>IntIncTDW</v>
      </c>
      <c r="V1088" s="23">
        <f>IFERROR(IF(AND(AB1088&gt;0,B1088&lt;&gt;"Sell"),(AA1088-SUMIF(C$4:C1087,C1088,AC$4:AC1088))/AB1088,0),"")</f>
        <v>0</v>
      </c>
      <c r="W1088" s="24" t="str">
        <f t="shared" si="136"/>
        <v/>
      </c>
      <c r="X1088" s="25" t="str">
        <f t="shared" si="135"/>
        <v/>
      </c>
      <c r="Y1088" s="10" t="e">
        <f>IF(#REF!&lt;&gt;eRRSP_Tx_Table[[#This Row],[Year]],SUMIFS($W$4:$W1088,$S$4:$S1088,eRRSP_Tx_Table[[#This Row],[Year]],$W$4:$W1088,"&gt;0"),"")</f>
        <v>#REF!</v>
      </c>
      <c r="Z1088" s="10" t="e">
        <f>IF(#REF!&lt;&gt;eRRSP_Tx_Table[[#This Row],[Year]],SUMIFS($W$4:$W1088,$S$4:$S1088,eRRSP_Tx_Table[[#This Row],[Year]],$W$4:$W1088,"&lt;0"),"")</f>
        <v>#REF!</v>
      </c>
      <c r="AA1088" s="3">
        <f>(SUMIF($U$4:$U1088,CONCATENATE("Buy",$C1088),$N$4:$N1088)+SUMIF($U$4:$U1088,CONCATENATE("ReinvDiv",$C1088),$N$4:$N1088))</f>
        <v>0</v>
      </c>
      <c r="AB1088">
        <f>(SUMIF($U$4:$U1088,CONCATENATE("Buy",$C1088),$F$4:$F1088)+SUMIF($U$4:$U1088,CONCATENATE("ReinvDiv",$C1088),$F$4:$F1088)+SUMIF($U$4:$U1088,CONCATENATE("StkSplit",$C1088),$F$4:$F1088)-SUMIF($U$4:$U1088,CONCATENATE("Sell",$C1088),$F$4:$F1088))</f>
        <v>0</v>
      </c>
      <c r="AC1088" s="3">
        <f>IF(B1088="Sell",F1088*INDEX(V:V,LOOKUP(2,1/(X$4:X1087=CONCATENATE(C1088,"_ACB")),ROW(V$4:V1087))),0)</f>
        <v>0</v>
      </c>
    </row>
    <row r="1089" spans="1:29" ht="13.5" customHeight="1" x14ac:dyDescent="0.25">
      <c r="A1089" s="32">
        <f ca="1">TODAY()</f>
        <v>46148</v>
      </c>
      <c r="B1089" s="33"/>
      <c r="C1089" s="33" t="s">
        <v>109</v>
      </c>
      <c r="D1089" s="34"/>
      <c r="E1089" s="33"/>
      <c r="F1089" s="34"/>
      <c r="G1089" s="33"/>
      <c r="H1089" s="33"/>
      <c r="I1089" s="33"/>
      <c r="J1089" s="33"/>
      <c r="K1089" s="33"/>
      <c r="L1089" s="33"/>
      <c r="M1089" s="35"/>
      <c r="N1089" s="44">
        <f>IF(OR(B1089="Buy",B1089="ReinvDiv"),-M1089-G1089,M1089+G1089)</f>
        <v>0</v>
      </c>
      <c r="O1089" s="36"/>
      <c r="P1089" s="37">
        <f ca="1">-eRRSP_MktVal</f>
        <v>-905873.6108685279</v>
      </c>
      <c r="Q1089" s="4">
        <f ca="1">IF(AND(S1089&gt;=[1]eRRSP_Rpt!$C$6,S1089&lt;=[1]eRRSP_Rpt!$C$7),1,0)</f>
        <v>0</v>
      </c>
      <c r="R1089" s="4" t="s">
        <v>34</v>
      </c>
      <c r="S1089" s="4">
        <f ca="1">YEAR(A1089)</f>
        <v>2026</v>
      </c>
      <c r="T1089" s="22"/>
      <c r="U1089" s="4"/>
      <c r="V1089" s="23">
        <f>IFERROR(IF(AND(AB1089&gt;0,B1089&lt;&gt;"Sell"),(AA1089-SUMIF(C$4:C1021,C1089,AC$4:AC1089))/AB1089,0),"")</f>
        <v>0</v>
      </c>
      <c r="W1089" s="24" t="str">
        <f>IF(B1089="Sell",N1089+AC1089,"")</f>
        <v/>
      </c>
      <c r="X1089" s="4"/>
      <c r="Y1089" s="10"/>
      <c r="Z1089" s="10"/>
      <c r="AC1089" s="3">
        <f>IF(B1089="Sell",F1089*INDEX(V:V,LOOKUP(2,1/(X$4:X1021=CONCATENATE(C1089,"_ACB")),ROW(V$4:V1021))),0)</f>
        <v>0</v>
      </c>
    </row>
  </sheetData>
  <conditionalFormatting sqref="N4:N1088">
    <cfRule type="expression" dxfId="14" priority="16">
      <formula>$N$4&lt;&gt;$D$4</formula>
    </cfRule>
  </conditionalFormatting>
  <dataValidations count="1">
    <dataValidation type="list" allowBlank="1" showInputMessage="1" showErrorMessage="1" sqref="C1005:C1016 C1035 C1029 C1018:C1026 C1038 C1040:C1041 C1045 C1047 C1051 C1053 C1080" xr:uid="{72E55C85-5C9F-498E-8F65-BF7E212B4DAB}">
      <formula1>eRRSP_Holdings_Current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Tx</vt:lpstr>
      <vt:lpstr>eRRSP_CashBal</vt:lpstr>
      <vt:lpstr>eRRSP_Return</vt:lpstr>
      <vt:lpstr>InvYears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Ēma Thurairajah</dc:creator>
  <cp:lastModifiedBy>Ēma Thurairajah</cp:lastModifiedBy>
  <dcterms:created xsi:type="dcterms:W3CDTF">2026-05-06T19:06:50Z</dcterms:created>
  <dcterms:modified xsi:type="dcterms:W3CDTF">2026-05-06T19:40:11Z</dcterms:modified>
</cp:coreProperties>
</file>